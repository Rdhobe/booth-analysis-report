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480" yWindow="120" windowWidth="11340" windowHeight="8100" tabRatio="867" firstSheet="1" activeTab="1"/>
  </bookViews>
  <sheets>
    <sheet name="Form20 " sheetId="85" state="hidden" r:id="rId1"/>
    <sheet name="ECI Format" sheetId="72" r:id="rId2"/>
  </sheets>
  <externalReferences>
    <externalReference r:id="rId3"/>
  </externalReferences>
  <definedNames>
    <definedName name="_xlnm._FilterDatabase" localSheetId="1" hidden="1">'ECI Format'!$6:$440</definedName>
    <definedName name="_xlnm._FilterDatabase" localSheetId="0" hidden="1">'Form20 '!$A$7:$T$441</definedName>
    <definedName name="_xlnm.Print_Titles" localSheetId="1">'ECI Format'!$4:$6</definedName>
    <definedName name="_xlnm.Print_Titles" localSheetId="0">'Form20 '!$4:$7</definedName>
  </definedNames>
  <calcPr calcId="124519"/>
</workbook>
</file>

<file path=xl/calcChain.xml><?xml version="1.0" encoding="utf-8"?>
<calcChain xmlns="http://schemas.openxmlformats.org/spreadsheetml/2006/main">
  <c r="E440" i="72"/>
  <c r="D440"/>
  <c r="I440"/>
  <c r="G440"/>
  <c r="F440"/>
  <c r="J440"/>
  <c r="A1"/>
  <c r="A3" i="85"/>
  <c r="S446" l="1"/>
  <c r="S9"/>
  <c r="S10"/>
  <c r="S11"/>
  <c r="S12"/>
  <c r="S13"/>
  <c r="S14"/>
  <c r="S15"/>
  <c r="S16"/>
  <c r="S17"/>
  <c r="S18"/>
  <c r="S19"/>
  <c r="S20"/>
  <c r="S21"/>
  <c r="S22"/>
  <c r="S23"/>
  <c r="S24"/>
  <c r="S25"/>
  <c r="S26"/>
  <c r="S27"/>
  <c r="S28"/>
  <c r="S29"/>
  <c r="S30"/>
  <c r="S31"/>
  <c r="S32"/>
  <c r="S33"/>
  <c r="S34"/>
  <c r="S35"/>
  <c r="S36"/>
  <c r="S37"/>
  <c r="S38"/>
  <c r="S39"/>
  <c r="S40"/>
  <c r="S41"/>
  <c r="S42"/>
  <c r="S43"/>
  <c r="S44"/>
  <c r="S45"/>
  <c r="S46"/>
  <c r="S47"/>
  <c r="S48"/>
  <c r="S49"/>
  <c r="S50"/>
  <c r="S51"/>
  <c r="S52"/>
  <c r="S53"/>
  <c r="S54"/>
  <c r="S55"/>
  <c r="S56"/>
  <c r="S57"/>
  <c r="S58"/>
  <c r="S59"/>
  <c r="S60"/>
  <c r="S61"/>
  <c r="S62"/>
  <c r="S63"/>
  <c r="S64"/>
  <c r="S65"/>
  <c r="S66"/>
  <c r="S67"/>
  <c r="S68"/>
  <c r="S69"/>
  <c r="S70"/>
  <c r="S71"/>
  <c r="S72"/>
  <c r="S73"/>
  <c r="S74"/>
  <c r="S75"/>
  <c r="S76"/>
  <c r="S77"/>
  <c r="S78"/>
  <c r="S79"/>
  <c r="S80"/>
  <c r="S81"/>
  <c r="S82"/>
  <c r="S83"/>
  <c r="S84"/>
  <c r="S85"/>
  <c r="S86"/>
  <c r="S87"/>
  <c r="S88"/>
  <c r="S89"/>
  <c r="S90"/>
  <c r="S91"/>
  <c r="S92"/>
  <c r="S93"/>
  <c r="S94"/>
  <c r="S95"/>
  <c r="S96"/>
  <c r="S97"/>
  <c r="S98"/>
  <c r="S99"/>
  <c r="S100"/>
  <c r="S101"/>
  <c r="S102"/>
  <c r="S103"/>
  <c r="S104"/>
  <c r="S105"/>
  <c r="S106"/>
  <c r="S107"/>
  <c r="S108"/>
  <c r="S109"/>
  <c r="S110"/>
  <c r="S111"/>
  <c r="S112"/>
  <c r="S113"/>
  <c r="S114"/>
  <c r="S115"/>
  <c r="S116"/>
  <c r="S117"/>
  <c r="S118"/>
  <c r="S119"/>
  <c r="S120"/>
  <c r="S121"/>
  <c r="S122"/>
  <c r="S123"/>
  <c r="S124"/>
  <c r="S125"/>
  <c r="S126"/>
  <c r="S127"/>
  <c r="S128"/>
  <c r="S129"/>
  <c r="S130"/>
  <c r="S131"/>
  <c r="S132"/>
  <c r="S133"/>
  <c r="S134"/>
  <c r="S135"/>
  <c r="S136"/>
  <c r="S137"/>
  <c r="S138"/>
  <c r="S139"/>
  <c r="S140"/>
  <c r="S141"/>
  <c r="S142"/>
  <c r="S143"/>
  <c r="S144"/>
  <c r="S145"/>
  <c r="S146"/>
  <c r="S147"/>
  <c r="S148"/>
  <c r="S149"/>
  <c r="S150"/>
  <c r="S151"/>
  <c r="S152"/>
  <c r="S153"/>
  <c r="S154"/>
  <c r="S155"/>
  <c r="S156"/>
  <c r="S157"/>
  <c r="S158"/>
  <c r="S159"/>
  <c r="S160"/>
  <c r="S161"/>
  <c r="S162"/>
  <c r="S163"/>
  <c r="S164"/>
  <c r="S165"/>
  <c r="S166"/>
  <c r="S167"/>
  <c r="S168"/>
  <c r="S169"/>
  <c r="S170"/>
  <c r="S171"/>
  <c r="S172"/>
  <c r="S173"/>
  <c r="S174"/>
  <c r="S175"/>
  <c r="S176"/>
  <c r="S177"/>
  <c r="S178"/>
  <c r="S179"/>
  <c r="S180"/>
  <c r="S181"/>
  <c r="S182"/>
  <c r="S183"/>
  <c r="S184"/>
  <c r="S185"/>
  <c r="S186"/>
  <c r="S187"/>
  <c r="S188"/>
  <c r="S189"/>
  <c r="S190"/>
  <c r="S191"/>
  <c r="S192"/>
  <c r="S193"/>
  <c r="S194"/>
  <c r="S195"/>
  <c r="S196"/>
  <c r="S197"/>
  <c r="S198"/>
  <c r="S199"/>
  <c r="S200"/>
  <c r="S201"/>
  <c r="S202"/>
  <c r="S203"/>
  <c r="S204"/>
  <c r="S205"/>
  <c r="S206"/>
  <c r="S207"/>
  <c r="S208"/>
  <c r="S209"/>
  <c r="S210"/>
  <c r="S211"/>
  <c r="S212"/>
  <c r="S213"/>
  <c r="S214"/>
  <c r="S215"/>
  <c r="S216"/>
  <c r="S217"/>
  <c r="S218"/>
  <c r="S219"/>
  <c r="S220"/>
  <c r="S221"/>
  <c r="S222"/>
  <c r="S223"/>
  <c r="S224"/>
  <c r="S225"/>
  <c r="S226"/>
  <c r="S227"/>
  <c r="S228"/>
  <c r="S229"/>
  <c r="S230"/>
  <c r="S231"/>
  <c r="S232"/>
  <c r="S233"/>
  <c r="S234"/>
  <c r="S235"/>
  <c r="S236"/>
  <c r="S237"/>
  <c r="S238"/>
  <c r="S239"/>
  <c r="S240"/>
  <c r="S241"/>
  <c r="S242"/>
  <c r="S243"/>
  <c r="S244"/>
  <c r="S245"/>
  <c r="S246"/>
  <c r="S247"/>
  <c r="S248"/>
  <c r="S249"/>
  <c r="S250"/>
  <c r="S251"/>
  <c r="S252"/>
  <c r="S253"/>
  <c r="S254"/>
  <c r="S255"/>
  <c r="S256"/>
  <c r="S257"/>
  <c r="S258"/>
  <c r="S259"/>
  <c r="S260"/>
  <c r="S261"/>
  <c r="S262"/>
  <c r="S263"/>
  <c r="S264"/>
  <c r="S265"/>
  <c r="S266"/>
  <c r="S267"/>
  <c r="S268"/>
  <c r="S269"/>
  <c r="S270"/>
  <c r="S271"/>
  <c r="S272"/>
  <c r="S273"/>
  <c r="S274"/>
  <c r="S275"/>
  <c r="S276"/>
  <c r="S277"/>
  <c r="S278"/>
  <c r="S279"/>
  <c r="S280"/>
  <c r="S281"/>
  <c r="S282"/>
  <c r="S283"/>
  <c r="S284"/>
  <c r="S285"/>
  <c r="S286"/>
  <c r="S287"/>
  <c r="S288"/>
  <c r="S289"/>
  <c r="S290"/>
  <c r="S291"/>
  <c r="S292"/>
  <c r="S293"/>
  <c r="S294"/>
  <c r="S295"/>
  <c r="S296"/>
  <c r="S297"/>
  <c r="S298"/>
  <c r="S299"/>
  <c r="S300"/>
  <c r="S301"/>
  <c r="S302"/>
  <c r="S303"/>
  <c r="S304"/>
  <c r="S305"/>
  <c r="S306"/>
  <c r="S307"/>
  <c r="S308"/>
  <c r="S309"/>
  <c r="S310"/>
  <c r="S311"/>
  <c r="S312"/>
  <c r="S313"/>
  <c r="S314"/>
  <c r="S315"/>
  <c r="S316"/>
  <c r="S317"/>
  <c r="S318"/>
  <c r="S319"/>
  <c r="S320"/>
  <c r="S321"/>
  <c r="S322"/>
  <c r="S323"/>
  <c r="S324"/>
  <c r="S325"/>
  <c r="S326"/>
  <c r="S327"/>
  <c r="S328"/>
  <c r="S329"/>
  <c r="S330"/>
  <c r="S331"/>
  <c r="S332"/>
  <c r="S333"/>
  <c r="S334"/>
  <c r="S335"/>
  <c r="S336"/>
  <c r="S337"/>
  <c r="S338"/>
  <c r="S339"/>
  <c r="S340"/>
  <c r="S341"/>
  <c r="S342"/>
  <c r="S343"/>
  <c r="S344"/>
  <c r="S345"/>
  <c r="S346"/>
  <c r="S347"/>
  <c r="S348"/>
  <c r="S349"/>
  <c r="S350"/>
  <c r="S351"/>
  <c r="S352"/>
  <c r="S353"/>
  <c r="S354"/>
  <c r="S355"/>
  <c r="S356"/>
  <c r="S357"/>
  <c r="S358"/>
  <c r="S359"/>
  <c r="S360"/>
  <c r="S361"/>
  <c r="S362"/>
  <c r="S363"/>
  <c r="S364"/>
  <c r="S365"/>
  <c r="S366"/>
  <c r="S367"/>
  <c r="S368"/>
  <c r="S369"/>
  <c r="S370"/>
  <c r="S371"/>
  <c r="S372"/>
  <c r="S373"/>
  <c r="S374"/>
  <c r="S375"/>
  <c r="S376"/>
  <c r="S377"/>
  <c r="S378"/>
  <c r="S379"/>
  <c r="S380"/>
  <c r="S381"/>
  <c r="S382"/>
  <c r="S383"/>
  <c r="S384"/>
  <c r="S385"/>
  <c r="S386"/>
  <c r="S387"/>
  <c r="S388"/>
  <c r="S389"/>
  <c r="S390"/>
  <c r="S391"/>
  <c r="S392"/>
  <c r="S393"/>
  <c r="S394"/>
  <c r="S395"/>
  <c r="S396"/>
  <c r="S397"/>
  <c r="S398"/>
  <c r="S399"/>
  <c r="S400"/>
  <c r="S401"/>
  <c r="S402"/>
  <c r="S403"/>
  <c r="S404"/>
  <c r="S405"/>
  <c r="S406"/>
  <c r="S407"/>
  <c r="S408"/>
  <c r="S409"/>
  <c r="S410"/>
  <c r="S411"/>
  <c r="S412"/>
  <c r="S413"/>
  <c r="S414"/>
  <c r="S415"/>
  <c r="S416"/>
  <c r="S417"/>
  <c r="S418"/>
  <c r="S419"/>
  <c r="S420"/>
  <c r="S421"/>
  <c r="S422"/>
  <c r="S423"/>
  <c r="S424"/>
  <c r="S425"/>
  <c r="S426"/>
  <c r="S427"/>
  <c r="S428"/>
  <c r="S429"/>
  <c r="S430"/>
  <c r="S431"/>
  <c r="S432"/>
  <c r="S433"/>
  <c r="S434"/>
  <c r="S435"/>
  <c r="S436"/>
  <c r="S437"/>
  <c r="S438"/>
  <c r="S439"/>
  <c r="S440"/>
  <c r="S441"/>
  <c r="S8"/>
  <c r="Q441"/>
  <c r="Q9"/>
  <c r="Q10"/>
  <c r="Q11"/>
  <c r="Q12"/>
  <c r="Q13"/>
  <c r="Q14"/>
  <c r="Q15"/>
  <c r="Q16"/>
  <c r="Q17"/>
  <c r="Q18"/>
  <c r="Q19"/>
  <c r="Q20"/>
  <c r="Q21"/>
  <c r="Q22"/>
  <c r="Q23"/>
  <c r="Q24"/>
  <c r="Q25"/>
  <c r="Q26"/>
  <c r="Q27"/>
  <c r="Q28"/>
  <c r="Q29"/>
  <c r="Q30"/>
  <c r="Q31"/>
  <c r="Q32"/>
  <c r="Q33"/>
  <c r="Q34"/>
  <c r="Q35"/>
  <c r="Q36"/>
  <c r="Q37"/>
  <c r="Q38"/>
  <c r="Q39"/>
  <c r="Q40"/>
  <c r="Q41"/>
  <c r="Q42"/>
  <c r="Q43"/>
  <c r="Q44"/>
  <c r="Q45"/>
  <c r="Q46"/>
  <c r="Q47"/>
  <c r="Q48"/>
  <c r="Q49"/>
  <c r="Q50"/>
  <c r="Q51"/>
  <c r="Q52"/>
  <c r="Q53"/>
  <c r="Q54"/>
  <c r="Q55"/>
  <c r="Q56"/>
  <c r="Q57"/>
  <c r="Q58"/>
  <c r="Q59"/>
  <c r="Q60"/>
  <c r="Q61"/>
  <c r="Q62"/>
  <c r="Q63"/>
  <c r="Q64"/>
  <c r="Q65"/>
  <c r="Q66"/>
  <c r="Q67"/>
  <c r="Q68"/>
  <c r="Q69"/>
  <c r="Q70"/>
  <c r="Q71"/>
  <c r="Q72"/>
  <c r="Q73"/>
  <c r="Q74"/>
  <c r="Q75"/>
  <c r="Q76"/>
  <c r="Q77"/>
  <c r="Q78"/>
  <c r="Q79"/>
  <c r="Q80"/>
  <c r="Q81"/>
  <c r="Q82"/>
  <c r="Q83"/>
  <c r="Q84"/>
  <c r="Q85"/>
  <c r="Q86"/>
  <c r="Q87"/>
  <c r="Q88"/>
  <c r="Q89"/>
  <c r="Q90"/>
  <c r="Q91"/>
  <c r="Q92"/>
  <c r="Q93"/>
  <c r="Q94"/>
  <c r="Q95"/>
  <c r="Q96"/>
  <c r="Q97"/>
  <c r="Q98"/>
  <c r="Q99"/>
  <c r="Q100"/>
  <c r="Q101"/>
  <c r="Q102"/>
  <c r="Q103"/>
  <c r="Q104"/>
  <c r="Q105"/>
  <c r="Q106"/>
  <c r="Q107"/>
  <c r="Q108"/>
  <c r="Q109"/>
  <c r="Q110"/>
  <c r="Q111"/>
  <c r="Q112"/>
  <c r="Q113"/>
  <c r="Q114"/>
  <c r="Q115"/>
  <c r="Q116"/>
  <c r="Q117"/>
  <c r="Q118"/>
  <c r="Q119"/>
  <c r="Q120"/>
  <c r="Q121"/>
  <c r="Q122"/>
  <c r="Q123"/>
  <c r="Q124"/>
  <c r="Q125"/>
  <c r="Q126"/>
  <c r="Q127"/>
  <c r="Q128"/>
  <c r="Q129"/>
  <c r="Q130"/>
  <c r="Q131"/>
  <c r="Q132"/>
  <c r="Q133"/>
  <c r="Q134"/>
  <c r="Q135"/>
  <c r="Q136"/>
  <c r="Q137"/>
  <c r="Q138"/>
  <c r="Q139"/>
  <c r="Q140"/>
  <c r="Q141"/>
  <c r="Q142"/>
  <c r="Q143"/>
  <c r="Q144"/>
  <c r="Q145"/>
  <c r="Q146"/>
  <c r="Q147"/>
  <c r="Q148"/>
  <c r="Q149"/>
  <c r="Q150"/>
  <c r="Q151"/>
  <c r="Q152"/>
  <c r="Q153"/>
  <c r="Q154"/>
  <c r="Q155"/>
  <c r="Q156"/>
  <c r="Q157"/>
  <c r="Q158"/>
  <c r="Q159"/>
  <c r="Q160"/>
  <c r="Q161"/>
  <c r="Q162"/>
  <c r="Q163"/>
  <c r="Q164"/>
  <c r="Q165"/>
  <c r="Q166"/>
  <c r="Q167"/>
  <c r="Q168"/>
  <c r="Q169"/>
  <c r="Q170"/>
  <c r="Q171"/>
  <c r="Q172"/>
  <c r="Q173"/>
  <c r="Q174"/>
  <c r="Q175"/>
  <c r="Q176"/>
  <c r="Q177"/>
  <c r="Q178"/>
  <c r="Q179"/>
  <c r="Q180"/>
  <c r="Q181"/>
  <c r="Q182"/>
  <c r="Q183"/>
  <c r="Q184"/>
  <c r="Q185"/>
  <c r="Q186"/>
  <c r="Q187"/>
  <c r="Q188"/>
  <c r="Q189"/>
  <c r="Q190"/>
  <c r="Q191"/>
  <c r="Q192"/>
  <c r="Q193"/>
  <c r="Q194"/>
  <c r="Q195"/>
  <c r="Q196"/>
  <c r="Q197"/>
  <c r="Q198"/>
  <c r="Q199"/>
  <c r="Q200"/>
  <c r="Q201"/>
  <c r="Q202"/>
  <c r="Q203"/>
  <c r="Q204"/>
  <c r="Q205"/>
  <c r="Q206"/>
  <c r="Q207"/>
  <c r="Q208"/>
  <c r="Q209"/>
  <c r="Q210"/>
  <c r="Q211"/>
  <c r="Q212"/>
  <c r="Q213"/>
  <c r="Q214"/>
  <c r="Q215"/>
  <c r="Q216"/>
  <c r="Q217"/>
  <c r="Q218"/>
  <c r="Q219"/>
  <c r="Q220"/>
  <c r="Q221"/>
  <c r="Q222"/>
  <c r="Q223"/>
  <c r="Q224"/>
  <c r="Q225"/>
  <c r="Q226"/>
  <c r="Q227"/>
  <c r="Q228"/>
  <c r="Q229"/>
  <c r="Q230"/>
  <c r="Q231"/>
  <c r="Q232"/>
  <c r="Q233"/>
  <c r="Q234"/>
  <c r="Q235"/>
  <c r="Q236"/>
  <c r="Q237"/>
  <c r="Q238"/>
  <c r="Q239"/>
  <c r="Q240"/>
  <c r="Q241"/>
  <c r="Q242"/>
  <c r="Q243"/>
  <c r="Q244"/>
  <c r="Q245"/>
  <c r="Q246"/>
  <c r="Q247"/>
  <c r="Q248"/>
  <c r="Q249"/>
  <c r="Q250"/>
  <c r="Q251"/>
  <c r="Q252"/>
  <c r="Q253"/>
  <c r="Q254"/>
  <c r="Q255"/>
  <c r="Q256"/>
  <c r="Q257"/>
  <c r="Q258"/>
  <c r="Q259"/>
  <c r="Q260"/>
  <c r="Q261"/>
  <c r="Q262"/>
  <c r="Q263"/>
  <c r="Q264"/>
  <c r="Q265"/>
  <c r="Q266"/>
  <c r="Q267"/>
  <c r="Q268"/>
  <c r="Q269"/>
  <c r="Q270"/>
  <c r="Q271"/>
  <c r="Q272"/>
  <c r="Q273"/>
  <c r="Q274"/>
  <c r="Q275"/>
  <c r="Q276"/>
  <c r="Q277"/>
  <c r="Q278"/>
  <c r="Q279"/>
  <c r="Q280"/>
  <c r="Q281"/>
  <c r="Q282"/>
  <c r="Q283"/>
  <c r="Q284"/>
  <c r="Q285"/>
  <c r="Q286"/>
  <c r="Q287"/>
  <c r="Q288"/>
  <c r="Q289"/>
  <c r="Q290"/>
  <c r="Q291"/>
  <c r="Q292"/>
  <c r="Q293"/>
  <c r="Q294"/>
  <c r="Q295"/>
  <c r="Q296"/>
  <c r="Q297"/>
  <c r="Q298"/>
  <c r="Q299"/>
  <c r="Q300"/>
  <c r="Q301"/>
  <c r="Q302"/>
  <c r="Q303"/>
  <c r="Q304"/>
  <c r="Q305"/>
  <c r="Q306"/>
  <c r="Q307"/>
  <c r="Q308"/>
  <c r="Q309"/>
  <c r="Q310"/>
  <c r="Q311"/>
  <c r="Q312"/>
  <c r="Q313"/>
  <c r="Q314"/>
  <c r="Q315"/>
  <c r="Q316"/>
  <c r="Q317"/>
  <c r="Q318"/>
  <c r="Q319"/>
  <c r="Q320"/>
  <c r="Q321"/>
  <c r="Q322"/>
  <c r="Q323"/>
  <c r="Q324"/>
  <c r="Q325"/>
  <c r="Q326"/>
  <c r="Q327"/>
  <c r="Q328"/>
  <c r="Q329"/>
  <c r="Q330"/>
  <c r="Q331"/>
  <c r="Q332"/>
  <c r="Q333"/>
  <c r="Q334"/>
  <c r="Q335"/>
  <c r="Q336"/>
  <c r="Q337"/>
  <c r="Q338"/>
  <c r="Q339"/>
  <c r="Q340"/>
  <c r="Q341"/>
  <c r="Q342"/>
  <c r="Q343"/>
  <c r="Q344"/>
  <c r="Q345"/>
  <c r="Q346"/>
  <c r="Q347"/>
  <c r="Q348"/>
  <c r="Q349"/>
  <c r="Q350"/>
  <c r="Q351"/>
  <c r="Q352"/>
  <c r="Q353"/>
  <c r="Q354"/>
  <c r="Q355"/>
  <c r="Q356"/>
  <c r="Q357"/>
  <c r="Q358"/>
  <c r="Q359"/>
  <c r="Q360"/>
  <c r="Q361"/>
  <c r="Q362"/>
  <c r="Q363"/>
  <c r="Q364"/>
  <c r="Q365"/>
  <c r="Q366"/>
  <c r="Q367"/>
  <c r="Q368"/>
  <c r="Q369"/>
  <c r="Q370"/>
  <c r="Q371"/>
  <c r="Q372"/>
  <c r="Q373"/>
  <c r="Q374"/>
  <c r="Q375"/>
  <c r="Q376"/>
  <c r="Q377"/>
  <c r="Q378"/>
  <c r="Q379"/>
  <c r="Q380"/>
  <c r="Q381"/>
  <c r="Q382"/>
  <c r="Q383"/>
  <c r="Q384"/>
  <c r="Q385"/>
  <c r="Q386"/>
  <c r="Q387"/>
  <c r="Q388"/>
  <c r="Q389"/>
  <c r="Q390"/>
  <c r="Q391"/>
  <c r="Q392"/>
  <c r="Q393"/>
  <c r="Q394"/>
  <c r="Q395"/>
  <c r="Q396"/>
  <c r="Q397"/>
  <c r="Q398"/>
  <c r="Q399"/>
  <c r="Q400"/>
  <c r="Q401"/>
  <c r="Q402"/>
  <c r="Q403"/>
  <c r="Q404"/>
  <c r="Q405"/>
  <c r="Q406"/>
  <c r="Q407"/>
  <c r="Q408"/>
  <c r="Q409"/>
  <c r="Q410"/>
  <c r="Q411"/>
  <c r="Q412"/>
  <c r="Q413"/>
  <c r="Q414"/>
  <c r="Q415"/>
  <c r="Q416"/>
  <c r="Q417"/>
  <c r="Q418"/>
  <c r="Q419"/>
  <c r="Q420"/>
  <c r="Q421"/>
  <c r="Q422"/>
  <c r="Q423"/>
  <c r="Q424"/>
  <c r="Q425"/>
  <c r="Q426"/>
  <c r="Q427"/>
  <c r="Q428"/>
  <c r="Q429"/>
  <c r="Q430"/>
  <c r="Q431"/>
  <c r="Q432"/>
  <c r="Q433"/>
  <c r="Q434"/>
  <c r="Q435"/>
  <c r="Q436"/>
  <c r="Q437"/>
  <c r="Q438"/>
  <c r="Q439"/>
  <c r="Q440"/>
  <c r="Q8"/>
  <c r="C441"/>
  <c r="D441"/>
  <c r="E441"/>
  <c r="F441"/>
  <c r="G441"/>
  <c r="H441"/>
  <c r="I441"/>
  <c r="J441"/>
  <c r="K441"/>
  <c r="L441"/>
  <c r="M441"/>
  <c r="N441"/>
  <c r="O441"/>
  <c r="P441"/>
  <c r="R441"/>
  <c r="R446" l="1"/>
  <c r="H438" i="72"/>
  <c r="H439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33"/>
  <c r="H34"/>
  <c r="H35"/>
  <c r="H36"/>
  <c r="H37"/>
  <c r="H38"/>
  <c r="H39"/>
  <c r="H40"/>
  <c r="H41"/>
  <c r="H42"/>
  <c r="H43"/>
  <c r="H44"/>
  <c r="H45"/>
  <c r="H46"/>
  <c r="H47"/>
  <c r="H48"/>
  <c r="H49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H78"/>
  <c r="H79"/>
  <c r="H80"/>
  <c r="H81"/>
  <c r="H82"/>
  <c r="H83"/>
  <c r="H84"/>
  <c r="H85"/>
  <c r="H86"/>
  <c r="H87"/>
  <c r="H88"/>
  <c r="H89"/>
  <c r="H90"/>
  <c r="H91"/>
  <c r="H92"/>
  <c r="H93"/>
  <c r="H94"/>
  <c r="H95"/>
  <c r="H96"/>
  <c r="H97"/>
  <c r="H98"/>
  <c r="H99"/>
  <c r="H100"/>
  <c r="H101"/>
  <c r="H102"/>
  <c r="H103"/>
  <c r="H104"/>
  <c r="H105"/>
  <c r="H106"/>
  <c r="H107"/>
  <c r="H108"/>
  <c r="H109"/>
  <c r="H110"/>
  <c r="H111"/>
  <c r="H112"/>
  <c r="H113"/>
  <c r="H114"/>
  <c r="H115"/>
  <c r="H116"/>
  <c r="H117"/>
  <c r="H118"/>
  <c r="H119"/>
  <c r="H120"/>
  <c r="H121"/>
  <c r="H122"/>
  <c r="H123"/>
  <c r="H124"/>
  <c r="H125"/>
  <c r="H126"/>
  <c r="H127"/>
  <c r="H128"/>
  <c r="H129"/>
  <c r="H130"/>
  <c r="H131"/>
  <c r="H132"/>
  <c r="H133"/>
  <c r="H134"/>
  <c r="H135"/>
  <c r="H136"/>
  <c r="H137"/>
  <c r="H138"/>
  <c r="H139"/>
  <c r="H140"/>
  <c r="H141"/>
  <c r="H142"/>
  <c r="H143"/>
  <c r="H144"/>
  <c r="H145"/>
  <c r="H146"/>
  <c r="H147"/>
  <c r="H148"/>
  <c r="H149"/>
  <c r="H150"/>
  <c r="H151"/>
  <c r="H152"/>
  <c r="H153"/>
  <c r="H154"/>
  <c r="H155"/>
  <c r="H156"/>
  <c r="H157"/>
  <c r="H158"/>
  <c r="H159"/>
  <c r="H160"/>
  <c r="H161"/>
  <c r="H162"/>
  <c r="H163"/>
  <c r="H164"/>
  <c r="H165"/>
  <c r="H166"/>
  <c r="H167"/>
  <c r="H168"/>
  <c r="H169"/>
  <c r="H170"/>
  <c r="H171"/>
  <c r="H172"/>
  <c r="H173"/>
  <c r="H174"/>
  <c r="H175"/>
  <c r="H176"/>
  <c r="H177"/>
  <c r="H178"/>
  <c r="H179"/>
  <c r="H180"/>
  <c r="H181"/>
  <c r="H182"/>
  <c r="H183"/>
  <c r="H184"/>
  <c r="H185"/>
  <c r="H186"/>
  <c r="H187"/>
  <c r="H188"/>
  <c r="H189"/>
  <c r="H190"/>
  <c r="H191"/>
  <c r="H192"/>
  <c r="H193"/>
  <c r="H194"/>
  <c r="H195"/>
  <c r="H196"/>
  <c r="H197"/>
  <c r="H198"/>
  <c r="H199"/>
  <c r="H200"/>
  <c r="H201"/>
  <c r="H202"/>
  <c r="H203"/>
  <c r="H204"/>
  <c r="H205"/>
  <c r="H206"/>
  <c r="H207"/>
  <c r="H208"/>
  <c r="H209"/>
  <c r="H210"/>
  <c r="H211"/>
  <c r="H212"/>
  <c r="H213"/>
  <c r="H214"/>
  <c r="H215"/>
  <c r="H216"/>
  <c r="H217"/>
  <c r="H218"/>
  <c r="H219"/>
  <c r="H220"/>
  <c r="H221"/>
  <c r="H222"/>
  <c r="H223"/>
  <c r="H224"/>
  <c r="H225"/>
  <c r="H226"/>
  <c r="H227"/>
  <c r="H228"/>
  <c r="H229"/>
  <c r="H230"/>
  <c r="H231"/>
  <c r="H232"/>
  <c r="H233"/>
  <c r="H234"/>
  <c r="H235"/>
  <c r="H236"/>
  <c r="H237"/>
  <c r="H238"/>
  <c r="H239"/>
  <c r="H240"/>
  <c r="H241"/>
  <c r="H242"/>
  <c r="H243"/>
  <c r="H244"/>
  <c r="H245"/>
  <c r="H246"/>
  <c r="H247"/>
  <c r="H248"/>
  <c r="H249"/>
  <c r="H250"/>
  <c r="H251"/>
  <c r="H252"/>
  <c r="H253"/>
  <c r="H254"/>
  <c r="H255"/>
  <c r="H256"/>
  <c r="H257"/>
  <c r="H258"/>
  <c r="H259"/>
  <c r="H260"/>
  <c r="H261"/>
  <c r="H262"/>
  <c r="H263"/>
  <c r="H264"/>
  <c r="H265"/>
  <c r="H266"/>
  <c r="H267"/>
  <c r="H268"/>
  <c r="H269"/>
  <c r="H270"/>
  <c r="H271"/>
  <c r="H272"/>
  <c r="H273"/>
  <c r="H274"/>
  <c r="H275"/>
  <c r="H276"/>
  <c r="H277"/>
  <c r="H278"/>
  <c r="H279"/>
  <c r="H280"/>
  <c r="H281"/>
  <c r="H282"/>
  <c r="H283"/>
  <c r="H284"/>
  <c r="H285"/>
  <c r="H286"/>
  <c r="H287"/>
  <c r="H288"/>
  <c r="H289"/>
  <c r="H290"/>
  <c r="H291"/>
  <c r="H292"/>
  <c r="H293"/>
  <c r="H294"/>
  <c r="H295"/>
  <c r="H296"/>
  <c r="H297"/>
  <c r="H298"/>
  <c r="H299"/>
  <c r="H300"/>
  <c r="H301"/>
  <c r="H302"/>
  <c r="H303"/>
  <c r="H304"/>
  <c r="H305"/>
  <c r="H306"/>
  <c r="H307"/>
  <c r="H308"/>
  <c r="H309"/>
  <c r="H310"/>
  <c r="H311"/>
  <c r="H312"/>
  <c r="H313"/>
  <c r="H314"/>
  <c r="H315"/>
  <c r="H316"/>
  <c r="H317"/>
  <c r="H318"/>
  <c r="H319"/>
  <c r="H320"/>
  <c r="H321"/>
  <c r="H322"/>
  <c r="H323"/>
  <c r="H324"/>
  <c r="H325"/>
  <c r="H326"/>
  <c r="H327"/>
  <c r="H328"/>
  <c r="H329"/>
  <c r="H330"/>
  <c r="H331"/>
  <c r="H332"/>
  <c r="H333"/>
  <c r="H334"/>
  <c r="H335"/>
  <c r="H336"/>
  <c r="H337"/>
  <c r="H338"/>
  <c r="H339"/>
  <c r="H340"/>
  <c r="H341"/>
  <c r="H342"/>
  <c r="H343"/>
  <c r="H344"/>
  <c r="H345"/>
  <c r="H346"/>
  <c r="H347"/>
  <c r="H348"/>
  <c r="H349"/>
  <c r="H350"/>
  <c r="H351"/>
  <c r="H352"/>
  <c r="H353"/>
  <c r="H354"/>
  <c r="H355"/>
  <c r="H356"/>
  <c r="H357"/>
  <c r="H358"/>
  <c r="H359"/>
  <c r="H360"/>
  <c r="H361"/>
  <c r="H362"/>
  <c r="H363"/>
  <c r="H364"/>
  <c r="H365"/>
  <c r="H366"/>
  <c r="H367"/>
  <c r="H368"/>
  <c r="H369"/>
  <c r="H370"/>
  <c r="H371"/>
  <c r="H372"/>
  <c r="H373"/>
  <c r="H374"/>
  <c r="H375"/>
  <c r="H376"/>
  <c r="H377"/>
  <c r="H378"/>
  <c r="H379"/>
  <c r="H380"/>
  <c r="H381"/>
  <c r="H382"/>
  <c r="H383"/>
  <c r="H384"/>
  <c r="H385"/>
  <c r="H386"/>
  <c r="H387"/>
  <c r="H388"/>
  <c r="H389"/>
  <c r="H390"/>
  <c r="H391"/>
  <c r="H392"/>
  <c r="H393"/>
  <c r="H394"/>
  <c r="H395"/>
  <c r="H396"/>
  <c r="H397"/>
  <c r="H398"/>
  <c r="H399"/>
  <c r="H400"/>
  <c r="H401"/>
  <c r="H402"/>
  <c r="H403"/>
  <c r="H404"/>
  <c r="H405"/>
  <c r="H406"/>
  <c r="H407"/>
  <c r="H408"/>
  <c r="H409"/>
  <c r="H410"/>
  <c r="H411"/>
  <c r="H412"/>
  <c r="H413"/>
  <c r="H414"/>
  <c r="H415"/>
  <c r="H416"/>
  <c r="H417"/>
  <c r="H418"/>
  <c r="H419"/>
  <c r="H420"/>
  <c r="H421"/>
  <c r="H422"/>
  <c r="H423"/>
  <c r="H424"/>
  <c r="H425"/>
  <c r="H426"/>
  <c r="H427"/>
  <c r="H428"/>
  <c r="H429"/>
  <c r="H430"/>
  <c r="H431"/>
  <c r="H432"/>
  <c r="H433"/>
  <c r="H434"/>
  <c r="H435"/>
  <c r="H436"/>
  <c r="H437"/>
  <c r="H7"/>
  <c r="H440" l="1"/>
  <c r="M399"/>
  <c r="AH155"/>
  <c r="AH156"/>
  <c r="AH157"/>
  <c r="AH158"/>
  <c r="AH159"/>
  <c r="AH160"/>
  <c r="AZ428"/>
  <c r="AZ429"/>
  <c r="AZ430"/>
  <c r="AZ431"/>
  <c r="AZ432"/>
  <c r="AZ433"/>
  <c r="AZ434"/>
  <c r="AZ435"/>
  <c r="AZ436"/>
  <c r="AZ437"/>
  <c r="AZ438"/>
  <c r="AZ439"/>
  <c r="AZ427"/>
  <c r="AW428"/>
  <c r="AW429"/>
  <c r="AW430"/>
  <c r="AW431"/>
  <c r="AW432"/>
  <c r="AW433"/>
  <c r="AW434"/>
  <c r="AW435"/>
  <c r="AW436"/>
  <c r="AW437"/>
  <c r="AW438"/>
  <c r="AW439"/>
  <c r="AW427"/>
  <c r="AT428"/>
  <c r="AT429"/>
  <c r="AT430"/>
  <c r="AT431"/>
  <c r="AT432"/>
  <c r="AT433"/>
  <c r="AT434"/>
  <c r="AT435"/>
  <c r="AT436"/>
  <c r="AT437"/>
  <c r="AT438"/>
  <c r="AT439"/>
  <c r="AT427"/>
  <c r="AQ428"/>
  <c r="AQ429"/>
  <c r="AQ430"/>
  <c r="AQ431"/>
  <c r="AQ432"/>
  <c r="AQ433"/>
  <c r="AQ434"/>
  <c r="AQ435"/>
  <c r="AQ436"/>
  <c r="AQ437"/>
  <c r="AQ438"/>
  <c r="AQ439"/>
  <c r="AQ427"/>
  <c r="AN428"/>
  <c r="AN429"/>
  <c r="AN430"/>
  <c r="AN431"/>
  <c r="AN432"/>
  <c r="AN433"/>
  <c r="AN434"/>
  <c r="AN435"/>
  <c r="AN436"/>
  <c r="AN437"/>
  <c r="AN438"/>
  <c r="AN439"/>
  <c r="AN427"/>
  <c r="AK428"/>
  <c r="AK429"/>
  <c r="AK430"/>
  <c r="AK431"/>
  <c r="AK432"/>
  <c r="AK433"/>
  <c r="AK434"/>
  <c r="AK435"/>
  <c r="AK436"/>
  <c r="AK437"/>
  <c r="AK438"/>
  <c r="AK439"/>
  <c r="AK427"/>
  <c r="AH428"/>
  <c r="AH429"/>
  <c r="AH430"/>
  <c r="AH431"/>
  <c r="AH432"/>
  <c r="AH433"/>
  <c r="AH434"/>
  <c r="AH435"/>
  <c r="AH436"/>
  <c r="AH437"/>
  <c r="AH438"/>
  <c r="AH439"/>
  <c r="AH427"/>
  <c r="AE428"/>
  <c r="AE429"/>
  <c r="AE430"/>
  <c r="AE431"/>
  <c r="AE432"/>
  <c r="AE433"/>
  <c r="AE434"/>
  <c r="AE435"/>
  <c r="AE436"/>
  <c r="AE437"/>
  <c r="AE438"/>
  <c r="AE439"/>
  <c r="AE427"/>
  <c r="AB428"/>
  <c r="AB429"/>
  <c r="AB430"/>
  <c r="AB431"/>
  <c r="AB432"/>
  <c r="AB433"/>
  <c r="AB434"/>
  <c r="AB435"/>
  <c r="AB436"/>
  <c r="AB437"/>
  <c r="AB438"/>
  <c r="AB439"/>
  <c r="AB427"/>
  <c r="Y428"/>
  <c r="Y429"/>
  <c r="Y430"/>
  <c r="Y431"/>
  <c r="Y432"/>
  <c r="Y433"/>
  <c r="Y434"/>
  <c r="Y435"/>
  <c r="Y436"/>
  <c r="Y437"/>
  <c r="Y438"/>
  <c r="Y439"/>
  <c r="Y427"/>
  <c r="V428"/>
  <c r="V429"/>
  <c r="V430"/>
  <c r="V431"/>
  <c r="V432"/>
  <c r="V433"/>
  <c r="V434"/>
  <c r="V435"/>
  <c r="V436"/>
  <c r="V437"/>
  <c r="V438"/>
  <c r="V439"/>
  <c r="V427"/>
  <c r="S428"/>
  <c r="S429"/>
  <c r="S430"/>
  <c r="S431"/>
  <c r="S432"/>
  <c r="S433"/>
  <c r="S434"/>
  <c r="S435"/>
  <c r="S436"/>
  <c r="S437"/>
  <c r="S438"/>
  <c r="S439"/>
  <c r="S427"/>
  <c r="P428"/>
  <c r="P429"/>
  <c r="P430"/>
  <c r="P431"/>
  <c r="P432"/>
  <c r="P433"/>
  <c r="P434"/>
  <c r="P435"/>
  <c r="P436"/>
  <c r="P437"/>
  <c r="P438"/>
  <c r="P439"/>
  <c r="P427"/>
  <c r="M428"/>
  <c r="M429"/>
  <c r="M430"/>
  <c r="M431"/>
  <c r="M432"/>
  <c r="M433"/>
  <c r="M434"/>
  <c r="M435"/>
  <c r="M436"/>
  <c r="M437"/>
  <c r="M438"/>
  <c r="M439"/>
  <c r="M427"/>
  <c r="AZ414"/>
  <c r="AZ415"/>
  <c r="AZ416"/>
  <c r="AZ417"/>
  <c r="AZ418"/>
  <c r="AZ419"/>
  <c r="AZ420"/>
  <c r="AZ421"/>
  <c r="AZ422"/>
  <c r="AZ423"/>
  <c r="AZ424"/>
  <c r="AZ425"/>
  <c r="AZ426"/>
  <c r="AW414"/>
  <c r="AW415"/>
  <c r="AW416"/>
  <c r="AW417"/>
  <c r="AW418"/>
  <c r="AW419"/>
  <c r="AW420"/>
  <c r="AW421"/>
  <c r="AW422"/>
  <c r="AW423"/>
  <c r="AW424"/>
  <c r="AW425"/>
  <c r="AW426"/>
  <c r="AT414"/>
  <c r="AT415"/>
  <c r="AT416"/>
  <c r="AT417"/>
  <c r="AT418"/>
  <c r="AT419"/>
  <c r="AT420"/>
  <c r="AT421"/>
  <c r="AT422"/>
  <c r="AT423"/>
  <c r="AT424"/>
  <c r="AT425"/>
  <c r="AT426"/>
  <c r="AQ414"/>
  <c r="AQ415"/>
  <c r="AQ416"/>
  <c r="AQ417"/>
  <c r="AQ418"/>
  <c r="AQ419"/>
  <c r="AQ420"/>
  <c r="AQ421"/>
  <c r="AQ422"/>
  <c r="AQ423"/>
  <c r="AQ424"/>
  <c r="AQ425"/>
  <c r="AQ426"/>
  <c r="AN414"/>
  <c r="AN415"/>
  <c r="AN416"/>
  <c r="AN417"/>
  <c r="AN418"/>
  <c r="AN419"/>
  <c r="AN420"/>
  <c r="AN421"/>
  <c r="AN422"/>
  <c r="AN423"/>
  <c r="AN424"/>
  <c r="AN425"/>
  <c r="AN426"/>
  <c r="AK414"/>
  <c r="AK415"/>
  <c r="AK416"/>
  <c r="AK417"/>
  <c r="AK418"/>
  <c r="AK419"/>
  <c r="AK420"/>
  <c r="AK421"/>
  <c r="AK422"/>
  <c r="AK423"/>
  <c r="AK424"/>
  <c r="AK425"/>
  <c r="AK426"/>
  <c r="AH414"/>
  <c r="AH415"/>
  <c r="AH416"/>
  <c r="AH417"/>
  <c r="AH418"/>
  <c r="AH419"/>
  <c r="AH420"/>
  <c r="AH421"/>
  <c r="AH422"/>
  <c r="AH423"/>
  <c r="AH424"/>
  <c r="AH425"/>
  <c r="AH426"/>
  <c r="AE414"/>
  <c r="AE415"/>
  <c r="AE416"/>
  <c r="AE417"/>
  <c r="AE418"/>
  <c r="AE419"/>
  <c r="AE420"/>
  <c r="AE421"/>
  <c r="AE422"/>
  <c r="AE423"/>
  <c r="AE424"/>
  <c r="AE425"/>
  <c r="AE426"/>
  <c r="AB414"/>
  <c r="AB415"/>
  <c r="AB416"/>
  <c r="AB417"/>
  <c r="AB418"/>
  <c r="AB419"/>
  <c r="AB420"/>
  <c r="AB421"/>
  <c r="AB422"/>
  <c r="AB423"/>
  <c r="AB424"/>
  <c r="AB425"/>
  <c r="AB426"/>
  <c r="Y414"/>
  <c r="Y415"/>
  <c r="Y416"/>
  <c r="Y417"/>
  <c r="Y418"/>
  <c r="Y419"/>
  <c r="Y420"/>
  <c r="Y421"/>
  <c r="Y422"/>
  <c r="Y423"/>
  <c r="Y424"/>
  <c r="Y425"/>
  <c r="Y426"/>
  <c r="V414"/>
  <c r="V415"/>
  <c r="V416"/>
  <c r="V417"/>
  <c r="V418"/>
  <c r="V419"/>
  <c r="V420"/>
  <c r="V421"/>
  <c r="V422"/>
  <c r="V423"/>
  <c r="V424"/>
  <c r="V425"/>
  <c r="V426"/>
  <c r="S414"/>
  <c r="S415"/>
  <c r="S416"/>
  <c r="S417"/>
  <c r="S418"/>
  <c r="S419"/>
  <c r="S420"/>
  <c r="S421"/>
  <c r="S422"/>
  <c r="S423"/>
  <c r="S424"/>
  <c r="S425"/>
  <c r="S426"/>
  <c r="P414"/>
  <c r="P415"/>
  <c r="P416"/>
  <c r="P417"/>
  <c r="P418"/>
  <c r="P419"/>
  <c r="P420"/>
  <c r="P421"/>
  <c r="P422"/>
  <c r="P423"/>
  <c r="P424"/>
  <c r="P425"/>
  <c r="P426"/>
  <c r="AZ413"/>
  <c r="AW413"/>
  <c r="AT413"/>
  <c r="AQ413"/>
  <c r="AN413"/>
  <c r="AK413"/>
  <c r="AH413"/>
  <c r="AE413"/>
  <c r="AB413"/>
  <c r="Y413"/>
  <c r="V413"/>
  <c r="S413"/>
  <c r="P413"/>
  <c r="M414"/>
  <c r="M415"/>
  <c r="M416"/>
  <c r="M417"/>
  <c r="M418"/>
  <c r="M419"/>
  <c r="M420"/>
  <c r="M421"/>
  <c r="M422"/>
  <c r="M423"/>
  <c r="M424"/>
  <c r="M425"/>
  <c r="M426"/>
  <c r="M413"/>
  <c r="V286"/>
  <c r="V285"/>
  <c r="AH154"/>
  <c r="AH153"/>
  <c r="AH152"/>
  <c r="S444" i="85"/>
  <c r="M21" i="72"/>
  <c r="P7"/>
  <c r="S7"/>
  <c r="V7"/>
  <c r="Y7"/>
  <c r="AB7"/>
  <c r="AE7"/>
  <c r="AH7"/>
  <c r="AK7"/>
  <c r="AN7"/>
  <c r="AQ7"/>
  <c r="AT7"/>
  <c r="AW7"/>
  <c r="AZ7"/>
  <c r="P8"/>
  <c r="S8"/>
  <c r="V8"/>
  <c r="Y8"/>
  <c r="AB8"/>
  <c r="AE8"/>
  <c r="AH8"/>
  <c r="AK8"/>
  <c r="AN8"/>
  <c r="AQ8"/>
  <c r="AT8"/>
  <c r="AW8"/>
  <c r="AZ8"/>
  <c r="P9"/>
  <c r="S9"/>
  <c r="V9"/>
  <c r="Y9"/>
  <c r="AB9"/>
  <c r="AE9"/>
  <c r="AH9"/>
  <c r="AK9"/>
  <c r="AN9"/>
  <c r="AQ9"/>
  <c r="AT9"/>
  <c r="AW9"/>
  <c r="AZ9"/>
  <c r="P10"/>
  <c r="S10"/>
  <c r="V10"/>
  <c r="Y10"/>
  <c r="AB10"/>
  <c r="AE10"/>
  <c r="AH10"/>
  <c r="AK10"/>
  <c r="AN10"/>
  <c r="AQ10"/>
  <c r="AT10"/>
  <c r="AW10"/>
  <c r="AZ10"/>
  <c r="P11"/>
  <c r="S11"/>
  <c r="V11"/>
  <c r="Y11"/>
  <c r="AB11"/>
  <c r="AE11"/>
  <c r="AH11"/>
  <c r="AK11"/>
  <c r="AN11"/>
  <c r="AQ11"/>
  <c r="AT11"/>
  <c r="AW11"/>
  <c r="AZ11"/>
  <c r="P12"/>
  <c r="S12"/>
  <c r="V12"/>
  <c r="Y12"/>
  <c r="AB12"/>
  <c r="AE12"/>
  <c r="AH12"/>
  <c r="AK12"/>
  <c r="AN12"/>
  <c r="AQ12"/>
  <c r="AT12"/>
  <c r="AW12"/>
  <c r="AZ12"/>
  <c r="P13"/>
  <c r="S13"/>
  <c r="V13"/>
  <c r="Y13"/>
  <c r="AB13"/>
  <c r="AE13"/>
  <c r="AH13"/>
  <c r="AK13"/>
  <c r="AN13"/>
  <c r="AQ13"/>
  <c r="AT13"/>
  <c r="AW13"/>
  <c r="AZ13"/>
  <c r="P14"/>
  <c r="S14"/>
  <c r="V14"/>
  <c r="Y14"/>
  <c r="AB14"/>
  <c r="AE14"/>
  <c r="AH14"/>
  <c r="AK14"/>
  <c r="AN14"/>
  <c r="AQ14"/>
  <c r="AT14"/>
  <c r="AW14"/>
  <c r="AZ14"/>
  <c r="P15"/>
  <c r="S15"/>
  <c r="V15"/>
  <c r="Y15"/>
  <c r="AB15"/>
  <c r="AE15"/>
  <c r="AH15"/>
  <c r="AK15"/>
  <c r="AN15"/>
  <c r="AQ15"/>
  <c r="AT15"/>
  <c r="AW15"/>
  <c r="AZ15"/>
  <c r="P16"/>
  <c r="S16"/>
  <c r="V16"/>
  <c r="Y16"/>
  <c r="AB16"/>
  <c r="AE16"/>
  <c r="AH16"/>
  <c r="AK16"/>
  <c r="AN16"/>
  <c r="AQ16"/>
  <c r="AT16"/>
  <c r="AW16"/>
  <c r="AZ16"/>
  <c r="P17"/>
  <c r="S17"/>
  <c r="V17"/>
  <c r="Y17"/>
  <c r="AB17"/>
  <c r="AE17"/>
  <c r="AH17"/>
  <c r="AK17"/>
  <c r="AN17"/>
  <c r="AQ17"/>
  <c r="AT17"/>
  <c r="AW17"/>
  <c r="AZ17"/>
  <c r="P18"/>
  <c r="S18"/>
  <c r="V18"/>
  <c r="Y18"/>
  <c r="AB18"/>
  <c r="AE18"/>
  <c r="AH18"/>
  <c r="AK18"/>
  <c r="AN18"/>
  <c r="AQ18"/>
  <c r="AT18"/>
  <c r="AW18"/>
  <c r="AZ18"/>
  <c r="BA426" l="1"/>
  <c r="BA418"/>
  <c r="BA439"/>
  <c r="BA431"/>
  <c r="BA419"/>
  <c r="BA427"/>
  <c r="BA432"/>
  <c r="BA425"/>
  <c r="BA421"/>
  <c r="BA417"/>
  <c r="BA438"/>
  <c r="BA434"/>
  <c r="BA430"/>
  <c r="BA422"/>
  <c r="BA414"/>
  <c r="BA435"/>
  <c r="BA423"/>
  <c r="BA415"/>
  <c r="BA436"/>
  <c r="BA428"/>
  <c r="BA413"/>
  <c r="BA424"/>
  <c r="BA420"/>
  <c r="BA416"/>
  <c r="BA437"/>
  <c r="BA433"/>
  <c r="BA429"/>
  <c r="M11"/>
  <c r="BA11" s="1"/>
  <c r="M17"/>
  <c r="BA17" s="1"/>
  <c r="M13"/>
  <c r="BA13" s="1"/>
  <c r="M9"/>
  <c r="BA9" s="1"/>
  <c r="M18"/>
  <c r="BA18" s="1"/>
  <c r="M14"/>
  <c r="BA14" s="1"/>
  <c r="M10"/>
  <c r="BA10" s="1"/>
  <c r="M7"/>
  <c r="M15"/>
  <c r="BA15" s="1"/>
  <c r="M16"/>
  <c r="BA16" s="1"/>
  <c r="M12"/>
  <c r="BA12" s="1"/>
  <c r="M8"/>
  <c r="BA8" s="1"/>
  <c r="BA7" l="1"/>
  <c r="V398"/>
  <c r="V397"/>
  <c r="V396"/>
  <c r="V395"/>
  <c r="V394"/>
  <c r="V393"/>
  <c r="V392"/>
  <c r="V391"/>
  <c r="V390"/>
  <c r="V389"/>
  <c r="V388"/>
  <c r="V387"/>
  <c r="V386"/>
  <c r="V385"/>
  <c r="AZ412"/>
  <c r="AW412"/>
  <c r="AT412"/>
  <c r="AQ412"/>
  <c r="AN412"/>
  <c r="AK412"/>
  <c r="AH412"/>
  <c r="AE412"/>
  <c r="AB412"/>
  <c r="Y412"/>
  <c r="V412"/>
  <c r="S412"/>
  <c r="P412"/>
  <c r="AZ411"/>
  <c r="AW411"/>
  <c r="AT411"/>
  <c r="AQ411"/>
  <c r="AN411"/>
  <c r="AK411"/>
  <c r="AH411"/>
  <c r="AE411"/>
  <c r="AB411"/>
  <c r="Y411"/>
  <c r="V411"/>
  <c r="S411"/>
  <c r="P411"/>
  <c r="AZ410"/>
  <c r="AW410"/>
  <c r="AT410"/>
  <c r="AQ410"/>
  <c r="AN410"/>
  <c r="AK410"/>
  <c r="AH410"/>
  <c r="AE410"/>
  <c r="AB410"/>
  <c r="Y410"/>
  <c r="V410"/>
  <c r="S410"/>
  <c r="P410"/>
  <c r="AZ409"/>
  <c r="AW409"/>
  <c r="AT409"/>
  <c r="AQ409"/>
  <c r="AN409"/>
  <c r="AK409"/>
  <c r="AH409"/>
  <c r="AE409"/>
  <c r="AB409"/>
  <c r="Y409"/>
  <c r="V409"/>
  <c r="S409"/>
  <c r="P409"/>
  <c r="AZ408"/>
  <c r="AW408"/>
  <c r="AT408"/>
  <c r="AQ408"/>
  <c r="AN408"/>
  <c r="AK408"/>
  <c r="AH408"/>
  <c r="AE408"/>
  <c r="AB408"/>
  <c r="Y408"/>
  <c r="V408"/>
  <c r="S408"/>
  <c r="P408"/>
  <c r="AZ407"/>
  <c r="AW407"/>
  <c r="AT407"/>
  <c r="AQ407"/>
  <c r="AN407"/>
  <c r="AK407"/>
  <c r="AH407"/>
  <c r="AE407"/>
  <c r="AB407"/>
  <c r="Y407"/>
  <c r="V407"/>
  <c r="S407"/>
  <c r="P407"/>
  <c r="AZ406"/>
  <c r="AW406"/>
  <c r="AT406"/>
  <c r="AQ406"/>
  <c r="AN406"/>
  <c r="AK406"/>
  <c r="AH406"/>
  <c r="AE406"/>
  <c r="AB406"/>
  <c r="Y406"/>
  <c r="V406"/>
  <c r="S406"/>
  <c r="P406"/>
  <c r="AZ405"/>
  <c r="AW405"/>
  <c r="AT405"/>
  <c r="AQ405"/>
  <c r="AN405"/>
  <c r="AK405"/>
  <c r="AH405"/>
  <c r="AE405"/>
  <c r="AB405"/>
  <c r="Y405"/>
  <c r="V405"/>
  <c r="S405"/>
  <c r="P405"/>
  <c r="AZ404"/>
  <c r="AW404"/>
  <c r="AT404"/>
  <c r="AQ404"/>
  <c r="AN404"/>
  <c r="AK404"/>
  <c r="AH404"/>
  <c r="AE404"/>
  <c r="AB404"/>
  <c r="Y404"/>
  <c r="V404"/>
  <c r="S404"/>
  <c r="P404"/>
  <c r="AZ403"/>
  <c r="AW403"/>
  <c r="AT403"/>
  <c r="AQ403"/>
  <c r="AN403"/>
  <c r="AK403"/>
  <c r="AH403"/>
  <c r="AE403"/>
  <c r="AB403"/>
  <c r="Y403"/>
  <c r="V403"/>
  <c r="S403"/>
  <c r="P403"/>
  <c r="AZ402"/>
  <c r="AW402"/>
  <c r="AT402"/>
  <c r="AQ402"/>
  <c r="AN402"/>
  <c r="AK402"/>
  <c r="AH402"/>
  <c r="AE402"/>
  <c r="AB402"/>
  <c r="Y402"/>
  <c r="V402"/>
  <c r="S402"/>
  <c r="P402"/>
  <c r="AZ401"/>
  <c r="AW401"/>
  <c r="AT401"/>
  <c r="AQ401"/>
  <c r="AN401"/>
  <c r="AK401"/>
  <c r="AH401"/>
  <c r="AE401"/>
  <c r="AB401"/>
  <c r="Y401"/>
  <c r="V401"/>
  <c r="S401"/>
  <c r="P401"/>
  <c r="AZ400"/>
  <c r="AW400"/>
  <c r="AT400"/>
  <c r="AQ400"/>
  <c r="AN400"/>
  <c r="AK400"/>
  <c r="AH400"/>
  <c r="AE400"/>
  <c r="AB400"/>
  <c r="Y400"/>
  <c r="V400"/>
  <c r="S400"/>
  <c r="P400"/>
  <c r="AZ399"/>
  <c r="AW399"/>
  <c r="AT399"/>
  <c r="AQ399"/>
  <c r="AN399"/>
  <c r="AK399"/>
  <c r="AH399"/>
  <c r="AE399"/>
  <c r="AB399"/>
  <c r="Y399"/>
  <c r="V399"/>
  <c r="S399"/>
  <c r="AZ398"/>
  <c r="AW398"/>
  <c r="AT398"/>
  <c r="AQ398"/>
  <c r="AN398"/>
  <c r="AK398"/>
  <c r="AH398"/>
  <c r="AE398"/>
  <c r="AB398"/>
  <c r="Y398"/>
  <c r="S398"/>
  <c r="P398"/>
  <c r="AZ397"/>
  <c r="AW397"/>
  <c r="AT397"/>
  <c r="AQ397"/>
  <c r="AN397"/>
  <c r="AK397"/>
  <c r="AH397"/>
  <c r="AE397"/>
  <c r="AB397"/>
  <c r="Y397"/>
  <c r="S397"/>
  <c r="P397"/>
  <c r="AZ396"/>
  <c r="AW396"/>
  <c r="AT396"/>
  <c r="AQ396"/>
  <c r="AN396"/>
  <c r="AK396"/>
  <c r="AH396"/>
  <c r="AE396"/>
  <c r="AB396"/>
  <c r="Y396"/>
  <c r="S396"/>
  <c r="P396"/>
  <c r="AZ395"/>
  <c r="AW395"/>
  <c r="AT395"/>
  <c r="AQ395"/>
  <c r="AN395"/>
  <c r="AK395"/>
  <c r="AH395"/>
  <c r="AE395"/>
  <c r="AB395"/>
  <c r="Y395"/>
  <c r="S395"/>
  <c r="P395"/>
  <c r="AZ394"/>
  <c r="AW394"/>
  <c r="AT394"/>
  <c r="AQ394"/>
  <c r="AN394"/>
  <c r="AK394"/>
  <c r="AH394"/>
  <c r="AE394"/>
  <c r="AB394"/>
  <c r="Y394"/>
  <c r="S394"/>
  <c r="P394"/>
  <c r="AZ393"/>
  <c r="AW393"/>
  <c r="AT393"/>
  <c r="AQ393"/>
  <c r="AN393"/>
  <c r="AK393"/>
  <c r="AH393"/>
  <c r="AE393"/>
  <c r="AB393"/>
  <c r="Y393"/>
  <c r="S393"/>
  <c r="P393"/>
  <c r="AZ392"/>
  <c r="AW392"/>
  <c r="AT392"/>
  <c r="AQ392"/>
  <c r="AN392"/>
  <c r="AK392"/>
  <c r="AH392"/>
  <c r="AE392"/>
  <c r="AB392"/>
  <c r="Y392"/>
  <c r="S392"/>
  <c r="P392"/>
  <c r="AZ391"/>
  <c r="AW391"/>
  <c r="AT391"/>
  <c r="AQ391"/>
  <c r="AN391"/>
  <c r="AK391"/>
  <c r="AH391"/>
  <c r="AE391"/>
  <c r="AB391"/>
  <c r="Y391"/>
  <c r="S391"/>
  <c r="P391"/>
  <c r="AZ390"/>
  <c r="AW390"/>
  <c r="AT390"/>
  <c r="AQ390"/>
  <c r="AN390"/>
  <c r="AK390"/>
  <c r="AH390"/>
  <c r="AE390"/>
  <c r="AB390"/>
  <c r="Y390"/>
  <c r="S390"/>
  <c r="P390"/>
  <c r="AZ389"/>
  <c r="AW389"/>
  <c r="AT389"/>
  <c r="AQ389"/>
  <c r="AN389"/>
  <c r="AK389"/>
  <c r="AH389"/>
  <c r="AE389"/>
  <c r="AB389"/>
  <c r="Y389"/>
  <c r="S389"/>
  <c r="P389"/>
  <c r="AZ388"/>
  <c r="AW388"/>
  <c r="AT388"/>
  <c r="AQ388"/>
  <c r="AN388"/>
  <c r="AK388"/>
  <c r="AH388"/>
  <c r="AE388"/>
  <c r="AB388"/>
  <c r="Y388"/>
  <c r="S388"/>
  <c r="P388"/>
  <c r="AZ387"/>
  <c r="AW387"/>
  <c r="AT387"/>
  <c r="AQ387"/>
  <c r="AN387"/>
  <c r="AK387"/>
  <c r="AH387"/>
  <c r="AE387"/>
  <c r="AB387"/>
  <c r="Y387"/>
  <c r="S387"/>
  <c r="P387"/>
  <c r="AZ386"/>
  <c r="AW386"/>
  <c r="AT386"/>
  <c r="AQ386"/>
  <c r="AN386"/>
  <c r="AK386"/>
  <c r="AH386"/>
  <c r="AE386"/>
  <c r="AB386"/>
  <c r="Y386"/>
  <c r="S386"/>
  <c r="P386"/>
  <c r="AZ385"/>
  <c r="AW385"/>
  <c r="AT385"/>
  <c r="AQ385"/>
  <c r="AN385"/>
  <c r="AK385"/>
  <c r="AH385"/>
  <c r="AE385"/>
  <c r="AB385"/>
  <c r="Y385"/>
  <c r="S385"/>
  <c r="P385"/>
  <c r="AQ384"/>
  <c r="AQ383"/>
  <c r="AQ382"/>
  <c r="AQ381"/>
  <c r="AQ380"/>
  <c r="AQ379"/>
  <c r="AQ378"/>
  <c r="AQ377"/>
  <c r="AQ376"/>
  <c r="AQ375"/>
  <c r="AQ374"/>
  <c r="AQ373"/>
  <c r="AQ372"/>
  <c r="AQ371"/>
  <c r="AZ384"/>
  <c r="AW384"/>
  <c r="AT384"/>
  <c r="AN384"/>
  <c r="AK384"/>
  <c r="AH384"/>
  <c r="AE384"/>
  <c r="AB384"/>
  <c r="Y384"/>
  <c r="V384"/>
  <c r="S384"/>
  <c r="P384"/>
  <c r="AZ383"/>
  <c r="AW383"/>
  <c r="AT383"/>
  <c r="AN383"/>
  <c r="AK383"/>
  <c r="AH383"/>
  <c r="AE383"/>
  <c r="AB383"/>
  <c r="Y383"/>
  <c r="V383"/>
  <c r="S383"/>
  <c r="P383"/>
  <c r="AZ382"/>
  <c r="AW382"/>
  <c r="AT382"/>
  <c r="AN382"/>
  <c r="AK382"/>
  <c r="AH382"/>
  <c r="AE382"/>
  <c r="AB382"/>
  <c r="Y382"/>
  <c r="V382"/>
  <c r="S382"/>
  <c r="P382"/>
  <c r="AZ381"/>
  <c r="AW381"/>
  <c r="AT381"/>
  <c r="AN381"/>
  <c r="AK381"/>
  <c r="AH381"/>
  <c r="AE381"/>
  <c r="AB381"/>
  <c r="Y381"/>
  <c r="V381"/>
  <c r="S381"/>
  <c r="P381"/>
  <c r="AZ380"/>
  <c r="AW380"/>
  <c r="AT380"/>
  <c r="AN380"/>
  <c r="AK380"/>
  <c r="AH380"/>
  <c r="AE380"/>
  <c r="AB380"/>
  <c r="Y380"/>
  <c r="V380"/>
  <c r="S380"/>
  <c r="P380"/>
  <c r="AZ379"/>
  <c r="AW379"/>
  <c r="AT379"/>
  <c r="AN379"/>
  <c r="AK379"/>
  <c r="AH379"/>
  <c r="AE379"/>
  <c r="AB379"/>
  <c r="Y379"/>
  <c r="V379"/>
  <c r="S379"/>
  <c r="P379"/>
  <c r="AZ378"/>
  <c r="AW378"/>
  <c r="AT378"/>
  <c r="AN378"/>
  <c r="AK378"/>
  <c r="AH378"/>
  <c r="AE378"/>
  <c r="AB378"/>
  <c r="Y378"/>
  <c r="V378"/>
  <c r="S378"/>
  <c r="P378"/>
  <c r="AZ377"/>
  <c r="AW377"/>
  <c r="AT377"/>
  <c r="AN377"/>
  <c r="AK377"/>
  <c r="AH377"/>
  <c r="AE377"/>
  <c r="AB377"/>
  <c r="Y377"/>
  <c r="V377"/>
  <c r="S377"/>
  <c r="P377"/>
  <c r="AZ376"/>
  <c r="AW376"/>
  <c r="AT376"/>
  <c r="AN376"/>
  <c r="AK376"/>
  <c r="AH376"/>
  <c r="AE376"/>
  <c r="AB376"/>
  <c r="Y376"/>
  <c r="V376"/>
  <c r="S376"/>
  <c r="P376"/>
  <c r="AZ375"/>
  <c r="AW375"/>
  <c r="AT375"/>
  <c r="AN375"/>
  <c r="AK375"/>
  <c r="AH375"/>
  <c r="AE375"/>
  <c r="AB375"/>
  <c r="Y375"/>
  <c r="V375"/>
  <c r="S375"/>
  <c r="P375"/>
  <c r="AZ374"/>
  <c r="AW374"/>
  <c r="AT374"/>
  <c r="AN374"/>
  <c r="AK374"/>
  <c r="AH374"/>
  <c r="AE374"/>
  <c r="AB374"/>
  <c r="Y374"/>
  <c r="V374"/>
  <c r="S374"/>
  <c r="P374"/>
  <c r="AZ373"/>
  <c r="AW373"/>
  <c r="AT373"/>
  <c r="AN373"/>
  <c r="AK373"/>
  <c r="AH373"/>
  <c r="AE373"/>
  <c r="AB373"/>
  <c r="Y373"/>
  <c r="V373"/>
  <c r="S373"/>
  <c r="P373"/>
  <c r="AZ372"/>
  <c r="AW372"/>
  <c r="AT372"/>
  <c r="AN372"/>
  <c r="AK372"/>
  <c r="AH372"/>
  <c r="AE372"/>
  <c r="AB372"/>
  <c r="Y372"/>
  <c r="V372"/>
  <c r="S372"/>
  <c r="P372"/>
  <c r="AZ371"/>
  <c r="AW371"/>
  <c r="AT371"/>
  <c r="AN371"/>
  <c r="AK371"/>
  <c r="AH371"/>
  <c r="AE371"/>
  <c r="AB371"/>
  <c r="Y371"/>
  <c r="V371"/>
  <c r="S371"/>
  <c r="P371"/>
  <c r="AZ370"/>
  <c r="AW370"/>
  <c r="AT370"/>
  <c r="AQ370"/>
  <c r="AN370"/>
  <c r="AK370"/>
  <c r="AH370"/>
  <c r="AE370"/>
  <c r="AB370"/>
  <c r="Y370"/>
  <c r="V370"/>
  <c r="S370"/>
  <c r="P370"/>
  <c r="AZ369"/>
  <c r="AW369"/>
  <c r="AT369"/>
  <c r="AQ369"/>
  <c r="AN369"/>
  <c r="AK369"/>
  <c r="AH369"/>
  <c r="AE369"/>
  <c r="AB369"/>
  <c r="Y369"/>
  <c r="V369"/>
  <c r="S369"/>
  <c r="P369"/>
  <c r="AZ368"/>
  <c r="AW368"/>
  <c r="AT368"/>
  <c r="AQ368"/>
  <c r="AN368"/>
  <c r="AK368"/>
  <c r="AH368"/>
  <c r="AE368"/>
  <c r="AB368"/>
  <c r="Y368"/>
  <c r="V368"/>
  <c r="S368"/>
  <c r="P368"/>
  <c r="AZ367"/>
  <c r="AW367"/>
  <c r="AT367"/>
  <c r="AQ367"/>
  <c r="AN367"/>
  <c r="AK367"/>
  <c r="AH367"/>
  <c r="AE367"/>
  <c r="AB367"/>
  <c r="Y367"/>
  <c r="V367"/>
  <c r="S367"/>
  <c r="P367"/>
  <c r="AZ366"/>
  <c r="AW366"/>
  <c r="AT366"/>
  <c r="AQ366"/>
  <c r="AN366"/>
  <c r="AK366"/>
  <c r="AH366"/>
  <c r="AE366"/>
  <c r="AB366"/>
  <c r="Y366"/>
  <c r="V366"/>
  <c r="S366"/>
  <c r="P366"/>
  <c r="AZ365"/>
  <c r="AW365"/>
  <c r="AT365"/>
  <c r="AQ365"/>
  <c r="AN365"/>
  <c r="AK365"/>
  <c r="AH365"/>
  <c r="AE365"/>
  <c r="AB365"/>
  <c r="Y365"/>
  <c r="V365"/>
  <c r="S365"/>
  <c r="P365"/>
  <c r="AZ364"/>
  <c r="AW364"/>
  <c r="AT364"/>
  <c r="AQ364"/>
  <c r="AN364"/>
  <c r="AK364"/>
  <c r="AH364"/>
  <c r="AE364"/>
  <c r="AB364"/>
  <c r="Y364"/>
  <c r="V364"/>
  <c r="S364"/>
  <c r="P364"/>
  <c r="AZ363"/>
  <c r="AW363"/>
  <c r="AT363"/>
  <c r="AQ363"/>
  <c r="AN363"/>
  <c r="AK363"/>
  <c r="AH363"/>
  <c r="AE363"/>
  <c r="AB363"/>
  <c r="Y363"/>
  <c r="V363"/>
  <c r="S363"/>
  <c r="P363"/>
  <c r="AZ362"/>
  <c r="AW362"/>
  <c r="AT362"/>
  <c r="AQ362"/>
  <c r="AN362"/>
  <c r="AK362"/>
  <c r="AH362"/>
  <c r="AE362"/>
  <c r="AB362"/>
  <c r="Y362"/>
  <c r="V362"/>
  <c r="S362"/>
  <c r="P362"/>
  <c r="AZ361"/>
  <c r="AW361"/>
  <c r="AT361"/>
  <c r="AQ361"/>
  <c r="AN361"/>
  <c r="AK361"/>
  <c r="AH361"/>
  <c r="AE361"/>
  <c r="AB361"/>
  <c r="Y361"/>
  <c r="V361"/>
  <c r="S361"/>
  <c r="P361"/>
  <c r="AZ360"/>
  <c r="AW360"/>
  <c r="AT360"/>
  <c r="AQ360"/>
  <c r="AN360"/>
  <c r="AK360"/>
  <c r="AH360"/>
  <c r="AE360"/>
  <c r="AB360"/>
  <c r="Y360"/>
  <c r="V360"/>
  <c r="S360"/>
  <c r="P360"/>
  <c r="AZ359"/>
  <c r="AW359"/>
  <c r="AT359"/>
  <c r="AQ359"/>
  <c r="AN359"/>
  <c r="AK359"/>
  <c r="AH359"/>
  <c r="AE359"/>
  <c r="AB359"/>
  <c r="Y359"/>
  <c r="V359"/>
  <c r="S359"/>
  <c r="P359"/>
  <c r="AZ358"/>
  <c r="AW358"/>
  <c r="AT358"/>
  <c r="AQ358"/>
  <c r="AN358"/>
  <c r="AK358"/>
  <c r="AH358"/>
  <c r="AE358"/>
  <c r="AB358"/>
  <c r="Y358"/>
  <c r="V358"/>
  <c r="S358"/>
  <c r="P358"/>
  <c r="AZ357"/>
  <c r="AW357"/>
  <c r="AT357"/>
  <c r="AQ357"/>
  <c r="AN357"/>
  <c r="AK357"/>
  <c r="AH357"/>
  <c r="AE357"/>
  <c r="AB357"/>
  <c r="Y357"/>
  <c r="V357"/>
  <c r="S357"/>
  <c r="P357"/>
  <c r="AZ356"/>
  <c r="AW356"/>
  <c r="AT356"/>
  <c r="AQ356"/>
  <c r="AN356"/>
  <c r="AK356"/>
  <c r="AH356"/>
  <c r="AE356"/>
  <c r="AB356"/>
  <c r="Y356"/>
  <c r="V356"/>
  <c r="S356"/>
  <c r="P356"/>
  <c r="AZ355"/>
  <c r="AW355"/>
  <c r="AT355"/>
  <c r="AQ355"/>
  <c r="AN355"/>
  <c r="AK355"/>
  <c r="AH355"/>
  <c r="AE355"/>
  <c r="AB355"/>
  <c r="Y355"/>
  <c r="V355"/>
  <c r="S355"/>
  <c r="P355"/>
  <c r="AZ354"/>
  <c r="AW354"/>
  <c r="AT354"/>
  <c r="AQ354"/>
  <c r="AN354"/>
  <c r="AK354"/>
  <c r="AH354"/>
  <c r="AE354"/>
  <c r="AB354"/>
  <c r="Y354"/>
  <c r="V354"/>
  <c r="S354"/>
  <c r="P354"/>
  <c r="AZ353"/>
  <c r="AW353"/>
  <c r="AT353"/>
  <c r="AQ353"/>
  <c r="AN353"/>
  <c r="AK353"/>
  <c r="AH353"/>
  <c r="AE353"/>
  <c r="AB353"/>
  <c r="Y353"/>
  <c r="V353"/>
  <c r="S353"/>
  <c r="P353"/>
  <c r="AZ352"/>
  <c r="AW352"/>
  <c r="AT352"/>
  <c r="AQ352"/>
  <c r="AN352"/>
  <c r="AK352"/>
  <c r="AH352"/>
  <c r="AE352"/>
  <c r="AB352"/>
  <c r="Y352"/>
  <c r="V352"/>
  <c r="S352"/>
  <c r="P352"/>
  <c r="AZ351"/>
  <c r="AW351"/>
  <c r="AT351"/>
  <c r="AQ351"/>
  <c r="AN351"/>
  <c r="AK351"/>
  <c r="AH351"/>
  <c r="AE351"/>
  <c r="AB351"/>
  <c r="Y351"/>
  <c r="V351"/>
  <c r="S351"/>
  <c r="P351"/>
  <c r="AZ350"/>
  <c r="AW350"/>
  <c r="AT350"/>
  <c r="AQ350"/>
  <c r="AN350"/>
  <c r="AK350"/>
  <c r="AH350"/>
  <c r="AE350"/>
  <c r="AB350"/>
  <c r="Y350"/>
  <c r="V350"/>
  <c r="S350"/>
  <c r="P350"/>
  <c r="AZ349"/>
  <c r="AW349"/>
  <c r="AT349"/>
  <c r="AQ349"/>
  <c r="AN349"/>
  <c r="AK349"/>
  <c r="AH349"/>
  <c r="AE349"/>
  <c r="AB349"/>
  <c r="Y349"/>
  <c r="V349"/>
  <c r="S349"/>
  <c r="P349"/>
  <c r="AZ348"/>
  <c r="AW348"/>
  <c r="AT348"/>
  <c r="AQ348"/>
  <c r="AN348"/>
  <c r="AK348"/>
  <c r="AH348"/>
  <c r="AE348"/>
  <c r="AB348"/>
  <c r="Y348"/>
  <c r="V348"/>
  <c r="S348"/>
  <c r="P348"/>
  <c r="AZ347"/>
  <c r="AW347"/>
  <c r="AT347"/>
  <c r="AQ347"/>
  <c r="AN347"/>
  <c r="AK347"/>
  <c r="AH347"/>
  <c r="AE347"/>
  <c r="AB347"/>
  <c r="Y347"/>
  <c r="V347"/>
  <c r="S347"/>
  <c r="P347"/>
  <c r="AZ346"/>
  <c r="AW346"/>
  <c r="AT346"/>
  <c r="AQ346"/>
  <c r="AN346"/>
  <c r="AK346"/>
  <c r="AH346"/>
  <c r="AE346"/>
  <c r="AB346"/>
  <c r="Y346"/>
  <c r="V346"/>
  <c r="S346"/>
  <c r="P346"/>
  <c r="AZ345"/>
  <c r="AW345"/>
  <c r="AT345"/>
  <c r="AQ345"/>
  <c r="AN345"/>
  <c r="AK345"/>
  <c r="AH345"/>
  <c r="AE345"/>
  <c r="AB345"/>
  <c r="Y345"/>
  <c r="V345"/>
  <c r="S345"/>
  <c r="P345"/>
  <c r="AZ344"/>
  <c r="AW344"/>
  <c r="AT344"/>
  <c r="AQ344"/>
  <c r="AN344"/>
  <c r="AK344"/>
  <c r="AH344"/>
  <c r="AE344"/>
  <c r="AB344"/>
  <c r="Y344"/>
  <c r="V344"/>
  <c r="S344"/>
  <c r="P344"/>
  <c r="AZ343"/>
  <c r="AW343"/>
  <c r="AT343"/>
  <c r="AQ343"/>
  <c r="AN343"/>
  <c r="AK343"/>
  <c r="AH343"/>
  <c r="AE343"/>
  <c r="AB343"/>
  <c r="Y343"/>
  <c r="V343"/>
  <c r="S343"/>
  <c r="P343"/>
  <c r="AZ342"/>
  <c r="AW342"/>
  <c r="AT342"/>
  <c r="AQ342"/>
  <c r="AN342"/>
  <c r="AK342"/>
  <c r="AH342"/>
  <c r="AE342"/>
  <c r="AB342"/>
  <c r="Y342"/>
  <c r="V342"/>
  <c r="S342"/>
  <c r="P342"/>
  <c r="AZ341"/>
  <c r="AW341"/>
  <c r="AT341"/>
  <c r="AQ341"/>
  <c r="AN341"/>
  <c r="AK341"/>
  <c r="AH341"/>
  <c r="AE341"/>
  <c r="AB341"/>
  <c r="Y341"/>
  <c r="V341"/>
  <c r="S341"/>
  <c r="P341"/>
  <c r="AZ340"/>
  <c r="AW340"/>
  <c r="AT340"/>
  <c r="AQ340"/>
  <c r="AN340"/>
  <c r="AK340"/>
  <c r="AH340"/>
  <c r="AE340"/>
  <c r="AB340"/>
  <c r="Y340"/>
  <c r="V340"/>
  <c r="S340"/>
  <c r="P340"/>
  <c r="AZ339"/>
  <c r="AW339"/>
  <c r="AT339"/>
  <c r="AQ339"/>
  <c r="AN339"/>
  <c r="AK339"/>
  <c r="AH339"/>
  <c r="AE339"/>
  <c r="AB339"/>
  <c r="Y339"/>
  <c r="V339"/>
  <c r="S339"/>
  <c r="P339"/>
  <c r="AZ338"/>
  <c r="AW338"/>
  <c r="AT338"/>
  <c r="AQ338"/>
  <c r="AN338"/>
  <c r="AK338"/>
  <c r="AH338"/>
  <c r="AE338"/>
  <c r="AB338"/>
  <c r="Y338"/>
  <c r="V338"/>
  <c r="S338"/>
  <c r="P338"/>
  <c r="AZ337"/>
  <c r="AW337"/>
  <c r="AT337"/>
  <c r="AQ337"/>
  <c r="AN337"/>
  <c r="AK337"/>
  <c r="AH337"/>
  <c r="AE337"/>
  <c r="AB337"/>
  <c r="Y337"/>
  <c r="V337"/>
  <c r="S337"/>
  <c r="P337"/>
  <c r="AZ336"/>
  <c r="AW336"/>
  <c r="AT336"/>
  <c r="AQ336"/>
  <c r="AN336"/>
  <c r="AK336"/>
  <c r="AH336"/>
  <c r="AE336"/>
  <c r="AB336"/>
  <c r="Y336"/>
  <c r="V336"/>
  <c r="S336"/>
  <c r="P336"/>
  <c r="AZ335"/>
  <c r="AW335"/>
  <c r="AT335"/>
  <c r="AQ335"/>
  <c r="AN335"/>
  <c r="AK335"/>
  <c r="AH335"/>
  <c r="AE335"/>
  <c r="AB335"/>
  <c r="Y335"/>
  <c r="V335"/>
  <c r="S335"/>
  <c r="P335"/>
  <c r="AZ334"/>
  <c r="AW334"/>
  <c r="AT334"/>
  <c r="AQ334"/>
  <c r="AN334"/>
  <c r="AK334"/>
  <c r="AH334"/>
  <c r="AE334"/>
  <c r="AB334"/>
  <c r="Y334"/>
  <c r="V334"/>
  <c r="S334"/>
  <c r="P334"/>
  <c r="AZ333"/>
  <c r="AW333"/>
  <c r="AT333"/>
  <c r="AQ333"/>
  <c r="AN333"/>
  <c r="AK333"/>
  <c r="AH333"/>
  <c r="AE333"/>
  <c r="AB333"/>
  <c r="Y333"/>
  <c r="V333"/>
  <c r="S333"/>
  <c r="P333"/>
  <c r="AZ332"/>
  <c r="AW332"/>
  <c r="AT332"/>
  <c r="AQ332"/>
  <c r="AN332"/>
  <c r="AK332"/>
  <c r="AH332"/>
  <c r="AE332"/>
  <c r="AB332"/>
  <c r="Y332"/>
  <c r="V332"/>
  <c r="S332"/>
  <c r="P332"/>
  <c r="AZ331"/>
  <c r="AW331"/>
  <c r="AT331"/>
  <c r="AQ331"/>
  <c r="AN331"/>
  <c r="AK331"/>
  <c r="AH331"/>
  <c r="AE331"/>
  <c r="AB331"/>
  <c r="Y331"/>
  <c r="V331"/>
  <c r="S331"/>
  <c r="P331"/>
  <c r="AZ330"/>
  <c r="AW330"/>
  <c r="AT330"/>
  <c r="AQ330"/>
  <c r="AN330"/>
  <c r="AK330"/>
  <c r="AH330"/>
  <c r="AE330"/>
  <c r="AB330"/>
  <c r="Y330"/>
  <c r="V330"/>
  <c r="S330"/>
  <c r="P330"/>
  <c r="AZ329"/>
  <c r="AW329"/>
  <c r="AT329"/>
  <c r="AQ329"/>
  <c r="AN329"/>
  <c r="AK329"/>
  <c r="AH329"/>
  <c r="AE329"/>
  <c r="AB329"/>
  <c r="Y329"/>
  <c r="V329"/>
  <c r="S329"/>
  <c r="P329"/>
  <c r="AZ328"/>
  <c r="AW328"/>
  <c r="AT328"/>
  <c r="AQ328"/>
  <c r="AN328"/>
  <c r="AK328"/>
  <c r="AH328"/>
  <c r="AE328"/>
  <c r="AB328"/>
  <c r="Y328"/>
  <c r="V328"/>
  <c r="S328"/>
  <c r="P328"/>
  <c r="AZ327"/>
  <c r="AW327"/>
  <c r="AT327"/>
  <c r="AQ327"/>
  <c r="AN327"/>
  <c r="AK327"/>
  <c r="AH327"/>
  <c r="AE327"/>
  <c r="AB327"/>
  <c r="Y327"/>
  <c r="V327"/>
  <c r="S327"/>
  <c r="P327"/>
  <c r="AZ326"/>
  <c r="AW326"/>
  <c r="AT326"/>
  <c r="AQ326"/>
  <c r="AN326"/>
  <c r="AK326"/>
  <c r="AH326"/>
  <c r="AE326"/>
  <c r="AB326"/>
  <c r="Y326"/>
  <c r="V326"/>
  <c r="S326"/>
  <c r="P326"/>
  <c r="AZ325"/>
  <c r="AW325"/>
  <c r="AT325"/>
  <c r="AQ325"/>
  <c r="AN325"/>
  <c r="AK325"/>
  <c r="AH325"/>
  <c r="AE325"/>
  <c r="AB325"/>
  <c r="Y325"/>
  <c r="V325"/>
  <c r="S325"/>
  <c r="P325"/>
  <c r="AZ324"/>
  <c r="AW324"/>
  <c r="AT324"/>
  <c r="AQ324"/>
  <c r="AN324"/>
  <c r="AK324"/>
  <c r="AH324"/>
  <c r="AE324"/>
  <c r="AB324"/>
  <c r="Y324"/>
  <c r="V324"/>
  <c r="S324"/>
  <c r="P324"/>
  <c r="AZ323"/>
  <c r="AW323"/>
  <c r="AT323"/>
  <c r="AQ323"/>
  <c r="AN323"/>
  <c r="AK323"/>
  <c r="AH323"/>
  <c r="AE323"/>
  <c r="AB323"/>
  <c r="Y323"/>
  <c r="V323"/>
  <c r="S323"/>
  <c r="P323"/>
  <c r="AZ322"/>
  <c r="AW322"/>
  <c r="AT322"/>
  <c r="AQ322"/>
  <c r="AN322"/>
  <c r="AK322"/>
  <c r="AH322"/>
  <c r="AE322"/>
  <c r="AB322"/>
  <c r="Y322"/>
  <c r="V322"/>
  <c r="S322"/>
  <c r="P322"/>
  <c r="AZ321"/>
  <c r="AW321"/>
  <c r="AT321"/>
  <c r="AQ321"/>
  <c r="AN321"/>
  <c r="AK321"/>
  <c r="AH321"/>
  <c r="AE321"/>
  <c r="AB321"/>
  <c r="Y321"/>
  <c r="V321"/>
  <c r="S321"/>
  <c r="P321"/>
  <c r="AZ320"/>
  <c r="AW320"/>
  <c r="AT320"/>
  <c r="AQ320"/>
  <c r="AN320"/>
  <c r="AK320"/>
  <c r="AH320"/>
  <c r="AE320"/>
  <c r="AB320"/>
  <c r="Y320"/>
  <c r="V320"/>
  <c r="S320"/>
  <c r="P320"/>
  <c r="AZ319"/>
  <c r="AW319"/>
  <c r="AT319"/>
  <c r="AQ319"/>
  <c r="AN319"/>
  <c r="AK319"/>
  <c r="AH319"/>
  <c r="AE319"/>
  <c r="AB319"/>
  <c r="Y319"/>
  <c r="V319"/>
  <c r="S319"/>
  <c r="P319"/>
  <c r="AZ318"/>
  <c r="AW318"/>
  <c r="AT318"/>
  <c r="AQ318"/>
  <c r="AN318"/>
  <c r="AK318"/>
  <c r="AH318"/>
  <c r="AE318"/>
  <c r="AB318"/>
  <c r="Y318"/>
  <c r="V318"/>
  <c r="S318"/>
  <c r="P318"/>
  <c r="AZ317"/>
  <c r="AW317"/>
  <c r="AT317"/>
  <c r="AQ317"/>
  <c r="AN317"/>
  <c r="AK317"/>
  <c r="AH317"/>
  <c r="AE317"/>
  <c r="AB317"/>
  <c r="Y317"/>
  <c r="V317"/>
  <c r="S317"/>
  <c r="P317"/>
  <c r="AZ316"/>
  <c r="AW316"/>
  <c r="AT316"/>
  <c r="AQ316"/>
  <c r="AN316"/>
  <c r="AK316"/>
  <c r="AH316"/>
  <c r="AE316"/>
  <c r="AB316"/>
  <c r="Y316"/>
  <c r="V316"/>
  <c r="S316"/>
  <c r="P316"/>
  <c r="AZ315"/>
  <c r="AW315"/>
  <c r="AT315"/>
  <c r="AQ315"/>
  <c r="AN315"/>
  <c r="AK315"/>
  <c r="AH315"/>
  <c r="AE315"/>
  <c r="AB315"/>
  <c r="Y315"/>
  <c r="V315"/>
  <c r="S315"/>
  <c r="P315"/>
  <c r="AZ314"/>
  <c r="AW314"/>
  <c r="AT314"/>
  <c r="AQ314"/>
  <c r="AN314"/>
  <c r="AK314"/>
  <c r="AH314"/>
  <c r="AE314"/>
  <c r="AB314"/>
  <c r="Y314"/>
  <c r="V314"/>
  <c r="S314"/>
  <c r="P314"/>
  <c r="AZ313"/>
  <c r="AW313"/>
  <c r="AT313"/>
  <c r="AQ313"/>
  <c r="AN313"/>
  <c r="AK313"/>
  <c r="AH313"/>
  <c r="AE313"/>
  <c r="AB313"/>
  <c r="Y313"/>
  <c r="V313"/>
  <c r="S313"/>
  <c r="P313"/>
  <c r="AZ312"/>
  <c r="AW312"/>
  <c r="AT312"/>
  <c r="AQ312"/>
  <c r="AN312"/>
  <c r="AK312"/>
  <c r="AH312"/>
  <c r="AE312"/>
  <c r="AB312"/>
  <c r="Y312"/>
  <c r="V312"/>
  <c r="S312"/>
  <c r="P312"/>
  <c r="AZ311"/>
  <c r="AW311"/>
  <c r="AT311"/>
  <c r="AQ311"/>
  <c r="AN311"/>
  <c r="AK311"/>
  <c r="AH311"/>
  <c r="AE311"/>
  <c r="AB311"/>
  <c r="Y311"/>
  <c r="V311"/>
  <c r="S311"/>
  <c r="P311"/>
  <c r="AZ310"/>
  <c r="AW310"/>
  <c r="AT310"/>
  <c r="AQ310"/>
  <c r="AN310"/>
  <c r="AK310"/>
  <c r="AH310"/>
  <c r="AE310"/>
  <c r="AB310"/>
  <c r="Y310"/>
  <c r="V310"/>
  <c r="S310"/>
  <c r="P310"/>
  <c r="AZ309"/>
  <c r="AW309"/>
  <c r="AT309"/>
  <c r="AQ309"/>
  <c r="AN309"/>
  <c r="AK309"/>
  <c r="AH309"/>
  <c r="AE309"/>
  <c r="AB309"/>
  <c r="Y309"/>
  <c r="V309"/>
  <c r="S309"/>
  <c r="P309"/>
  <c r="AZ308"/>
  <c r="AW308"/>
  <c r="AT308"/>
  <c r="AQ308"/>
  <c r="AN308"/>
  <c r="AK308"/>
  <c r="AH308"/>
  <c r="AE308"/>
  <c r="AB308"/>
  <c r="Y308"/>
  <c r="V308"/>
  <c r="S308"/>
  <c r="P308"/>
  <c r="AZ307"/>
  <c r="AW307"/>
  <c r="AT307"/>
  <c r="AQ307"/>
  <c r="AN307"/>
  <c r="AK307"/>
  <c r="AH307"/>
  <c r="AE307"/>
  <c r="AB307"/>
  <c r="Y307"/>
  <c r="V307"/>
  <c r="S307"/>
  <c r="P307"/>
  <c r="AZ306"/>
  <c r="AW306"/>
  <c r="AT306"/>
  <c r="AQ306"/>
  <c r="AN306"/>
  <c r="AK306"/>
  <c r="AH306"/>
  <c r="AE306"/>
  <c r="AB306"/>
  <c r="Y306"/>
  <c r="V306"/>
  <c r="S306"/>
  <c r="P306"/>
  <c r="AZ305"/>
  <c r="AW305"/>
  <c r="AT305"/>
  <c r="AQ305"/>
  <c r="AN305"/>
  <c r="AK305"/>
  <c r="AH305"/>
  <c r="AE305"/>
  <c r="AB305"/>
  <c r="Y305"/>
  <c r="V305"/>
  <c r="S305"/>
  <c r="P305"/>
  <c r="AZ304"/>
  <c r="AW304"/>
  <c r="AT304"/>
  <c r="AQ304"/>
  <c r="AN304"/>
  <c r="AK304"/>
  <c r="AH304"/>
  <c r="AE304"/>
  <c r="AB304"/>
  <c r="Y304"/>
  <c r="V304"/>
  <c r="S304"/>
  <c r="P304"/>
  <c r="AZ303"/>
  <c r="AW303"/>
  <c r="AT303"/>
  <c r="AQ303"/>
  <c r="AN303"/>
  <c r="AK303"/>
  <c r="AH303"/>
  <c r="AE303"/>
  <c r="AB303"/>
  <c r="Y303"/>
  <c r="V303"/>
  <c r="S303"/>
  <c r="P303"/>
  <c r="AZ302"/>
  <c r="AW302"/>
  <c r="AT302"/>
  <c r="AQ302"/>
  <c r="AN302"/>
  <c r="AK302"/>
  <c r="AH302"/>
  <c r="AE302"/>
  <c r="AB302"/>
  <c r="Y302"/>
  <c r="V302"/>
  <c r="S302"/>
  <c r="P302"/>
  <c r="AZ301"/>
  <c r="AW301"/>
  <c r="AT301"/>
  <c r="AQ301"/>
  <c r="AN301"/>
  <c r="AK301"/>
  <c r="AH301"/>
  <c r="AE301"/>
  <c r="AB301"/>
  <c r="Y301"/>
  <c r="V301"/>
  <c r="S301"/>
  <c r="P301"/>
  <c r="S300"/>
  <c r="S299"/>
  <c r="S298"/>
  <c r="S297"/>
  <c r="S296"/>
  <c r="S295"/>
  <c r="S294"/>
  <c r="S293"/>
  <c r="S292"/>
  <c r="S291"/>
  <c r="S290"/>
  <c r="S289"/>
  <c r="S288"/>
  <c r="S287"/>
  <c r="V300"/>
  <c r="V299"/>
  <c r="V298"/>
  <c r="V297"/>
  <c r="V296"/>
  <c r="V295"/>
  <c r="V294"/>
  <c r="V293"/>
  <c r="V292"/>
  <c r="V291"/>
  <c r="V290"/>
  <c r="V289"/>
  <c r="V288"/>
  <c r="V287"/>
  <c r="AE300"/>
  <c r="AB300"/>
  <c r="Y300"/>
  <c r="AZ300"/>
  <c r="AW300"/>
  <c r="AT300"/>
  <c r="AQ300"/>
  <c r="AN300"/>
  <c r="AK300"/>
  <c r="AH300"/>
  <c r="P300"/>
  <c r="AZ299"/>
  <c r="AW299"/>
  <c r="AT299"/>
  <c r="AQ299"/>
  <c r="AN299"/>
  <c r="AK299"/>
  <c r="AH299"/>
  <c r="AE299"/>
  <c r="AB299"/>
  <c r="Y299"/>
  <c r="P299"/>
  <c r="AZ298"/>
  <c r="AW298"/>
  <c r="AT298"/>
  <c r="AQ298"/>
  <c r="AN298"/>
  <c r="AK298"/>
  <c r="AH298"/>
  <c r="AE298"/>
  <c r="AB298"/>
  <c r="Y298"/>
  <c r="P298"/>
  <c r="AZ297"/>
  <c r="AW297"/>
  <c r="AT297"/>
  <c r="AQ297"/>
  <c r="AN297"/>
  <c r="AK297"/>
  <c r="AH297"/>
  <c r="AE297"/>
  <c r="AB297"/>
  <c r="Y297"/>
  <c r="P297"/>
  <c r="AZ296"/>
  <c r="AW296"/>
  <c r="AT296"/>
  <c r="AQ296"/>
  <c r="AN296"/>
  <c r="AK296"/>
  <c r="AH296"/>
  <c r="AE296"/>
  <c r="AB296"/>
  <c r="Y296"/>
  <c r="P296"/>
  <c r="AZ295"/>
  <c r="AW295"/>
  <c r="AT295"/>
  <c r="AQ295"/>
  <c r="AN295"/>
  <c r="AK295"/>
  <c r="AH295"/>
  <c r="AE295"/>
  <c r="AB295"/>
  <c r="Y295"/>
  <c r="P295"/>
  <c r="AZ294"/>
  <c r="AW294"/>
  <c r="AT294"/>
  <c r="AQ294"/>
  <c r="AN294"/>
  <c r="AK294"/>
  <c r="AH294"/>
  <c r="AE294"/>
  <c r="AB294"/>
  <c r="Y294"/>
  <c r="P294"/>
  <c r="AZ293"/>
  <c r="AW293"/>
  <c r="AT293"/>
  <c r="AQ293"/>
  <c r="AN293"/>
  <c r="AK293"/>
  <c r="AH293"/>
  <c r="AE293"/>
  <c r="AB293"/>
  <c r="Y293"/>
  <c r="P293"/>
  <c r="AZ292"/>
  <c r="AW292"/>
  <c r="AT292"/>
  <c r="AQ292"/>
  <c r="AN292"/>
  <c r="AK292"/>
  <c r="AH292"/>
  <c r="AE292"/>
  <c r="AB292"/>
  <c r="Y292"/>
  <c r="P292"/>
  <c r="AZ291"/>
  <c r="AW291"/>
  <c r="AT291"/>
  <c r="AQ291"/>
  <c r="AN291"/>
  <c r="AK291"/>
  <c r="AH291"/>
  <c r="AE291"/>
  <c r="AB291"/>
  <c r="Y291"/>
  <c r="P291"/>
  <c r="AZ290"/>
  <c r="AW290"/>
  <c r="AT290"/>
  <c r="AQ290"/>
  <c r="AN290"/>
  <c r="AK290"/>
  <c r="AH290"/>
  <c r="AE290"/>
  <c r="AB290"/>
  <c r="Y290"/>
  <c r="P290"/>
  <c r="AZ289"/>
  <c r="AW289"/>
  <c r="AT289"/>
  <c r="AQ289"/>
  <c r="AN289"/>
  <c r="AK289"/>
  <c r="AH289"/>
  <c r="AE289"/>
  <c r="AB289"/>
  <c r="Y289"/>
  <c r="P289"/>
  <c r="AZ288"/>
  <c r="AW288"/>
  <c r="AT288"/>
  <c r="AQ288"/>
  <c r="AN288"/>
  <c r="AK288"/>
  <c r="AH288"/>
  <c r="AE288"/>
  <c r="AB288"/>
  <c r="Y288"/>
  <c r="P288"/>
  <c r="AZ287"/>
  <c r="AW287"/>
  <c r="AT287"/>
  <c r="AQ287"/>
  <c r="AN287"/>
  <c r="AK287"/>
  <c r="AH287"/>
  <c r="AE287"/>
  <c r="AB287"/>
  <c r="Y287"/>
  <c r="P287"/>
  <c r="AZ284"/>
  <c r="AW283"/>
  <c r="AT283"/>
  <c r="AZ286"/>
  <c r="AW286"/>
  <c r="AT286"/>
  <c r="AQ286"/>
  <c r="AN286"/>
  <c r="AK286"/>
  <c r="AH286"/>
  <c r="AE286"/>
  <c r="AB286"/>
  <c r="Y286"/>
  <c r="AZ285"/>
  <c r="AW285"/>
  <c r="AT285"/>
  <c r="AQ285"/>
  <c r="AN285"/>
  <c r="AK285"/>
  <c r="AH285"/>
  <c r="AE285"/>
  <c r="AB285"/>
  <c r="Y285"/>
  <c r="AW284"/>
  <c r="AT284"/>
  <c r="AQ284"/>
  <c r="AN284"/>
  <c r="AK284"/>
  <c r="AH284"/>
  <c r="AE284"/>
  <c r="AB284"/>
  <c r="Y284"/>
  <c r="AZ283"/>
  <c r="AQ283"/>
  <c r="AN283"/>
  <c r="AK283"/>
  <c r="AH283"/>
  <c r="AE283"/>
  <c r="AB283"/>
  <c r="Y283"/>
  <c r="AZ282"/>
  <c r="AW282"/>
  <c r="AT282"/>
  <c r="AQ282"/>
  <c r="AN282"/>
  <c r="AK282"/>
  <c r="AH282"/>
  <c r="AE282"/>
  <c r="AB282"/>
  <c r="Y282"/>
  <c r="AZ281"/>
  <c r="AW281"/>
  <c r="AT281"/>
  <c r="AQ281"/>
  <c r="AN281"/>
  <c r="AK281"/>
  <c r="AH281"/>
  <c r="AE281"/>
  <c r="AB281"/>
  <c r="Y281"/>
  <c r="AZ280"/>
  <c r="AW280"/>
  <c r="AT280"/>
  <c r="AQ280"/>
  <c r="AN280"/>
  <c r="AK280"/>
  <c r="AH280"/>
  <c r="AE280"/>
  <c r="AB280"/>
  <c r="Y280"/>
  <c r="AZ279"/>
  <c r="AW279"/>
  <c r="AT279"/>
  <c r="AQ279"/>
  <c r="AN279"/>
  <c r="AK279"/>
  <c r="AH279"/>
  <c r="AE279"/>
  <c r="AB279"/>
  <c r="Y279"/>
  <c r="AZ278"/>
  <c r="AW278"/>
  <c r="AT278"/>
  <c r="AQ278"/>
  <c r="AN278"/>
  <c r="AK278"/>
  <c r="AH278"/>
  <c r="AE278"/>
  <c r="AB278"/>
  <c r="Y278"/>
  <c r="AZ277"/>
  <c r="AW277"/>
  <c r="AT277"/>
  <c r="AQ277"/>
  <c r="AN277"/>
  <c r="AK277"/>
  <c r="AH277"/>
  <c r="AE277"/>
  <c r="AB277"/>
  <c r="Y277"/>
  <c r="AZ276"/>
  <c r="AW276"/>
  <c r="AT276"/>
  <c r="AQ276"/>
  <c r="AN276"/>
  <c r="AK276"/>
  <c r="AH276"/>
  <c r="AE276"/>
  <c r="AB276"/>
  <c r="Y276"/>
  <c r="AZ275"/>
  <c r="AW275"/>
  <c r="AT275"/>
  <c r="AQ275"/>
  <c r="AN275"/>
  <c r="AK275"/>
  <c r="AH275"/>
  <c r="AE275"/>
  <c r="AB275"/>
  <c r="Y275"/>
  <c r="AZ274"/>
  <c r="AW274"/>
  <c r="AT274"/>
  <c r="AQ274"/>
  <c r="AN274"/>
  <c r="AK274"/>
  <c r="AH274"/>
  <c r="AE274"/>
  <c r="AB274"/>
  <c r="Y274"/>
  <c r="V284"/>
  <c r="V283"/>
  <c r="V282"/>
  <c r="V281"/>
  <c r="V280"/>
  <c r="V279"/>
  <c r="V278"/>
  <c r="V277"/>
  <c r="V276"/>
  <c r="V275"/>
  <c r="V274"/>
  <c r="S286"/>
  <c r="S285"/>
  <c r="S284"/>
  <c r="S283"/>
  <c r="S282"/>
  <c r="S281"/>
  <c r="S280"/>
  <c r="S279"/>
  <c r="S278"/>
  <c r="S277"/>
  <c r="S276"/>
  <c r="S275"/>
  <c r="S274"/>
  <c r="P286"/>
  <c r="P285"/>
  <c r="P284"/>
  <c r="P283"/>
  <c r="P282"/>
  <c r="P281"/>
  <c r="P280"/>
  <c r="P279"/>
  <c r="P278"/>
  <c r="P277"/>
  <c r="P276"/>
  <c r="P275"/>
  <c r="P274"/>
  <c r="AZ273"/>
  <c r="AW273"/>
  <c r="AT273"/>
  <c r="AQ273"/>
  <c r="AN273"/>
  <c r="AK273"/>
  <c r="AH273"/>
  <c r="AE273"/>
  <c r="AB273"/>
  <c r="Y273"/>
  <c r="V273"/>
  <c r="S273"/>
  <c r="P273"/>
  <c r="AZ272"/>
  <c r="AZ271"/>
  <c r="AZ270"/>
  <c r="AZ269"/>
  <c r="AZ268"/>
  <c r="AZ267"/>
  <c r="AZ266"/>
  <c r="AZ265"/>
  <c r="AZ264"/>
  <c r="AZ263"/>
  <c r="AZ262"/>
  <c r="AZ261"/>
  <c r="AZ260"/>
  <c r="AZ259"/>
  <c r="AW272"/>
  <c r="AW271"/>
  <c r="AW270"/>
  <c r="AW269"/>
  <c r="AW268"/>
  <c r="AW267"/>
  <c r="AW266"/>
  <c r="AW265"/>
  <c r="AW264"/>
  <c r="AW263"/>
  <c r="AW262"/>
  <c r="AW261"/>
  <c r="AW260"/>
  <c r="AW259"/>
  <c r="AT272"/>
  <c r="AT271"/>
  <c r="AT270"/>
  <c r="AT269"/>
  <c r="AT268"/>
  <c r="AT267"/>
  <c r="AT266"/>
  <c r="AT265"/>
  <c r="AT264"/>
  <c r="AT263"/>
  <c r="AT262"/>
  <c r="AT261"/>
  <c r="AT260"/>
  <c r="AT259"/>
  <c r="AQ272"/>
  <c r="AQ271"/>
  <c r="AQ270"/>
  <c r="AQ269"/>
  <c r="AQ268"/>
  <c r="AQ267"/>
  <c r="AQ266"/>
  <c r="AQ265"/>
  <c r="AQ264"/>
  <c r="AQ263"/>
  <c r="AQ262"/>
  <c r="AQ261"/>
  <c r="AQ260"/>
  <c r="AQ259"/>
  <c r="AN272"/>
  <c r="AN271"/>
  <c r="AN270"/>
  <c r="AN269"/>
  <c r="AN268"/>
  <c r="AN267"/>
  <c r="AN266"/>
  <c r="AN265"/>
  <c r="AN264"/>
  <c r="AN263"/>
  <c r="AN262"/>
  <c r="AN261"/>
  <c r="AN260"/>
  <c r="AN259"/>
  <c r="AK272"/>
  <c r="AK271"/>
  <c r="AK270"/>
  <c r="AK269"/>
  <c r="AK268"/>
  <c r="AK267"/>
  <c r="AK266"/>
  <c r="AK265"/>
  <c r="AK264"/>
  <c r="AK263"/>
  <c r="AK262"/>
  <c r="AK261"/>
  <c r="AK260"/>
  <c r="AK259"/>
  <c r="AH272"/>
  <c r="AH271"/>
  <c r="AH270"/>
  <c r="AH269"/>
  <c r="AH268"/>
  <c r="AH267"/>
  <c r="AH266"/>
  <c r="AH265"/>
  <c r="AH264"/>
  <c r="AH263"/>
  <c r="AH262"/>
  <c r="AH261"/>
  <c r="AH260"/>
  <c r="AH259"/>
  <c r="AE272"/>
  <c r="AE271"/>
  <c r="AE270"/>
  <c r="AE269"/>
  <c r="AE268"/>
  <c r="AE267"/>
  <c r="AE266"/>
  <c r="AE265"/>
  <c r="AE264"/>
  <c r="AE263"/>
  <c r="AE262"/>
  <c r="AE261"/>
  <c r="AE260"/>
  <c r="AE259"/>
  <c r="AB272"/>
  <c r="AB271"/>
  <c r="AB270"/>
  <c r="AB269"/>
  <c r="AB268"/>
  <c r="AB267"/>
  <c r="AB266"/>
  <c r="AB265"/>
  <c r="AB264"/>
  <c r="AB263"/>
  <c r="AB262"/>
  <c r="AB261"/>
  <c r="AB260"/>
  <c r="AB259"/>
  <c r="Y272"/>
  <c r="Y271"/>
  <c r="Y270"/>
  <c r="Y269"/>
  <c r="Y268"/>
  <c r="Y267"/>
  <c r="Y266"/>
  <c r="Y265"/>
  <c r="Y264"/>
  <c r="Y263"/>
  <c r="Y262"/>
  <c r="Y261"/>
  <c r="Y260"/>
  <c r="Y259"/>
  <c r="V272"/>
  <c r="V271"/>
  <c r="V270"/>
  <c r="V269"/>
  <c r="V268"/>
  <c r="V267"/>
  <c r="V266"/>
  <c r="V265"/>
  <c r="V264"/>
  <c r="V263"/>
  <c r="V262"/>
  <c r="V261"/>
  <c r="V260"/>
  <c r="V259"/>
  <c r="S272"/>
  <c r="S271"/>
  <c r="S270"/>
  <c r="S269"/>
  <c r="S268"/>
  <c r="S267"/>
  <c r="S266"/>
  <c r="S265"/>
  <c r="S264"/>
  <c r="S263"/>
  <c r="S262"/>
  <c r="S261"/>
  <c r="S260"/>
  <c r="S259"/>
  <c r="P272"/>
  <c r="P271"/>
  <c r="P270"/>
  <c r="P269"/>
  <c r="P268"/>
  <c r="P267"/>
  <c r="P266"/>
  <c r="P265"/>
  <c r="P264"/>
  <c r="P263"/>
  <c r="P262"/>
  <c r="P261"/>
  <c r="P260"/>
  <c r="P259"/>
  <c r="AZ258"/>
  <c r="AZ257"/>
  <c r="AZ256"/>
  <c r="AZ255"/>
  <c r="AZ254"/>
  <c r="AZ253"/>
  <c r="AZ252"/>
  <c r="AZ251"/>
  <c r="AZ250"/>
  <c r="AZ249"/>
  <c r="AZ248"/>
  <c r="AZ247"/>
  <c r="AZ246"/>
  <c r="AZ245"/>
  <c r="AW258"/>
  <c r="AW257"/>
  <c r="AW256"/>
  <c r="AW255"/>
  <c r="AW254"/>
  <c r="AW253"/>
  <c r="AW252"/>
  <c r="AW251"/>
  <c r="AW250"/>
  <c r="AW249"/>
  <c r="AW248"/>
  <c r="AW247"/>
  <c r="AW246"/>
  <c r="AW245"/>
  <c r="AT258"/>
  <c r="AT257"/>
  <c r="AT256"/>
  <c r="AT255"/>
  <c r="AT254"/>
  <c r="AT253"/>
  <c r="AT252"/>
  <c r="AT251"/>
  <c r="AT250"/>
  <c r="AT249"/>
  <c r="AT248"/>
  <c r="AT247"/>
  <c r="AT246"/>
  <c r="AT245"/>
  <c r="AQ258"/>
  <c r="AQ257"/>
  <c r="AQ256"/>
  <c r="AQ255"/>
  <c r="AQ254"/>
  <c r="AQ253"/>
  <c r="AQ252"/>
  <c r="AQ251"/>
  <c r="AQ250"/>
  <c r="AQ249"/>
  <c r="AQ248"/>
  <c r="AQ247"/>
  <c r="AQ246"/>
  <c r="AQ245"/>
  <c r="AN258"/>
  <c r="AN257"/>
  <c r="AN256"/>
  <c r="AN255"/>
  <c r="AN254"/>
  <c r="AN253"/>
  <c r="AN252"/>
  <c r="AN251"/>
  <c r="AN250"/>
  <c r="AN249"/>
  <c r="AN248"/>
  <c r="AN247"/>
  <c r="AN246"/>
  <c r="AN245"/>
  <c r="AK258"/>
  <c r="AK257"/>
  <c r="AK256"/>
  <c r="AK255"/>
  <c r="AK254"/>
  <c r="AK253"/>
  <c r="AK252"/>
  <c r="AK251"/>
  <c r="AK250"/>
  <c r="AK249"/>
  <c r="AK248"/>
  <c r="AK247"/>
  <c r="AK246"/>
  <c r="AK245"/>
  <c r="AH258"/>
  <c r="AH257"/>
  <c r="AH256"/>
  <c r="AH255"/>
  <c r="AH254"/>
  <c r="AH253"/>
  <c r="AH252"/>
  <c r="AH251"/>
  <c r="AH250"/>
  <c r="AH249"/>
  <c r="AH248"/>
  <c r="AH247"/>
  <c r="AH246"/>
  <c r="AH245"/>
  <c r="AE258"/>
  <c r="AE257"/>
  <c r="AE256"/>
  <c r="AE255"/>
  <c r="AE254"/>
  <c r="AE253"/>
  <c r="AE252"/>
  <c r="AE251"/>
  <c r="AE250"/>
  <c r="AE249"/>
  <c r="AE248"/>
  <c r="AE247"/>
  <c r="AE246"/>
  <c r="AE245"/>
  <c r="AB258"/>
  <c r="AB257"/>
  <c r="AB256"/>
  <c r="AB255"/>
  <c r="AB254"/>
  <c r="AB253"/>
  <c r="AB252"/>
  <c r="AB251"/>
  <c r="AB250"/>
  <c r="AB249"/>
  <c r="AB248"/>
  <c r="AB247"/>
  <c r="AB246"/>
  <c r="AB245"/>
  <c r="Y258"/>
  <c r="Y257"/>
  <c r="Y256"/>
  <c r="Y255"/>
  <c r="Y254"/>
  <c r="Y253"/>
  <c r="Y252"/>
  <c r="Y251"/>
  <c r="Y250"/>
  <c r="Y249"/>
  <c r="Y248"/>
  <c r="Y247"/>
  <c r="Y246"/>
  <c r="Y245"/>
  <c r="V258"/>
  <c r="V257"/>
  <c r="V256"/>
  <c r="V255"/>
  <c r="V254"/>
  <c r="V253"/>
  <c r="V252"/>
  <c r="V251"/>
  <c r="V250"/>
  <c r="V249"/>
  <c r="V248"/>
  <c r="V247"/>
  <c r="V246"/>
  <c r="V245"/>
  <c r="S258"/>
  <c r="S257"/>
  <c r="S256"/>
  <c r="S255"/>
  <c r="S254"/>
  <c r="S253"/>
  <c r="S252"/>
  <c r="S251"/>
  <c r="S250"/>
  <c r="S249"/>
  <c r="S248"/>
  <c r="S247"/>
  <c r="S246"/>
  <c r="S245"/>
  <c r="P258"/>
  <c r="P257"/>
  <c r="P256"/>
  <c r="P255"/>
  <c r="P254"/>
  <c r="P253"/>
  <c r="P252"/>
  <c r="P251"/>
  <c r="P250"/>
  <c r="P249"/>
  <c r="P248"/>
  <c r="P247"/>
  <c r="P246"/>
  <c r="P245"/>
  <c r="AZ244"/>
  <c r="AZ243"/>
  <c r="AZ242"/>
  <c r="AZ241"/>
  <c r="AZ240"/>
  <c r="AZ239"/>
  <c r="AZ238"/>
  <c r="AZ237"/>
  <c r="AZ236"/>
  <c r="AZ235"/>
  <c r="AZ234"/>
  <c r="AZ233"/>
  <c r="AZ232"/>
  <c r="AZ231"/>
  <c r="AW244"/>
  <c r="AW243"/>
  <c r="AW242"/>
  <c r="AW241"/>
  <c r="AW240"/>
  <c r="AW239"/>
  <c r="AW238"/>
  <c r="AW237"/>
  <c r="AW236"/>
  <c r="AW235"/>
  <c r="AW234"/>
  <c r="AW233"/>
  <c r="AW232"/>
  <c r="AW231"/>
  <c r="AT244"/>
  <c r="AT243"/>
  <c r="AT242"/>
  <c r="AT241"/>
  <c r="AT240"/>
  <c r="AT239"/>
  <c r="AT238"/>
  <c r="AT237"/>
  <c r="AT236"/>
  <c r="AT235"/>
  <c r="AT234"/>
  <c r="AT233"/>
  <c r="AT232"/>
  <c r="AT231"/>
  <c r="AQ244"/>
  <c r="AQ243"/>
  <c r="AQ242"/>
  <c r="AQ241"/>
  <c r="AQ240"/>
  <c r="AQ239"/>
  <c r="AQ238"/>
  <c r="AQ237"/>
  <c r="AQ236"/>
  <c r="AQ235"/>
  <c r="AQ234"/>
  <c r="AQ233"/>
  <c r="AQ232"/>
  <c r="AQ231"/>
  <c r="AN244"/>
  <c r="AN243"/>
  <c r="AN242"/>
  <c r="AN241"/>
  <c r="AN240"/>
  <c r="AN239"/>
  <c r="AN238"/>
  <c r="AN237"/>
  <c r="AN236"/>
  <c r="AN235"/>
  <c r="AN234"/>
  <c r="AN233"/>
  <c r="AN232"/>
  <c r="AN231"/>
  <c r="AK244"/>
  <c r="AK243"/>
  <c r="AK242"/>
  <c r="AK241"/>
  <c r="AK240"/>
  <c r="AK239"/>
  <c r="AK238"/>
  <c r="AK237"/>
  <c r="AK236"/>
  <c r="AK235"/>
  <c r="AK234"/>
  <c r="AK233"/>
  <c r="AK232"/>
  <c r="AK231"/>
  <c r="AH244"/>
  <c r="AH243"/>
  <c r="AH242"/>
  <c r="AH241"/>
  <c r="AH240"/>
  <c r="AH239"/>
  <c r="AH238"/>
  <c r="AH237"/>
  <c r="AH236"/>
  <c r="AH235"/>
  <c r="AH234"/>
  <c r="AH233"/>
  <c r="AH232"/>
  <c r="AH231"/>
  <c r="AE244"/>
  <c r="AE243"/>
  <c r="AE242"/>
  <c r="AE241"/>
  <c r="AE240"/>
  <c r="AE239"/>
  <c r="AE238"/>
  <c r="AE237"/>
  <c r="AE236"/>
  <c r="AE235"/>
  <c r="AE234"/>
  <c r="AE233"/>
  <c r="AE232"/>
  <c r="AE231"/>
  <c r="AB244"/>
  <c r="AB243"/>
  <c r="AB242"/>
  <c r="AB241"/>
  <c r="AB240"/>
  <c r="AB239"/>
  <c r="AB238"/>
  <c r="AB237"/>
  <c r="AB236"/>
  <c r="AB235"/>
  <c r="AB234"/>
  <c r="AB233"/>
  <c r="AB232"/>
  <c r="AB231"/>
  <c r="Y244"/>
  <c r="Y243"/>
  <c r="Y242"/>
  <c r="Y241"/>
  <c r="Y240"/>
  <c r="Y239"/>
  <c r="Y238"/>
  <c r="Y237"/>
  <c r="Y236"/>
  <c r="Y235"/>
  <c r="Y234"/>
  <c r="Y233"/>
  <c r="Y232"/>
  <c r="Y231"/>
  <c r="V244"/>
  <c r="V243"/>
  <c r="V242"/>
  <c r="V241"/>
  <c r="V240"/>
  <c r="V239"/>
  <c r="V238"/>
  <c r="V237"/>
  <c r="V236"/>
  <c r="V235"/>
  <c r="V234"/>
  <c r="V233"/>
  <c r="V232"/>
  <c r="V231"/>
  <c r="S244"/>
  <c r="S243"/>
  <c r="S242"/>
  <c r="S241"/>
  <c r="S240"/>
  <c r="S239"/>
  <c r="S238"/>
  <c r="S237"/>
  <c r="S236"/>
  <c r="S235"/>
  <c r="S234"/>
  <c r="S233"/>
  <c r="S232"/>
  <c r="S231"/>
  <c r="P244"/>
  <c r="P243"/>
  <c r="P242"/>
  <c r="P241"/>
  <c r="P240"/>
  <c r="P239"/>
  <c r="P238"/>
  <c r="P237"/>
  <c r="P236"/>
  <c r="P235"/>
  <c r="P234"/>
  <c r="P233"/>
  <c r="P232"/>
  <c r="P231"/>
  <c r="AZ230"/>
  <c r="AZ229"/>
  <c r="AZ228"/>
  <c r="AZ227"/>
  <c r="AZ226"/>
  <c r="AZ225"/>
  <c r="AZ224"/>
  <c r="AZ223"/>
  <c r="AZ222"/>
  <c r="AZ221"/>
  <c r="AZ220"/>
  <c r="AZ219"/>
  <c r="AZ218"/>
  <c r="AZ217"/>
  <c r="AW230"/>
  <c r="AW229"/>
  <c r="AW228"/>
  <c r="AW227"/>
  <c r="AW226"/>
  <c r="AW225"/>
  <c r="AW224"/>
  <c r="AW223"/>
  <c r="AW222"/>
  <c r="AW221"/>
  <c r="AW220"/>
  <c r="AW219"/>
  <c r="AW218"/>
  <c r="AW217"/>
  <c r="AT230"/>
  <c r="AT229"/>
  <c r="AT228"/>
  <c r="AT227"/>
  <c r="AT226"/>
  <c r="AT225"/>
  <c r="AT224"/>
  <c r="AT223"/>
  <c r="AT222"/>
  <c r="AT221"/>
  <c r="AT220"/>
  <c r="AT219"/>
  <c r="AT218"/>
  <c r="AT217"/>
  <c r="AQ230"/>
  <c r="AQ229"/>
  <c r="AQ228"/>
  <c r="AQ227"/>
  <c r="AQ226"/>
  <c r="AQ225"/>
  <c r="AQ224"/>
  <c r="AQ223"/>
  <c r="AQ222"/>
  <c r="AQ221"/>
  <c r="AQ220"/>
  <c r="AQ219"/>
  <c r="AQ218"/>
  <c r="AQ217"/>
  <c r="AN230"/>
  <c r="AN229"/>
  <c r="AN228"/>
  <c r="AN227"/>
  <c r="AN226"/>
  <c r="AN225"/>
  <c r="AN224"/>
  <c r="AN223"/>
  <c r="AN222"/>
  <c r="AN221"/>
  <c r="AN220"/>
  <c r="AN219"/>
  <c r="AN218"/>
  <c r="AN217"/>
  <c r="AK230"/>
  <c r="AK229"/>
  <c r="AK228"/>
  <c r="AK227"/>
  <c r="AK226"/>
  <c r="AK225"/>
  <c r="AK224"/>
  <c r="AK223"/>
  <c r="AK222"/>
  <c r="AK221"/>
  <c r="AK220"/>
  <c r="AK219"/>
  <c r="AK218"/>
  <c r="AK217"/>
  <c r="AH230"/>
  <c r="AH229"/>
  <c r="AH228"/>
  <c r="AH227"/>
  <c r="AH226"/>
  <c r="AH225"/>
  <c r="AH224"/>
  <c r="AH223"/>
  <c r="AH222"/>
  <c r="AH221"/>
  <c r="AH220"/>
  <c r="AH219"/>
  <c r="AH218"/>
  <c r="AH217"/>
  <c r="AE230"/>
  <c r="AE229"/>
  <c r="AE228"/>
  <c r="AE227"/>
  <c r="AE226"/>
  <c r="AE225"/>
  <c r="AE224"/>
  <c r="AE223"/>
  <c r="AE222"/>
  <c r="AE221"/>
  <c r="AE220"/>
  <c r="AE219"/>
  <c r="AE218"/>
  <c r="AE217"/>
  <c r="AB230"/>
  <c r="AB229"/>
  <c r="AB228"/>
  <c r="AB227"/>
  <c r="AB226"/>
  <c r="AB225"/>
  <c r="AB224"/>
  <c r="AB223"/>
  <c r="AB222"/>
  <c r="AB221"/>
  <c r="AB220"/>
  <c r="AB219"/>
  <c r="AB218"/>
  <c r="AB217"/>
  <c r="Y230"/>
  <c r="Y229"/>
  <c r="Y228"/>
  <c r="Y227"/>
  <c r="Y226"/>
  <c r="Y225"/>
  <c r="Y224"/>
  <c r="Y223"/>
  <c r="Y222"/>
  <c r="Y221"/>
  <c r="Y220"/>
  <c r="Y219"/>
  <c r="Y218"/>
  <c r="Y217"/>
  <c r="V230"/>
  <c r="V229"/>
  <c r="V228"/>
  <c r="V227"/>
  <c r="V226"/>
  <c r="V225"/>
  <c r="V224"/>
  <c r="V223"/>
  <c r="V222"/>
  <c r="V221"/>
  <c r="V220"/>
  <c r="V219"/>
  <c r="V218"/>
  <c r="V217"/>
  <c r="S230"/>
  <c r="S229"/>
  <c r="S228"/>
  <c r="S227"/>
  <c r="S226"/>
  <c r="S225"/>
  <c r="S224"/>
  <c r="S223"/>
  <c r="S222"/>
  <c r="S221"/>
  <c r="S220"/>
  <c r="S219"/>
  <c r="S218"/>
  <c r="S217"/>
  <c r="P230"/>
  <c r="P229"/>
  <c r="P228"/>
  <c r="P227"/>
  <c r="P226"/>
  <c r="P225"/>
  <c r="P224"/>
  <c r="P223"/>
  <c r="P222"/>
  <c r="P221"/>
  <c r="P220"/>
  <c r="P219"/>
  <c r="P218"/>
  <c r="P217"/>
  <c r="AZ216"/>
  <c r="AZ215"/>
  <c r="AZ214"/>
  <c r="AZ213"/>
  <c r="AZ212"/>
  <c r="AZ211"/>
  <c r="AZ210"/>
  <c r="AZ209"/>
  <c r="AZ208"/>
  <c r="AZ207"/>
  <c r="AZ206"/>
  <c r="AZ205"/>
  <c r="AZ204"/>
  <c r="AZ203"/>
  <c r="AW216"/>
  <c r="AW215"/>
  <c r="AW214"/>
  <c r="AW213"/>
  <c r="AW212"/>
  <c r="AW211"/>
  <c r="AW210"/>
  <c r="AW209"/>
  <c r="AW208"/>
  <c r="AW207"/>
  <c r="AW206"/>
  <c r="AW205"/>
  <c r="AW204"/>
  <c r="AW203"/>
  <c r="AT216"/>
  <c r="AT215"/>
  <c r="AT214"/>
  <c r="AT213"/>
  <c r="AT212"/>
  <c r="AT211"/>
  <c r="AT210"/>
  <c r="AT209"/>
  <c r="AT208"/>
  <c r="AT207"/>
  <c r="AT206"/>
  <c r="AT205"/>
  <c r="AT204"/>
  <c r="AT203"/>
  <c r="AQ216"/>
  <c r="AQ215"/>
  <c r="AQ214"/>
  <c r="AQ213"/>
  <c r="AQ212"/>
  <c r="AQ211"/>
  <c r="AQ210"/>
  <c r="AQ209"/>
  <c r="AQ208"/>
  <c r="AQ207"/>
  <c r="AQ206"/>
  <c r="AQ205"/>
  <c r="AQ204"/>
  <c r="AQ203"/>
  <c r="AN216"/>
  <c r="AN215"/>
  <c r="AN214"/>
  <c r="AN213"/>
  <c r="AN212"/>
  <c r="AN211"/>
  <c r="AN210"/>
  <c r="AN209"/>
  <c r="AN208"/>
  <c r="AN207"/>
  <c r="AN206"/>
  <c r="AN205"/>
  <c r="AN204"/>
  <c r="AN203"/>
  <c r="AK216"/>
  <c r="AK215"/>
  <c r="AK214"/>
  <c r="AK213"/>
  <c r="AK212"/>
  <c r="AK211"/>
  <c r="AK210"/>
  <c r="AK209"/>
  <c r="AK208"/>
  <c r="AK207"/>
  <c r="AK206"/>
  <c r="AK205"/>
  <c r="AK204"/>
  <c r="AK203"/>
  <c r="AH216"/>
  <c r="AH215"/>
  <c r="AH214"/>
  <c r="AH213"/>
  <c r="AH212"/>
  <c r="AH211"/>
  <c r="AH210"/>
  <c r="AH209"/>
  <c r="AH208"/>
  <c r="AH207"/>
  <c r="AH206"/>
  <c r="AH205"/>
  <c r="AH204"/>
  <c r="AH203"/>
  <c r="AE216"/>
  <c r="AE215"/>
  <c r="AE214"/>
  <c r="AE213"/>
  <c r="AE212"/>
  <c r="AE211"/>
  <c r="AE210"/>
  <c r="AE209"/>
  <c r="AE208"/>
  <c r="AE207"/>
  <c r="AE206"/>
  <c r="AE205"/>
  <c r="AE204"/>
  <c r="AE203"/>
  <c r="AB216"/>
  <c r="AB215"/>
  <c r="AB214"/>
  <c r="AB213"/>
  <c r="AB212"/>
  <c r="AB211"/>
  <c r="AB210"/>
  <c r="AB209"/>
  <c r="AB208"/>
  <c r="AB207"/>
  <c r="AB206"/>
  <c r="AB205"/>
  <c r="AB204"/>
  <c r="AB203"/>
  <c r="Y216"/>
  <c r="Y215"/>
  <c r="Y214"/>
  <c r="Y213"/>
  <c r="Y212"/>
  <c r="Y211"/>
  <c r="Y210"/>
  <c r="Y209"/>
  <c r="Y208"/>
  <c r="Y207"/>
  <c r="Y206"/>
  <c r="Y205"/>
  <c r="Y204"/>
  <c r="Y203"/>
  <c r="V216"/>
  <c r="V215"/>
  <c r="V214"/>
  <c r="V213"/>
  <c r="V212"/>
  <c r="V211"/>
  <c r="V210"/>
  <c r="V209"/>
  <c r="V208"/>
  <c r="V207"/>
  <c r="V206"/>
  <c r="V205"/>
  <c r="V204"/>
  <c r="V203"/>
  <c r="S216"/>
  <c r="S215"/>
  <c r="S214"/>
  <c r="S213"/>
  <c r="S212"/>
  <c r="S211"/>
  <c r="S210"/>
  <c r="S209"/>
  <c r="S208"/>
  <c r="S207"/>
  <c r="S206"/>
  <c r="S205"/>
  <c r="S204"/>
  <c r="S203"/>
  <c r="P216"/>
  <c r="P215"/>
  <c r="P214"/>
  <c r="P213"/>
  <c r="P212"/>
  <c r="P211"/>
  <c r="P210"/>
  <c r="P209"/>
  <c r="P208"/>
  <c r="P207"/>
  <c r="P206"/>
  <c r="P205"/>
  <c r="P204"/>
  <c r="P203"/>
  <c r="AZ202"/>
  <c r="AZ201"/>
  <c r="AZ200"/>
  <c r="AZ199"/>
  <c r="AZ198"/>
  <c r="AZ197"/>
  <c r="AZ196"/>
  <c r="AZ195"/>
  <c r="AZ194"/>
  <c r="AZ193"/>
  <c r="AZ192"/>
  <c r="AZ191"/>
  <c r="AZ190"/>
  <c r="AZ189"/>
  <c r="AW202"/>
  <c r="AW201"/>
  <c r="AW200"/>
  <c r="AW199"/>
  <c r="AW198"/>
  <c r="AW197"/>
  <c r="AW196"/>
  <c r="AW195"/>
  <c r="AW194"/>
  <c r="AW193"/>
  <c r="AW192"/>
  <c r="AW191"/>
  <c r="AW190"/>
  <c r="AW189"/>
  <c r="AT189"/>
  <c r="AT202"/>
  <c r="AT201"/>
  <c r="AT200"/>
  <c r="AT199"/>
  <c r="AT198"/>
  <c r="AT197"/>
  <c r="AT196"/>
  <c r="AT195"/>
  <c r="AT194"/>
  <c r="AT193"/>
  <c r="AT192"/>
  <c r="AT191"/>
  <c r="AT190"/>
  <c r="AQ202"/>
  <c r="AQ201"/>
  <c r="AQ200"/>
  <c r="AQ199"/>
  <c r="AQ198"/>
  <c r="AQ197"/>
  <c r="AQ196"/>
  <c r="AQ195"/>
  <c r="AQ194"/>
  <c r="AQ193"/>
  <c r="AQ192"/>
  <c r="AQ191"/>
  <c r="AQ190"/>
  <c r="AQ189"/>
  <c r="AN202"/>
  <c r="AN201"/>
  <c r="AN200"/>
  <c r="AN199"/>
  <c r="AN198"/>
  <c r="AN197"/>
  <c r="AN196"/>
  <c r="AN195"/>
  <c r="AN194"/>
  <c r="AN193"/>
  <c r="AN192"/>
  <c r="AN191"/>
  <c r="AN190"/>
  <c r="AN189"/>
  <c r="AK202"/>
  <c r="AK201"/>
  <c r="AK200"/>
  <c r="AK199"/>
  <c r="AK198"/>
  <c r="AK197"/>
  <c r="AK196"/>
  <c r="AK195"/>
  <c r="AK194"/>
  <c r="AK193"/>
  <c r="AK192"/>
  <c r="AK191"/>
  <c r="AK190"/>
  <c r="AK189"/>
  <c r="AH202"/>
  <c r="AH201"/>
  <c r="AH200"/>
  <c r="AH199"/>
  <c r="AH198"/>
  <c r="AH197"/>
  <c r="AH196"/>
  <c r="AH195"/>
  <c r="AH194"/>
  <c r="AH193"/>
  <c r="AH192"/>
  <c r="AH191"/>
  <c r="AH190"/>
  <c r="AH189"/>
  <c r="AE202"/>
  <c r="AE201"/>
  <c r="AE200"/>
  <c r="AE199"/>
  <c r="AE198"/>
  <c r="AE197"/>
  <c r="AE196"/>
  <c r="AE195"/>
  <c r="AE194"/>
  <c r="AE193"/>
  <c r="AE192"/>
  <c r="AE191"/>
  <c r="AE190"/>
  <c r="AE189"/>
  <c r="AB202"/>
  <c r="AB201"/>
  <c r="AB200"/>
  <c r="AB199"/>
  <c r="AB198"/>
  <c r="AB197"/>
  <c r="AB196"/>
  <c r="AB195"/>
  <c r="AB194"/>
  <c r="AB193"/>
  <c r="AB192"/>
  <c r="AB191"/>
  <c r="AB190"/>
  <c r="AB189"/>
  <c r="Y202"/>
  <c r="Y201"/>
  <c r="Y200"/>
  <c r="Y199"/>
  <c r="Y198"/>
  <c r="Y197"/>
  <c r="Y196"/>
  <c r="Y195"/>
  <c r="Y194"/>
  <c r="Y193"/>
  <c r="Y192"/>
  <c r="Y191"/>
  <c r="Y190"/>
  <c r="Y189"/>
  <c r="V202"/>
  <c r="V201"/>
  <c r="V200"/>
  <c r="V199"/>
  <c r="V198"/>
  <c r="V197"/>
  <c r="V196"/>
  <c r="V195"/>
  <c r="V194"/>
  <c r="V193"/>
  <c r="V192"/>
  <c r="V191"/>
  <c r="V190"/>
  <c r="V189"/>
  <c r="S202"/>
  <c r="S201"/>
  <c r="S200"/>
  <c r="S199"/>
  <c r="S198"/>
  <c r="S197"/>
  <c r="S196"/>
  <c r="S195"/>
  <c r="S194"/>
  <c r="S193"/>
  <c r="S192"/>
  <c r="S191"/>
  <c r="S190"/>
  <c r="S189"/>
  <c r="P202"/>
  <c r="P201"/>
  <c r="P200"/>
  <c r="P199"/>
  <c r="P198"/>
  <c r="P197"/>
  <c r="P196"/>
  <c r="P195"/>
  <c r="P194"/>
  <c r="P193"/>
  <c r="P192"/>
  <c r="P191"/>
  <c r="P190"/>
  <c r="P189"/>
  <c r="AZ188"/>
  <c r="AZ187"/>
  <c r="AZ186"/>
  <c r="AZ185"/>
  <c r="AZ184"/>
  <c r="AZ183"/>
  <c r="AZ182"/>
  <c r="AZ181"/>
  <c r="AZ180"/>
  <c r="AZ179"/>
  <c r="AZ178"/>
  <c r="AZ177"/>
  <c r="AZ176"/>
  <c r="AZ175"/>
  <c r="AW188"/>
  <c r="AW187"/>
  <c r="AW186"/>
  <c r="AW185"/>
  <c r="AW184"/>
  <c r="AW183"/>
  <c r="AW182"/>
  <c r="AW181"/>
  <c r="AW180"/>
  <c r="AW179"/>
  <c r="AW178"/>
  <c r="AW177"/>
  <c r="AW176"/>
  <c r="AW175"/>
  <c r="AT188"/>
  <c r="AT187"/>
  <c r="AT186"/>
  <c r="AT185"/>
  <c r="AT184"/>
  <c r="AT183"/>
  <c r="AT182"/>
  <c r="AT181"/>
  <c r="AT180"/>
  <c r="AT179"/>
  <c r="AT178"/>
  <c r="AT177"/>
  <c r="AT176"/>
  <c r="AT175"/>
  <c r="AQ188"/>
  <c r="AQ187"/>
  <c r="AQ186"/>
  <c r="AQ185"/>
  <c r="AQ184"/>
  <c r="AQ183"/>
  <c r="AQ182"/>
  <c r="AQ181"/>
  <c r="AQ180"/>
  <c r="AQ179"/>
  <c r="AQ178"/>
  <c r="AQ177"/>
  <c r="AQ176"/>
  <c r="AQ175"/>
  <c r="AN188"/>
  <c r="AN187"/>
  <c r="AN186"/>
  <c r="AN185"/>
  <c r="AN184"/>
  <c r="AN183"/>
  <c r="AN182"/>
  <c r="AN181"/>
  <c r="AN180"/>
  <c r="AN179"/>
  <c r="AN178"/>
  <c r="AN177"/>
  <c r="AN176"/>
  <c r="AN175"/>
  <c r="AK188"/>
  <c r="AK187"/>
  <c r="AK186"/>
  <c r="AK185"/>
  <c r="AK184"/>
  <c r="AK183"/>
  <c r="AK182"/>
  <c r="AK181"/>
  <c r="AK180"/>
  <c r="AK179"/>
  <c r="AK178"/>
  <c r="AK177"/>
  <c r="AK176"/>
  <c r="AK175"/>
  <c r="AH188"/>
  <c r="AH187"/>
  <c r="AH186"/>
  <c r="AH185"/>
  <c r="AH184"/>
  <c r="AH183"/>
  <c r="AH182"/>
  <c r="AH181"/>
  <c r="AH180"/>
  <c r="AH179"/>
  <c r="AH178"/>
  <c r="AH177"/>
  <c r="AH176"/>
  <c r="AH175"/>
  <c r="AE188"/>
  <c r="AE187"/>
  <c r="AE186"/>
  <c r="AE185"/>
  <c r="AE184"/>
  <c r="AE183"/>
  <c r="AE182"/>
  <c r="AE181"/>
  <c r="AE180"/>
  <c r="AE179"/>
  <c r="AE178"/>
  <c r="AE177"/>
  <c r="AE176"/>
  <c r="AE175"/>
  <c r="Y188"/>
  <c r="AB188"/>
  <c r="AB187"/>
  <c r="AB186"/>
  <c r="AB185"/>
  <c r="AB184"/>
  <c r="AB183"/>
  <c r="AB182"/>
  <c r="AB181"/>
  <c r="AB180"/>
  <c r="AB179"/>
  <c r="AB178"/>
  <c r="AB177"/>
  <c r="AB176"/>
  <c r="AB175"/>
  <c r="Y187"/>
  <c r="Y186"/>
  <c r="Y185"/>
  <c r="Y184"/>
  <c r="Y183"/>
  <c r="Y182"/>
  <c r="Y181"/>
  <c r="Y180"/>
  <c r="Y179"/>
  <c r="Y178"/>
  <c r="Y177"/>
  <c r="Y176"/>
  <c r="Y175"/>
  <c r="V188"/>
  <c r="V187"/>
  <c r="V186"/>
  <c r="V185"/>
  <c r="V184"/>
  <c r="V183"/>
  <c r="V182"/>
  <c r="V181"/>
  <c r="V180"/>
  <c r="V179"/>
  <c r="V178"/>
  <c r="V177"/>
  <c r="V176"/>
  <c r="V175"/>
  <c r="S188"/>
  <c r="S187"/>
  <c r="S186"/>
  <c r="S185"/>
  <c r="S184"/>
  <c r="S183"/>
  <c r="S182"/>
  <c r="S181"/>
  <c r="S180"/>
  <c r="S179"/>
  <c r="S178"/>
  <c r="S177"/>
  <c r="S176"/>
  <c r="S175"/>
  <c r="P188"/>
  <c r="P187"/>
  <c r="P186"/>
  <c r="P185"/>
  <c r="P184"/>
  <c r="P183"/>
  <c r="P182"/>
  <c r="P181"/>
  <c r="P180"/>
  <c r="P179"/>
  <c r="P178"/>
  <c r="P177"/>
  <c r="P176"/>
  <c r="P175"/>
  <c r="AZ174"/>
  <c r="AZ173"/>
  <c r="AZ172"/>
  <c r="AZ171"/>
  <c r="AZ170"/>
  <c r="AZ169"/>
  <c r="AZ168"/>
  <c r="AZ167"/>
  <c r="AZ166"/>
  <c r="AZ165"/>
  <c r="AZ164"/>
  <c r="AZ163"/>
  <c r="AZ162"/>
  <c r="AZ161"/>
  <c r="AW174"/>
  <c r="AW173"/>
  <c r="AW172"/>
  <c r="AW171"/>
  <c r="AW170"/>
  <c r="AW169"/>
  <c r="AW168"/>
  <c r="AW167"/>
  <c r="AW166"/>
  <c r="AW165"/>
  <c r="AW164"/>
  <c r="AW163"/>
  <c r="AW162"/>
  <c r="AW161"/>
  <c r="AT174"/>
  <c r="AT173"/>
  <c r="AT172"/>
  <c r="AT171"/>
  <c r="AT170"/>
  <c r="AT169"/>
  <c r="AT168"/>
  <c r="AT167"/>
  <c r="AT166"/>
  <c r="AT165"/>
  <c r="AT164"/>
  <c r="AT163"/>
  <c r="AT162"/>
  <c r="AT161"/>
  <c r="AQ174"/>
  <c r="AQ173"/>
  <c r="AQ172"/>
  <c r="AQ171"/>
  <c r="AQ170"/>
  <c r="AQ169"/>
  <c r="AQ168"/>
  <c r="AQ167"/>
  <c r="AQ166"/>
  <c r="AQ165"/>
  <c r="AQ164"/>
  <c r="AQ163"/>
  <c r="AQ162"/>
  <c r="AQ161"/>
  <c r="AN174"/>
  <c r="AN173"/>
  <c r="AN172"/>
  <c r="AN171"/>
  <c r="AN170"/>
  <c r="AN169"/>
  <c r="AN168"/>
  <c r="AN167"/>
  <c r="AN166"/>
  <c r="AN165"/>
  <c r="AN164"/>
  <c r="AN163"/>
  <c r="AN162"/>
  <c r="AN161"/>
  <c r="AK174"/>
  <c r="AK173"/>
  <c r="AK172"/>
  <c r="AK171"/>
  <c r="AK170"/>
  <c r="AK169"/>
  <c r="AK168"/>
  <c r="AK167"/>
  <c r="AK166"/>
  <c r="AK165"/>
  <c r="AK164"/>
  <c r="AK163"/>
  <c r="AK162"/>
  <c r="AK161"/>
  <c r="AH174"/>
  <c r="AH173"/>
  <c r="AH172"/>
  <c r="AH171"/>
  <c r="AH170"/>
  <c r="AH169"/>
  <c r="AH168"/>
  <c r="AH167"/>
  <c r="AH166"/>
  <c r="AH165"/>
  <c r="AH164"/>
  <c r="AH163"/>
  <c r="AH162"/>
  <c r="AH161"/>
  <c r="AE174"/>
  <c r="AE173"/>
  <c r="AE172"/>
  <c r="AE171"/>
  <c r="AE170"/>
  <c r="AE169"/>
  <c r="AE168"/>
  <c r="AE167"/>
  <c r="AE166"/>
  <c r="AE165"/>
  <c r="AE164"/>
  <c r="AE163"/>
  <c r="AE162"/>
  <c r="AE161"/>
  <c r="AB174"/>
  <c r="AB173"/>
  <c r="AB172"/>
  <c r="AB171"/>
  <c r="AB170"/>
  <c r="AB169"/>
  <c r="AB168"/>
  <c r="AB167"/>
  <c r="AB166"/>
  <c r="AB165"/>
  <c r="AB164"/>
  <c r="AB163"/>
  <c r="AB162"/>
  <c r="AB161"/>
  <c r="Y174"/>
  <c r="Y173"/>
  <c r="Y172"/>
  <c r="Y171"/>
  <c r="Y170"/>
  <c r="Y169"/>
  <c r="Y168"/>
  <c r="Y167"/>
  <c r="Y166"/>
  <c r="Y165"/>
  <c r="Y164"/>
  <c r="Y163"/>
  <c r="Y162"/>
  <c r="Y161"/>
  <c r="V174"/>
  <c r="V173"/>
  <c r="V172"/>
  <c r="V171"/>
  <c r="V170"/>
  <c r="V169"/>
  <c r="V168"/>
  <c r="V167"/>
  <c r="V166"/>
  <c r="V165"/>
  <c r="V164"/>
  <c r="V163"/>
  <c r="V162"/>
  <c r="V161"/>
  <c r="S174"/>
  <c r="S173"/>
  <c r="S172"/>
  <c r="S171"/>
  <c r="S170"/>
  <c r="S169"/>
  <c r="S168"/>
  <c r="S167"/>
  <c r="S166"/>
  <c r="S165"/>
  <c r="S164"/>
  <c r="S163"/>
  <c r="S162"/>
  <c r="S161"/>
  <c r="P174"/>
  <c r="P173"/>
  <c r="P172"/>
  <c r="P171"/>
  <c r="P170"/>
  <c r="P169"/>
  <c r="P168"/>
  <c r="P167"/>
  <c r="P166"/>
  <c r="P165"/>
  <c r="P164"/>
  <c r="P163"/>
  <c r="P162"/>
  <c r="P161"/>
  <c r="AZ147"/>
  <c r="AZ160"/>
  <c r="AZ159"/>
  <c r="AZ158"/>
  <c r="AZ157"/>
  <c r="AZ156"/>
  <c r="AZ155"/>
  <c r="AZ154"/>
  <c r="AZ153"/>
  <c r="AZ152"/>
  <c r="AZ151"/>
  <c r="AZ150"/>
  <c r="AZ149"/>
  <c r="AZ148"/>
  <c r="AW160"/>
  <c r="AW159"/>
  <c r="AW158"/>
  <c r="AW157"/>
  <c r="AW156"/>
  <c r="AW155"/>
  <c r="AW154"/>
  <c r="AW153"/>
  <c r="AW152"/>
  <c r="AW151"/>
  <c r="AW150"/>
  <c r="AW149"/>
  <c r="AW148"/>
  <c r="AW147"/>
  <c r="AT160"/>
  <c r="AT159"/>
  <c r="AT158"/>
  <c r="AT157"/>
  <c r="AT156"/>
  <c r="AT155"/>
  <c r="AT154"/>
  <c r="AT153"/>
  <c r="AT152"/>
  <c r="AT151"/>
  <c r="AT150"/>
  <c r="AT149"/>
  <c r="AT148"/>
  <c r="AT147"/>
  <c r="AQ160"/>
  <c r="AQ159"/>
  <c r="AQ158"/>
  <c r="AQ157"/>
  <c r="AQ156"/>
  <c r="AQ155"/>
  <c r="AQ154"/>
  <c r="AQ153"/>
  <c r="AQ152"/>
  <c r="AQ151"/>
  <c r="AQ150"/>
  <c r="AQ149"/>
  <c r="AQ148"/>
  <c r="AQ147"/>
  <c r="AN160"/>
  <c r="AN159"/>
  <c r="AN158"/>
  <c r="AN157"/>
  <c r="AN156"/>
  <c r="AN155"/>
  <c r="AN154"/>
  <c r="AN153"/>
  <c r="AN152"/>
  <c r="AN151"/>
  <c r="AN150"/>
  <c r="AN149"/>
  <c r="AN148"/>
  <c r="AN147"/>
  <c r="AK160"/>
  <c r="AK159"/>
  <c r="AK158"/>
  <c r="AK157"/>
  <c r="AK156"/>
  <c r="AK155"/>
  <c r="AK154"/>
  <c r="AK153"/>
  <c r="AK152"/>
  <c r="AK151"/>
  <c r="AK150"/>
  <c r="AK149"/>
  <c r="AK148"/>
  <c r="AK147"/>
  <c r="AE160"/>
  <c r="AE159"/>
  <c r="AE158"/>
  <c r="AE157"/>
  <c r="AE156"/>
  <c r="AE155"/>
  <c r="AE154"/>
  <c r="AE153"/>
  <c r="AE152"/>
  <c r="AE151"/>
  <c r="AE150"/>
  <c r="AE149"/>
  <c r="AE148"/>
  <c r="AE147"/>
  <c r="AB160"/>
  <c r="AB159"/>
  <c r="AB158"/>
  <c r="AB157"/>
  <c r="AB156"/>
  <c r="AB155"/>
  <c r="AB154"/>
  <c r="AB153"/>
  <c r="AB152"/>
  <c r="AB151"/>
  <c r="AB150"/>
  <c r="AB149"/>
  <c r="AB148"/>
  <c r="AB147"/>
  <c r="Y160"/>
  <c r="Y159"/>
  <c r="Y158"/>
  <c r="Y157"/>
  <c r="Y156"/>
  <c r="Y155"/>
  <c r="Y154"/>
  <c r="Y153"/>
  <c r="Y152"/>
  <c r="Y151"/>
  <c r="Y150"/>
  <c r="Y149"/>
  <c r="Y148"/>
  <c r="Y147"/>
  <c r="V160"/>
  <c r="V159"/>
  <c r="V158"/>
  <c r="V157"/>
  <c r="V156"/>
  <c r="V155"/>
  <c r="V154"/>
  <c r="V153"/>
  <c r="V152"/>
  <c r="V151"/>
  <c r="V150"/>
  <c r="V149"/>
  <c r="V148"/>
  <c r="V147"/>
  <c r="S148"/>
  <c r="S149"/>
  <c r="S150"/>
  <c r="S151"/>
  <c r="S152"/>
  <c r="S153"/>
  <c r="S154"/>
  <c r="S155"/>
  <c r="S156"/>
  <c r="S157"/>
  <c r="S158"/>
  <c r="S159"/>
  <c r="S160"/>
  <c r="S147"/>
  <c r="P160"/>
  <c r="P159"/>
  <c r="P158"/>
  <c r="P157"/>
  <c r="P156"/>
  <c r="P155"/>
  <c r="P154"/>
  <c r="P153"/>
  <c r="P152"/>
  <c r="P151"/>
  <c r="P150"/>
  <c r="P149"/>
  <c r="P148"/>
  <c r="P147"/>
  <c r="M151"/>
  <c r="M150"/>
  <c r="M149"/>
  <c r="M148"/>
  <c r="M147"/>
  <c r="AZ146"/>
  <c r="AW146"/>
  <c r="AT146"/>
  <c r="AQ146"/>
  <c r="AN146"/>
  <c r="AK146"/>
  <c r="AH146"/>
  <c r="AE146"/>
  <c r="AB146"/>
  <c r="Y146"/>
  <c r="V146"/>
  <c r="S146"/>
  <c r="P146"/>
  <c r="AZ145"/>
  <c r="AW145"/>
  <c r="AT145"/>
  <c r="AQ145"/>
  <c r="AN145"/>
  <c r="AK145"/>
  <c r="AH145"/>
  <c r="AE145"/>
  <c r="AB145"/>
  <c r="Y145"/>
  <c r="V145"/>
  <c r="S145"/>
  <c r="P145"/>
  <c r="AZ144"/>
  <c r="AW144"/>
  <c r="AT144"/>
  <c r="AQ144"/>
  <c r="AN144"/>
  <c r="AK144"/>
  <c r="AH144"/>
  <c r="AE144"/>
  <c r="AB144"/>
  <c r="Y144"/>
  <c r="V144"/>
  <c r="S144"/>
  <c r="P144"/>
  <c r="AZ143"/>
  <c r="AW143"/>
  <c r="AT143"/>
  <c r="AQ143"/>
  <c r="AN143"/>
  <c r="AK143"/>
  <c r="AH143"/>
  <c r="AE143"/>
  <c r="AB143"/>
  <c r="Y143"/>
  <c r="V143"/>
  <c r="S143"/>
  <c r="P143"/>
  <c r="AZ142"/>
  <c r="AW142"/>
  <c r="AT142"/>
  <c r="AQ142"/>
  <c r="AN142"/>
  <c r="AK142"/>
  <c r="AH142"/>
  <c r="AE142"/>
  <c r="AB142"/>
  <c r="Y142"/>
  <c r="V142"/>
  <c r="S142"/>
  <c r="P142"/>
  <c r="AZ141"/>
  <c r="AW141"/>
  <c r="AT141"/>
  <c r="AQ141"/>
  <c r="AN141"/>
  <c r="AK141"/>
  <c r="AH141"/>
  <c r="AE141"/>
  <c r="AB141"/>
  <c r="Y141"/>
  <c r="V141"/>
  <c r="S141"/>
  <c r="P141"/>
  <c r="AZ140"/>
  <c r="AW140"/>
  <c r="AT140"/>
  <c r="AQ140"/>
  <c r="AN140"/>
  <c r="AK140"/>
  <c r="AH140"/>
  <c r="AE140"/>
  <c r="AB140"/>
  <c r="Y140"/>
  <c r="V140"/>
  <c r="S140"/>
  <c r="P140"/>
  <c r="AZ139"/>
  <c r="AW139"/>
  <c r="AT139"/>
  <c r="AQ139"/>
  <c r="AN139"/>
  <c r="AK139"/>
  <c r="AH139"/>
  <c r="AE139"/>
  <c r="AB139"/>
  <c r="Y139"/>
  <c r="V139"/>
  <c r="S139"/>
  <c r="P139"/>
  <c r="AZ138"/>
  <c r="AW138"/>
  <c r="AT138"/>
  <c r="AQ138"/>
  <c r="AN138"/>
  <c r="AK138"/>
  <c r="AH138"/>
  <c r="AE138"/>
  <c r="AB138"/>
  <c r="Y138"/>
  <c r="V138"/>
  <c r="S138"/>
  <c r="P138"/>
  <c r="AZ137"/>
  <c r="AW137"/>
  <c r="AT137"/>
  <c r="AQ137"/>
  <c r="AN137"/>
  <c r="AK137"/>
  <c r="AH137"/>
  <c r="AE137"/>
  <c r="AB137"/>
  <c r="Y137"/>
  <c r="V137"/>
  <c r="S137"/>
  <c r="P137"/>
  <c r="AZ136"/>
  <c r="AW136"/>
  <c r="AT136"/>
  <c r="AQ136"/>
  <c r="AN136"/>
  <c r="AK136"/>
  <c r="AH136"/>
  <c r="AE136"/>
  <c r="AB136"/>
  <c r="Y136"/>
  <c r="V136"/>
  <c r="S136"/>
  <c r="P136"/>
  <c r="AZ135"/>
  <c r="AW135"/>
  <c r="AT135"/>
  <c r="AQ135"/>
  <c r="AN135"/>
  <c r="AK135"/>
  <c r="AH135"/>
  <c r="AE135"/>
  <c r="AB135"/>
  <c r="Y135"/>
  <c r="V135"/>
  <c r="S135"/>
  <c r="P135"/>
  <c r="AZ134"/>
  <c r="AW134"/>
  <c r="AT134"/>
  <c r="AQ134"/>
  <c r="AN134"/>
  <c r="AK134"/>
  <c r="AH134"/>
  <c r="AE134"/>
  <c r="AB134"/>
  <c r="Y134"/>
  <c r="V134"/>
  <c r="S134"/>
  <c r="P134"/>
  <c r="AZ133"/>
  <c r="AW133"/>
  <c r="AT133"/>
  <c r="AQ133"/>
  <c r="AN133"/>
  <c r="AK133"/>
  <c r="AH133"/>
  <c r="AE133"/>
  <c r="AB133"/>
  <c r="Y133"/>
  <c r="V133"/>
  <c r="S133"/>
  <c r="P133"/>
  <c r="AZ132"/>
  <c r="AW132"/>
  <c r="AT132"/>
  <c r="AQ132"/>
  <c r="AN132"/>
  <c r="AK132"/>
  <c r="AH132"/>
  <c r="AE132"/>
  <c r="AB132"/>
  <c r="Y132"/>
  <c r="V132"/>
  <c r="S132"/>
  <c r="P132"/>
  <c r="AZ131"/>
  <c r="AW131"/>
  <c r="AT131"/>
  <c r="AQ131"/>
  <c r="AN131"/>
  <c r="AK131"/>
  <c r="AH131"/>
  <c r="AE131"/>
  <c r="AB131"/>
  <c r="Y131"/>
  <c r="V131"/>
  <c r="S131"/>
  <c r="P131"/>
  <c r="AZ130"/>
  <c r="AW130"/>
  <c r="AT130"/>
  <c r="AQ130"/>
  <c r="AN130"/>
  <c r="AK130"/>
  <c r="AH130"/>
  <c r="AE130"/>
  <c r="AB130"/>
  <c r="Y130"/>
  <c r="V130"/>
  <c r="S130"/>
  <c r="P130"/>
  <c r="AZ129"/>
  <c r="AW129"/>
  <c r="AT129"/>
  <c r="AQ129"/>
  <c r="AN129"/>
  <c r="AK129"/>
  <c r="AH129"/>
  <c r="AE129"/>
  <c r="AB129"/>
  <c r="Y129"/>
  <c r="V129"/>
  <c r="S129"/>
  <c r="P129"/>
  <c r="AZ128"/>
  <c r="AW128"/>
  <c r="AT128"/>
  <c r="AQ128"/>
  <c r="AN128"/>
  <c r="AK128"/>
  <c r="AH128"/>
  <c r="AE128"/>
  <c r="AB128"/>
  <c r="Y128"/>
  <c r="V128"/>
  <c r="S128"/>
  <c r="P128"/>
  <c r="AZ127"/>
  <c r="AW127"/>
  <c r="AT127"/>
  <c r="AQ127"/>
  <c r="AN127"/>
  <c r="AK127"/>
  <c r="AH127"/>
  <c r="AE127"/>
  <c r="AB127"/>
  <c r="Y127"/>
  <c r="V127"/>
  <c r="S127"/>
  <c r="P127"/>
  <c r="AZ126"/>
  <c r="AW126"/>
  <c r="AT126"/>
  <c r="AQ126"/>
  <c r="AN126"/>
  <c r="AK126"/>
  <c r="AH126"/>
  <c r="AE126"/>
  <c r="AB126"/>
  <c r="Y126"/>
  <c r="V126"/>
  <c r="S126"/>
  <c r="P126"/>
  <c r="AZ125"/>
  <c r="AW125"/>
  <c r="AT125"/>
  <c r="AQ125"/>
  <c r="AN125"/>
  <c r="AK125"/>
  <c r="AH125"/>
  <c r="AE125"/>
  <c r="AB125"/>
  <c r="Y125"/>
  <c r="V125"/>
  <c r="S125"/>
  <c r="P125"/>
  <c r="AZ124"/>
  <c r="AW124"/>
  <c r="AT124"/>
  <c r="AQ124"/>
  <c r="AN124"/>
  <c r="AK124"/>
  <c r="AH124"/>
  <c r="AE124"/>
  <c r="AB124"/>
  <c r="Y124"/>
  <c r="V124"/>
  <c r="S124"/>
  <c r="P124"/>
  <c r="AZ123"/>
  <c r="AW123"/>
  <c r="AT123"/>
  <c r="AQ123"/>
  <c r="AN123"/>
  <c r="AK123"/>
  <c r="AH123"/>
  <c r="AE123"/>
  <c r="AB123"/>
  <c r="Y123"/>
  <c r="V123"/>
  <c r="S123"/>
  <c r="P123"/>
  <c r="AZ122"/>
  <c r="AW122"/>
  <c r="AT122"/>
  <c r="AQ122"/>
  <c r="AN122"/>
  <c r="AK122"/>
  <c r="AH122"/>
  <c r="AE122"/>
  <c r="AB122"/>
  <c r="Y122"/>
  <c r="V122"/>
  <c r="S122"/>
  <c r="P122"/>
  <c r="AZ121"/>
  <c r="AW121"/>
  <c r="AT121"/>
  <c r="AQ121"/>
  <c r="AN121"/>
  <c r="AK121"/>
  <c r="AH121"/>
  <c r="AE121"/>
  <c r="AB121"/>
  <c r="Y121"/>
  <c r="V121"/>
  <c r="S121"/>
  <c r="P121"/>
  <c r="AZ120"/>
  <c r="AW120"/>
  <c r="AT120"/>
  <c r="AQ120"/>
  <c r="AN120"/>
  <c r="AK120"/>
  <c r="AH120"/>
  <c r="AE120"/>
  <c r="AB120"/>
  <c r="Y120"/>
  <c r="V120"/>
  <c r="S120"/>
  <c r="P120"/>
  <c r="AZ119"/>
  <c r="AW119"/>
  <c r="AT119"/>
  <c r="AQ119"/>
  <c r="AN119"/>
  <c r="AK119"/>
  <c r="AH119"/>
  <c r="AE119"/>
  <c r="AB119"/>
  <c r="Y119"/>
  <c r="V119"/>
  <c r="S119"/>
  <c r="P119"/>
  <c r="AZ118"/>
  <c r="AW118"/>
  <c r="AT118"/>
  <c r="AQ118"/>
  <c r="AN118"/>
  <c r="AK118"/>
  <c r="AH118"/>
  <c r="AE118"/>
  <c r="AB118"/>
  <c r="Y118"/>
  <c r="S118"/>
  <c r="P118"/>
  <c r="M118"/>
  <c r="AZ117"/>
  <c r="AW117"/>
  <c r="AT117"/>
  <c r="AQ117"/>
  <c r="AN117"/>
  <c r="AK117"/>
  <c r="AH117"/>
  <c r="AE117"/>
  <c r="AB117"/>
  <c r="Y117"/>
  <c r="S117"/>
  <c r="P117"/>
  <c r="M117"/>
  <c r="AZ116"/>
  <c r="AW116"/>
  <c r="AT116"/>
  <c r="AQ116"/>
  <c r="AN116"/>
  <c r="AK116"/>
  <c r="AH116"/>
  <c r="AE116"/>
  <c r="AB116"/>
  <c r="Y116"/>
  <c r="S116"/>
  <c r="P116"/>
  <c r="M116"/>
  <c r="AZ115"/>
  <c r="AW115"/>
  <c r="AT115"/>
  <c r="AQ115"/>
  <c r="AN115"/>
  <c r="AK115"/>
  <c r="AH115"/>
  <c r="AE115"/>
  <c r="AB115"/>
  <c r="Y115"/>
  <c r="S115"/>
  <c r="P115"/>
  <c r="M115"/>
  <c r="AZ114"/>
  <c r="AW114"/>
  <c r="AT114"/>
  <c r="AQ114"/>
  <c r="AN114"/>
  <c r="AK114"/>
  <c r="AH114"/>
  <c r="AE114"/>
  <c r="AB114"/>
  <c r="Y114"/>
  <c r="S114"/>
  <c r="P114"/>
  <c r="M114"/>
  <c r="AZ113"/>
  <c r="AW113"/>
  <c r="AT113"/>
  <c r="AQ113"/>
  <c r="AN113"/>
  <c r="AK113"/>
  <c r="AH113"/>
  <c r="AE113"/>
  <c r="AB113"/>
  <c r="Y113"/>
  <c r="S113"/>
  <c r="P113"/>
  <c r="M113"/>
  <c r="AZ112"/>
  <c r="AW112"/>
  <c r="AT112"/>
  <c r="AQ112"/>
  <c r="AN112"/>
  <c r="AK112"/>
  <c r="AH112"/>
  <c r="AE112"/>
  <c r="AB112"/>
  <c r="Y112"/>
  <c r="S112"/>
  <c r="P112"/>
  <c r="M112"/>
  <c r="AZ111"/>
  <c r="AW111"/>
  <c r="AT111"/>
  <c r="AQ111"/>
  <c r="AN111"/>
  <c r="AK111"/>
  <c r="AH111"/>
  <c r="AE111"/>
  <c r="AB111"/>
  <c r="Y111"/>
  <c r="S111"/>
  <c r="P111"/>
  <c r="M111"/>
  <c r="AZ110"/>
  <c r="AW110"/>
  <c r="AT110"/>
  <c r="AQ110"/>
  <c r="AN110"/>
  <c r="AK110"/>
  <c r="AH110"/>
  <c r="AE110"/>
  <c r="AB110"/>
  <c r="Y110"/>
  <c r="S110"/>
  <c r="P110"/>
  <c r="M110"/>
  <c r="AZ109"/>
  <c r="AW109"/>
  <c r="AT109"/>
  <c r="AQ109"/>
  <c r="AN109"/>
  <c r="AK109"/>
  <c r="AH109"/>
  <c r="AE109"/>
  <c r="AB109"/>
  <c r="Y109"/>
  <c r="S109"/>
  <c r="P109"/>
  <c r="M109"/>
  <c r="AZ108"/>
  <c r="AW108"/>
  <c r="AT108"/>
  <c r="AQ108"/>
  <c r="AN108"/>
  <c r="AK108"/>
  <c r="AH108"/>
  <c r="AE108"/>
  <c r="AB108"/>
  <c r="Y108"/>
  <c r="S108"/>
  <c r="P108"/>
  <c r="M108"/>
  <c r="AZ107"/>
  <c r="AW107"/>
  <c r="AT107"/>
  <c r="AQ107"/>
  <c r="AN107"/>
  <c r="AK107"/>
  <c r="AH107"/>
  <c r="AE107"/>
  <c r="AB107"/>
  <c r="Y107"/>
  <c r="S107"/>
  <c r="P107"/>
  <c r="M107"/>
  <c r="AZ106"/>
  <c r="AW106"/>
  <c r="AT106"/>
  <c r="AQ106"/>
  <c r="AN106"/>
  <c r="AK106"/>
  <c r="AH106"/>
  <c r="AE106"/>
  <c r="AB106"/>
  <c r="Y106"/>
  <c r="S106"/>
  <c r="P106"/>
  <c r="M106"/>
  <c r="AZ105"/>
  <c r="AW105"/>
  <c r="AT105"/>
  <c r="AQ105"/>
  <c r="AN105"/>
  <c r="AK105"/>
  <c r="AH105"/>
  <c r="AE105"/>
  <c r="AB105"/>
  <c r="Y105"/>
  <c r="S105"/>
  <c r="P105"/>
  <c r="M105"/>
  <c r="AZ104"/>
  <c r="AW104"/>
  <c r="AT104"/>
  <c r="AQ104"/>
  <c r="AN104"/>
  <c r="AK104"/>
  <c r="AH104"/>
  <c r="AE104"/>
  <c r="AB104"/>
  <c r="Y104"/>
  <c r="V104"/>
  <c r="S104"/>
  <c r="P104"/>
  <c r="AZ103"/>
  <c r="AW103"/>
  <c r="AT103"/>
  <c r="AQ103"/>
  <c r="AN103"/>
  <c r="AK103"/>
  <c r="AH103"/>
  <c r="AE103"/>
  <c r="AB103"/>
  <c r="Y103"/>
  <c r="V103"/>
  <c r="S103"/>
  <c r="P103"/>
  <c r="AZ102"/>
  <c r="AW102"/>
  <c r="AT102"/>
  <c r="AQ102"/>
  <c r="AN102"/>
  <c r="AK102"/>
  <c r="AH102"/>
  <c r="AE102"/>
  <c r="AB102"/>
  <c r="Y102"/>
  <c r="V102"/>
  <c r="S102"/>
  <c r="P102"/>
  <c r="AZ101"/>
  <c r="AW101"/>
  <c r="AT101"/>
  <c r="AQ101"/>
  <c r="AN101"/>
  <c r="AK101"/>
  <c r="AH101"/>
  <c r="AE101"/>
  <c r="AB101"/>
  <c r="Y101"/>
  <c r="V101"/>
  <c r="S101"/>
  <c r="P101"/>
  <c r="AZ100"/>
  <c r="AW100"/>
  <c r="AT100"/>
  <c r="AQ100"/>
  <c r="AN100"/>
  <c r="AK100"/>
  <c r="AH100"/>
  <c r="AE100"/>
  <c r="AB100"/>
  <c r="Y100"/>
  <c r="V100"/>
  <c r="S100"/>
  <c r="P100"/>
  <c r="AZ99"/>
  <c r="AW99"/>
  <c r="AT99"/>
  <c r="AQ99"/>
  <c r="AN99"/>
  <c r="AK99"/>
  <c r="AH99"/>
  <c r="AE99"/>
  <c r="AB99"/>
  <c r="Y99"/>
  <c r="V99"/>
  <c r="S99"/>
  <c r="P99"/>
  <c r="AZ98"/>
  <c r="AW98"/>
  <c r="AT98"/>
  <c r="AQ98"/>
  <c r="AN98"/>
  <c r="AK98"/>
  <c r="AH98"/>
  <c r="AE98"/>
  <c r="AB98"/>
  <c r="Y98"/>
  <c r="V98"/>
  <c r="S98"/>
  <c r="P98"/>
  <c r="AZ97"/>
  <c r="AW97"/>
  <c r="AT97"/>
  <c r="AQ97"/>
  <c r="AN97"/>
  <c r="AK97"/>
  <c r="AH97"/>
  <c r="AE97"/>
  <c r="AB97"/>
  <c r="Y97"/>
  <c r="V97"/>
  <c r="S97"/>
  <c r="P97"/>
  <c r="AZ96"/>
  <c r="AW96"/>
  <c r="AT96"/>
  <c r="AQ96"/>
  <c r="AN96"/>
  <c r="AK96"/>
  <c r="AH96"/>
  <c r="AE96"/>
  <c r="AB96"/>
  <c r="Y96"/>
  <c r="V96"/>
  <c r="S96"/>
  <c r="P96"/>
  <c r="AZ95"/>
  <c r="AW95"/>
  <c r="AT95"/>
  <c r="AQ95"/>
  <c r="AN95"/>
  <c r="AK95"/>
  <c r="AH95"/>
  <c r="AE95"/>
  <c r="AB95"/>
  <c r="Y95"/>
  <c r="V95"/>
  <c r="S95"/>
  <c r="P95"/>
  <c r="AZ94"/>
  <c r="AW94"/>
  <c r="AT94"/>
  <c r="AQ94"/>
  <c r="AN94"/>
  <c r="AK94"/>
  <c r="AH94"/>
  <c r="AE94"/>
  <c r="AB94"/>
  <c r="Y94"/>
  <c r="V94"/>
  <c r="S94"/>
  <c r="P94"/>
  <c r="AZ93"/>
  <c r="AW93"/>
  <c r="AT93"/>
  <c r="AQ93"/>
  <c r="AN93"/>
  <c r="AK93"/>
  <c r="AH93"/>
  <c r="AE93"/>
  <c r="AB93"/>
  <c r="Y93"/>
  <c r="V93"/>
  <c r="S93"/>
  <c r="P93"/>
  <c r="AZ92"/>
  <c r="AW92"/>
  <c r="AT92"/>
  <c r="AQ92"/>
  <c r="AN92"/>
  <c r="AK92"/>
  <c r="AH92"/>
  <c r="AE92"/>
  <c r="AB92"/>
  <c r="Y92"/>
  <c r="V92"/>
  <c r="S92"/>
  <c r="P92"/>
  <c r="AZ91"/>
  <c r="AW91"/>
  <c r="AT91"/>
  <c r="AQ91"/>
  <c r="AN91"/>
  <c r="AK91"/>
  <c r="AH91"/>
  <c r="AE91"/>
  <c r="AB91"/>
  <c r="Y91"/>
  <c r="V91"/>
  <c r="S91"/>
  <c r="P91"/>
  <c r="AZ90"/>
  <c r="AW90"/>
  <c r="AT90"/>
  <c r="AQ90"/>
  <c r="AN90"/>
  <c r="AK90"/>
  <c r="AH90"/>
  <c r="AE90"/>
  <c r="AB90"/>
  <c r="Y90"/>
  <c r="V90"/>
  <c r="S90"/>
  <c r="P90"/>
  <c r="AZ89"/>
  <c r="AW89"/>
  <c r="AT89"/>
  <c r="AQ89"/>
  <c r="AN89"/>
  <c r="AK89"/>
  <c r="AH89"/>
  <c r="AE89"/>
  <c r="AB89"/>
  <c r="Y89"/>
  <c r="V89"/>
  <c r="S89"/>
  <c r="P89"/>
  <c r="AZ88"/>
  <c r="AW88"/>
  <c r="AT88"/>
  <c r="AQ88"/>
  <c r="AN88"/>
  <c r="AK88"/>
  <c r="AH88"/>
  <c r="AE88"/>
  <c r="AB88"/>
  <c r="Y88"/>
  <c r="V88"/>
  <c r="S88"/>
  <c r="P88"/>
  <c r="AZ87"/>
  <c r="AW87"/>
  <c r="AT87"/>
  <c r="AQ87"/>
  <c r="AN87"/>
  <c r="AK87"/>
  <c r="AH87"/>
  <c r="AE87"/>
  <c r="AB87"/>
  <c r="Y87"/>
  <c r="V87"/>
  <c r="S87"/>
  <c r="P87"/>
  <c r="AZ86"/>
  <c r="AW86"/>
  <c r="AT86"/>
  <c r="AQ86"/>
  <c r="AN86"/>
  <c r="AK86"/>
  <c r="AH86"/>
  <c r="AE86"/>
  <c r="AB86"/>
  <c r="Y86"/>
  <c r="V86"/>
  <c r="S86"/>
  <c r="P86"/>
  <c r="AZ85"/>
  <c r="AW85"/>
  <c r="AT85"/>
  <c r="AQ85"/>
  <c r="AN85"/>
  <c r="AK85"/>
  <c r="AH85"/>
  <c r="AE85"/>
  <c r="AB85"/>
  <c r="Y85"/>
  <c r="V85"/>
  <c r="S85"/>
  <c r="P85"/>
  <c r="AZ84"/>
  <c r="AW84"/>
  <c r="AT84"/>
  <c r="AQ84"/>
  <c r="AN84"/>
  <c r="AK84"/>
  <c r="AH84"/>
  <c r="AE84"/>
  <c r="AB84"/>
  <c r="Y84"/>
  <c r="V84"/>
  <c r="S84"/>
  <c r="P84"/>
  <c r="AZ83"/>
  <c r="AW83"/>
  <c r="AT83"/>
  <c r="AQ83"/>
  <c r="AN83"/>
  <c r="AK83"/>
  <c r="AH83"/>
  <c r="AE83"/>
  <c r="AB83"/>
  <c r="Y83"/>
  <c r="V83"/>
  <c r="S83"/>
  <c r="P83"/>
  <c r="AZ82"/>
  <c r="AW82"/>
  <c r="AT82"/>
  <c r="AQ82"/>
  <c r="AN82"/>
  <c r="AK82"/>
  <c r="AH82"/>
  <c r="AE82"/>
  <c r="AB82"/>
  <c r="Y82"/>
  <c r="V82"/>
  <c r="S82"/>
  <c r="P82"/>
  <c r="AZ81"/>
  <c r="AW81"/>
  <c r="AT81"/>
  <c r="AQ81"/>
  <c r="AN81"/>
  <c r="AK81"/>
  <c r="AH81"/>
  <c r="AE81"/>
  <c r="AB81"/>
  <c r="Y81"/>
  <c r="V81"/>
  <c r="S81"/>
  <c r="P81"/>
  <c r="AZ80"/>
  <c r="AW80"/>
  <c r="AT80"/>
  <c r="AQ80"/>
  <c r="AN80"/>
  <c r="AK80"/>
  <c r="AH80"/>
  <c r="AE80"/>
  <c r="AB80"/>
  <c r="Y80"/>
  <c r="V80"/>
  <c r="S80"/>
  <c r="P80"/>
  <c r="AZ79"/>
  <c r="AW79"/>
  <c r="AT79"/>
  <c r="AQ79"/>
  <c r="AN79"/>
  <c r="AK79"/>
  <c r="AH79"/>
  <c r="AE79"/>
  <c r="AB79"/>
  <c r="Y79"/>
  <c r="V79"/>
  <c r="S79"/>
  <c r="P79"/>
  <c r="AZ78"/>
  <c r="AW78"/>
  <c r="AT78"/>
  <c r="AQ78"/>
  <c r="AN78"/>
  <c r="AK78"/>
  <c r="AH78"/>
  <c r="AE78"/>
  <c r="AB78"/>
  <c r="Y78"/>
  <c r="V78"/>
  <c r="S78"/>
  <c r="P78"/>
  <c r="AZ77"/>
  <c r="AW77"/>
  <c r="AT77"/>
  <c r="AQ77"/>
  <c r="AN77"/>
  <c r="AK77"/>
  <c r="AH77"/>
  <c r="AE77"/>
  <c r="AB77"/>
  <c r="Y77"/>
  <c r="V77"/>
  <c r="S77"/>
  <c r="P77"/>
  <c r="AZ76"/>
  <c r="AZ75"/>
  <c r="AZ74"/>
  <c r="AZ73"/>
  <c r="AZ72"/>
  <c r="AZ71"/>
  <c r="AZ70"/>
  <c r="AZ69"/>
  <c r="AZ68"/>
  <c r="AZ67"/>
  <c r="AZ66"/>
  <c r="AZ65"/>
  <c r="AZ64"/>
  <c r="AZ63"/>
  <c r="AB76"/>
  <c r="AB75"/>
  <c r="AB74"/>
  <c r="AB73"/>
  <c r="AB72"/>
  <c r="AB71"/>
  <c r="AB70"/>
  <c r="AB69"/>
  <c r="AB68"/>
  <c r="AB67"/>
  <c r="AB66"/>
  <c r="AB65"/>
  <c r="AB64"/>
  <c r="AB63"/>
  <c r="AW76"/>
  <c r="AQ76"/>
  <c r="AN76"/>
  <c r="AK76"/>
  <c r="AH76"/>
  <c r="AE76"/>
  <c r="Y76"/>
  <c r="V76"/>
  <c r="S76"/>
  <c r="P76"/>
  <c r="AW75"/>
  <c r="AQ75"/>
  <c r="AN75"/>
  <c r="AK75"/>
  <c r="AH75"/>
  <c r="AE75"/>
  <c r="Y75"/>
  <c r="V75"/>
  <c r="S75"/>
  <c r="P75"/>
  <c r="AW74"/>
  <c r="AQ74"/>
  <c r="AN74"/>
  <c r="AK74"/>
  <c r="AH74"/>
  <c r="AE74"/>
  <c r="Y74"/>
  <c r="V74"/>
  <c r="S74"/>
  <c r="P74"/>
  <c r="AT74"/>
  <c r="AW73"/>
  <c r="AQ73"/>
  <c r="AN73"/>
  <c r="AK73"/>
  <c r="AH73"/>
  <c r="AE73"/>
  <c r="Y73"/>
  <c r="V73"/>
  <c r="S73"/>
  <c r="P73"/>
  <c r="AT73"/>
  <c r="AW72"/>
  <c r="AQ72"/>
  <c r="AN72"/>
  <c r="AK72"/>
  <c r="AH72"/>
  <c r="AE72"/>
  <c r="Y72"/>
  <c r="V72"/>
  <c r="S72"/>
  <c r="P72"/>
  <c r="AW71"/>
  <c r="AQ71"/>
  <c r="AN71"/>
  <c r="AK71"/>
  <c r="AH71"/>
  <c r="AE71"/>
  <c r="Y71"/>
  <c r="V71"/>
  <c r="S71"/>
  <c r="P71"/>
  <c r="AW70"/>
  <c r="AQ70"/>
  <c r="AN70"/>
  <c r="AK70"/>
  <c r="AH70"/>
  <c r="AE70"/>
  <c r="Y70"/>
  <c r="V70"/>
  <c r="S70"/>
  <c r="P70"/>
  <c r="AT70"/>
  <c r="AW69"/>
  <c r="AQ69"/>
  <c r="AN69"/>
  <c r="AK69"/>
  <c r="AH69"/>
  <c r="AE69"/>
  <c r="Y69"/>
  <c r="V69"/>
  <c r="S69"/>
  <c r="P69"/>
  <c r="AT69"/>
  <c r="AW68"/>
  <c r="AQ68"/>
  <c r="AN68"/>
  <c r="AK68"/>
  <c r="AH68"/>
  <c r="AE68"/>
  <c r="Y68"/>
  <c r="V68"/>
  <c r="S68"/>
  <c r="P68"/>
  <c r="AW67"/>
  <c r="AQ67"/>
  <c r="AN67"/>
  <c r="AK67"/>
  <c r="AH67"/>
  <c r="AE67"/>
  <c r="Y67"/>
  <c r="V67"/>
  <c r="S67"/>
  <c r="P67"/>
  <c r="AW66"/>
  <c r="AQ66"/>
  <c r="AN66"/>
  <c r="AK66"/>
  <c r="AH66"/>
  <c r="AE66"/>
  <c r="Y66"/>
  <c r="V66"/>
  <c r="S66"/>
  <c r="P66"/>
  <c r="AT66"/>
  <c r="AW65"/>
  <c r="AQ65"/>
  <c r="AN65"/>
  <c r="AK65"/>
  <c r="AH65"/>
  <c r="AE65"/>
  <c r="Y65"/>
  <c r="V65"/>
  <c r="S65"/>
  <c r="P65"/>
  <c r="AT65"/>
  <c r="AW64"/>
  <c r="AQ64"/>
  <c r="AN64"/>
  <c r="AK64"/>
  <c r="AH64"/>
  <c r="AE64"/>
  <c r="Y64"/>
  <c r="V64"/>
  <c r="S64"/>
  <c r="P64"/>
  <c r="AW63"/>
  <c r="AQ63"/>
  <c r="AN63"/>
  <c r="AK63"/>
  <c r="AH63"/>
  <c r="AE63"/>
  <c r="Y63"/>
  <c r="V63"/>
  <c r="S63"/>
  <c r="P63"/>
  <c r="AZ62"/>
  <c r="AW62"/>
  <c r="AT62"/>
  <c r="AQ62"/>
  <c r="AN62"/>
  <c r="AK62"/>
  <c r="AH62"/>
  <c r="AE62"/>
  <c r="AB62"/>
  <c r="Y62"/>
  <c r="V62"/>
  <c r="S62"/>
  <c r="P62"/>
  <c r="AZ61"/>
  <c r="AW61"/>
  <c r="AT61"/>
  <c r="AQ61"/>
  <c r="AN61"/>
  <c r="AK61"/>
  <c r="AH61"/>
  <c r="AE61"/>
  <c r="AB61"/>
  <c r="Y61"/>
  <c r="V61"/>
  <c r="S61"/>
  <c r="P61"/>
  <c r="AZ60"/>
  <c r="AW60"/>
  <c r="AT60"/>
  <c r="AQ60"/>
  <c r="AN60"/>
  <c r="AK60"/>
  <c r="AH60"/>
  <c r="AE60"/>
  <c r="AB60"/>
  <c r="Y60"/>
  <c r="V60"/>
  <c r="S60"/>
  <c r="P60"/>
  <c r="AZ59"/>
  <c r="AW59"/>
  <c r="AT59"/>
  <c r="AQ59"/>
  <c r="AN59"/>
  <c r="AK59"/>
  <c r="AH59"/>
  <c r="AE59"/>
  <c r="AB59"/>
  <c r="Y59"/>
  <c r="V59"/>
  <c r="S59"/>
  <c r="P59"/>
  <c r="AZ58"/>
  <c r="AW58"/>
  <c r="AT58"/>
  <c r="AQ58"/>
  <c r="AN58"/>
  <c r="AK58"/>
  <c r="AH58"/>
  <c r="AE58"/>
  <c r="AB58"/>
  <c r="Y58"/>
  <c r="V58"/>
  <c r="S58"/>
  <c r="P58"/>
  <c r="AZ57"/>
  <c r="AW57"/>
  <c r="AT57"/>
  <c r="AQ57"/>
  <c r="AN57"/>
  <c r="AK57"/>
  <c r="AH57"/>
  <c r="AE57"/>
  <c r="AB57"/>
  <c r="Y57"/>
  <c r="V57"/>
  <c r="S57"/>
  <c r="P57"/>
  <c r="AZ56"/>
  <c r="AW56"/>
  <c r="AT56"/>
  <c r="AQ56"/>
  <c r="AN56"/>
  <c r="AK56"/>
  <c r="AH56"/>
  <c r="AE56"/>
  <c r="AB56"/>
  <c r="Y56"/>
  <c r="V56"/>
  <c r="S56"/>
  <c r="P56"/>
  <c r="AZ55"/>
  <c r="AW55"/>
  <c r="AT55"/>
  <c r="AQ55"/>
  <c r="AN55"/>
  <c r="AK55"/>
  <c r="AH55"/>
  <c r="AE55"/>
  <c r="AB55"/>
  <c r="Y55"/>
  <c r="V55"/>
  <c r="S55"/>
  <c r="P55"/>
  <c r="AZ54"/>
  <c r="AW54"/>
  <c r="AT54"/>
  <c r="AQ54"/>
  <c r="AN54"/>
  <c r="AK54"/>
  <c r="AH54"/>
  <c r="AE54"/>
  <c r="AB54"/>
  <c r="Y54"/>
  <c r="V54"/>
  <c r="S54"/>
  <c r="P54"/>
  <c r="AZ53"/>
  <c r="AW53"/>
  <c r="AT53"/>
  <c r="AQ53"/>
  <c r="AN53"/>
  <c r="AK53"/>
  <c r="AH53"/>
  <c r="AE53"/>
  <c r="AB53"/>
  <c r="Y53"/>
  <c r="V53"/>
  <c r="S53"/>
  <c r="P53"/>
  <c r="AZ52"/>
  <c r="AW52"/>
  <c r="AT52"/>
  <c r="AQ52"/>
  <c r="AN52"/>
  <c r="AK52"/>
  <c r="AH52"/>
  <c r="AE52"/>
  <c r="AB52"/>
  <c r="Y52"/>
  <c r="V52"/>
  <c r="S52"/>
  <c r="P52"/>
  <c r="AZ51"/>
  <c r="AW51"/>
  <c r="AT51"/>
  <c r="AQ51"/>
  <c r="AN51"/>
  <c r="AK51"/>
  <c r="AH51"/>
  <c r="AE51"/>
  <c r="AB51"/>
  <c r="Y51"/>
  <c r="V51"/>
  <c r="S51"/>
  <c r="P51"/>
  <c r="AZ50"/>
  <c r="AW50"/>
  <c r="AT50"/>
  <c r="AQ50"/>
  <c r="AN50"/>
  <c r="AK50"/>
  <c r="AH50"/>
  <c r="AE50"/>
  <c r="AB50"/>
  <c r="Y50"/>
  <c r="V50"/>
  <c r="S50"/>
  <c r="P50"/>
  <c r="AZ49"/>
  <c r="AW49"/>
  <c r="AT49"/>
  <c r="AQ49"/>
  <c r="AN49"/>
  <c r="AK49"/>
  <c r="AH49"/>
  <c r="AE49"/>
  <c r="AB49"/>
  <c r="Y49"/>
  <c r="V49"/>
  <c r="S49"/>
  <c r="P49"/>
  <c r="AZ48"/>
  <c r="AW48"/>
  <c r="AT48"/>
  <c r="AQ48"/>
  <c r="AN48"/>
  <c r="AK48"/>
  <c r="AH48"/>
  <c r="AE48"/>
  <c r="AB48"/>
  <c r="Y48"/>
  <c r="V48"/>
  <c r="S48"/>
  <c r="P48"/>
  <c r="AZ47"/>
  <c r="AW47"/>
  <c r="AT47"/>
  <c r="AQ47"/>
  <c r="AN47"/>
  <c r="AK47"/>
  <c r="AH47"/>
  <c r="AE47"/>
  <c r="AB47"/>
  <c r="Y47"/>
  <c r="V47"/>
  <c r="S47"/>
  <c r="P47"/>
  <c r="AZ46"/>
  <c r="AW46"/>
  <c r="AT46"/>
  <c r="AQ46"/>
  <c r="AN46"/>
  <c r="AK46"/>
  <c r="AH46"/>
  <c r="AE46"/>
  <c r="AB46"/>
  <c r="Y46"/>
  <c r="V46"/>
  <c r="S46"/>
  <c r="P46"/>
  <c r="AZ45"/>
  <c r="AW45"/>
  <c r="AT45"/>
  <c r="AQ45"/>
  <c r="AN45"/>
  <c r="AK45"/>
  <c r="AH45"/>
  <c r="AE45"/>
  <c r="AB45"/>
  <c r="Y45"/>
  <c r="V45"/>
  <c r="S45"/>
  <c r="P45"/>
  <c r="AZ44"/>
  <c r="AW44"/>
  <c r="AT44"/>
  <c r="AQ44"/>
  <c r="AN44"/>
  <c r="AK44"/>
  <c r="AH44"/>
  <c r="AE44"/>
  <c r="AB44"/>
  <c r="Y44"/>
  <c r="V44"/>
  <c r="S44"/>
  <c r="P44"/>
  <c r="AZ43"/>
  <c r="AW43"/>
  <c r="AT43"/>
  <c r="AQ43"/>
  <c r="AN43"/>
  <c r="AK43"/>
  <c r="AH43"/>
  <c r="AE43"/>
  <c r="AB43"/>
  <c r="Y43"/>
  <c r="V43"/>
  <c r="S43"/>
  <c r="P43"/>
  <c r="AZ42"/>
  <c r="AW42"/>
  <c r="AT42"/>
  <c r="AQ42"/>
  <c r="AN42"/>
  <c r="AK42"/>
  <c r="AH42"/>
  <c r="AE42"/>
  <c r="AB42"/>
  <c r="Y42"/>
  <c r="V42"/>
  <c r="S42"/>
  <c r="P42"/>
  <c r="AZ41"/>
  <c r="AW41"/>
  <c r="AT41"/>
  <c r="AQ41"/>
  <c r="AN41"/>
  <c r="AK41"/>
  <c r="AH41"/>
  <c r="AE41"/>
  <c r="AB41"/>
  <c r="Y41"/>
  <c r="V41"/>
  <c r="S41"/>
  <c r="P41"/>
  <c r="AZ40"/>
  <c r="AW40"/>
  <c r="AT40"/>
  <c r="AQ40"/>
  <c r="AN40"/>
  <c r="AK40"/>
  <c r="AH40"/>
  <c r="AE40"/>
  <c r="AB40"/>
  <c r="Y40"/>
  <c r="V40"/>
  <c r="S40"/>
  <c r="P40"/>
  <c r="AZ39"/>
  <c r="AW39"/>
  <c r="AT39"/>
  <c r="AQ39"/>
  <c r="AN39"/>
  <c r="AK39"/>
  <c r="AH39"/>
  <c r="AE39"/>
  <c r="AB39"/>
  <c r="Y39"/>
  <c r="V39"/>
  <c r="S39"/>
  <c r="P39"/>
  <c r="AZ38"/>
  <c r="AW38"/>
  <c r="AT38"/>
  <c r="AQ38"/>
  <c r="AN38"/>
  <c r="AK38"/>
  <c r="AH38"/>
  <c r="AE38"/>
  <c r="AB38"/>
  <c r="Y38"/>
  <c r="V38"/>
  <c r="S38"/>
  <c r="P38"/>
  <c r="AZ37"/>
  <c r="AW37"/>
  <c r="AT37"/>
  <c r="AQ37"/>
  <c r="AN37"/>
  <c r="AK37"/>
  <c r="AH37"/>
  <c r="AE37"/>
  <c r="AB37"/>
  <c r="Y37"/>
  <c r="V37"/>
  <c r="S37"/>
  <c r="P37"/>
  <c r="AZ36"/>
  <c r="AW36"/>
  <c r="AT36"/>
  <c r="AQ36"/>
  <c r="AN36"/>
  <c r="AK36"/>
  <c r="AH36"/>
  <c r="AE36"/>
  <c r="AB36"/>
  <c r="Y36"/>
  <c r="V36"/>
  <c r="S36"/>
  <c r="P36"/>
  <c r="AZ35"/>
  <c r="AW35"/>
  <c r="AT35"/>
  <c r="AQ35"/>
  <c r="AN35"/>
  <c r="AK35"/>
  <c r="AH35"/>
  <c r="AE35"/>
  <c r="AB35"/>
  <c r="Y35"/>
  <c r="V35"/>
  <c r="S35"/>
  <c r="P35"/>
  <c r="AN22"/>
  <c r="AN23"/>
  <c r="AN24"/>
  <c r="AN25"/>
  <c r="AN26"/>
  <c r="AN27"/>
  <c r="AN28"/>
  <c r="AN29"/>
  <c r="AN30"/>
  <c r="AN31"/>
  <c r="AN32"/>
  <c r="AN33"/>
  <c r="AN34"/>
  <c r="AN21"/>
  <c r="AZ34"/>
  <c r="AW34"/>
  <c r="AT34"/>
  <c r="AQ34"/>
  <c r="AK34"/>
  <c r="AH34"/>
  <c r="AE34"/>
  <c r="AB34"/>
  <c r="Y34"/>
  <c r="V34"/>
  <c r="S34"/>
  <c r="P34"/>
  <c r="AZ33"/>
  <c r="AW33"/>
  <c r="AT33"/>
  <c r="AQ33"/>
  <c r="AK33"/>
  <c r="AH33"/>
  <c r="AE33"/>
  <c r="AB33"/>
  <c r="Y33"/>
  <c r="V33"/>
  <c r="S33"/>
  <c r="P33"/>
  <c r="AZ32"/>
  <c r="AW32"/>
  <c r="AT32"/>
  <c r="AQ32"/>
  <c r="AK32"/>
  <c r="AH32"/>
  <c r="AE32"/>
  <c r="AB32"/>
  <c r="Y32"/>
  <c r="V32"/>
  <c r="S32"/>
  <c r="P32"/>
  <c r="AZ31"/>
  <c r="AW31"/>
  <c r="AT31"/>
  <c r="AQ31"/>
  <c r="AK31"/>
  <c r="AH31"/>
  <c r="AE31"/>
  <c r="AB31"/>
  <c r="Y31"/>
  <c r="V31"/>
  <c r="S31"/>
  <c r="P31"/>
  <c r="AZ30"/>
  <c r="AW30"/>
  <c r="AT30"/>
  <c r="AQ30"/>
  <c r="AK30"/>
  <c r="AH30"/>
  <c r="AE30"/>
  <c r="AB30"/>
  <c r="Y30"/>
  <c r="V30"/>
  <c r="S30"/>
  <c r="P30"/>
  <c r="AZ29"/>
  <c r="AW29"/>
  <c r="AT29"/>
  <c r="AQ29"/>
  <c r="AK29"/>
  <c r="AH29"/>
  <c r="AE29"/>
  <c r="AB29"/>
  <c r="Y29"/>
  <c r="V29"/>
  <c r="S29"/>
  <c r="P29"/>
  <c r="AZ28"/>
  <c r="AW28"/>
  <c r="AT28"/>
  <c r="AQ28"/>
  <c r="AK28"/>
  <c r="AH28"/>
  <c r="AE28"/>
  <c r="AB28"/>
  <c r="Y28"/>
  <c r="V28"/>
  <c r="S28"/>
  <c r="P28"/>
  <c r="AZ27"/>
  <c r="AW27"/>
  <c r="AT27"/>
  <c r="AQ27"/>
  <c r="AK27"/>
  <c r="AH27"/>
  <c r="AE27"/>
  <c r="AB27"/>
  <c r="Y27"/>
  <c r="V27"/>
  <c r="S27"/>
  <c r="P27"/>
  <c r="AZ26"/>
  <c r="AW26"/>
  <c r="AT26"/>
  <c r="AQ26"/>
  <c r="AK26"/>
  <c r="AH26"/>
  <c r="AE26"/>
  <c r="AB26"/>
  <c r="Y26"/>
  <c r="V26"/>
  <c r="S26"/>
  <c r="P26"/>
  <c r="AZ25"/>
  <c r="AW25"/>
  <c r="AT25"/>
  <c r="AQ25"/>
  <c r="AK25"/>
  <c r="AH25"/>
  <c r="AE25"/>
  <c r="AB25"/>
  <c r="Y25"/>
  <c r="V25"/>
  <c r="S25"/>
  <c r="P25"/>
  <c r="AZ24"/>
  <c r="AW24"/>
  <c r="AT24"/>
  <c r="AQ24"/>
  <c r="AK24"/>
  <c r="AH24"/>
  <c r="AE24"/>
  <c r="AB24"/>
  <c r="Y24"/>
  <c r="V24"/>
  <c r="S24"/>
  <c r="P24"/>
  <c r="AZ23"/>
  <c r="AW23"/>
  <c r="AT23"/>
  <c r="AQ23"/>
  <c r="AK23"/>
  <c r="AH23"/>
  <c r="AE23"/>
  <c r="AB23"/>
  <c r="Y23"/>
  <c r="V23"/>
  <c r="S23"/>
  <c r="P23"/>
  <c r="AZ22"/>
  <c r="AW22"/>
  <c r="AT22"/>
  <c r="AQ22"/>
  <c r="AK22"/>
  <c r="AH22"/>
  <c r="AE22"/>
  <c r="AB22"/>
  <c r="Y22"/>
  <c r="V22"/>
  <c r="S22"/>
  <c r="P22"/>
  <c r="AZ21"/>
  <c r="AW21"/>
  <c r="AT21"/>
  <c r="AQ21"/>
  <c r="AK21"/>
  <c r="AH21"/>
  <c r="AE21"/>
  <c r="AB21"/>
  <c r="Y21"/>
  <c r="V21"/>
  <c r="S21"/>
  <c r="AZ20"/>
  <c r="AW20"/>
  <c r="AT20"/>
  <c r="AQ20"/>
  <c r="AN20"/>
  <c r="AK20"/>
  <c r="AH20"/>
  <c r="AE20"/>
  <c r="AB20"/>
  <c r="Y20"/>
  <c r="V20"/>
  <c r="S20"/>
  <c r="P20"/>
  <c r="AH19"/>
  <c r="V19"/>
  <c r="T441" i="85"/>
  <c r="AT71" i="72" l="1"/>
  <c r="AT72"/>
  <c r="AT76"/>
  <c r="AT64"/>
  <c r="B441" i="85"/>
  <c r="B446" s="1"/>
  <c r="M193" i="72"/>
  <c r="BA193" s="1"/>
  <c r="M201"/>
  <c r="BA201" s="1"/>
  <c r="M217"/>
  <c r="BA217" s="1"/>
  <c r="M225"/>
  <c r="BA225" s="1"/>
  <c r="M237"/>
  <c r="BA237" s="1"/>
  <c r="M249"/>
  <c r="BA249" s="1"/>
  <c r="M257"/>
  <c r="BA257" s="1"/>
  <c r="M265"/>
  <c r="BA265" s="1"/>
  <c r="M269"/>
  <c r="BA269" s="1"/>
  <c r="M273"/>
  <c r="BA273" s="1"/>
  <c r="M275"/>
  <c r="BA275" s="1"/>
  <c r="M283"/>
  <c r="BA283" s="1"/>
  <c r="M291"/>
  <c r="BA291" s="1"/>
  <c r="M295"/>
  <c r="BA295" s="1"/>
  <c r="M299"/>
  <c r="BA299" s="1"/>
  <c r="M303"/>
  <c r="BA303" s="1"/>
  <c r="M311"/>
  <c r="BA311" s="1"/>
  <c r="M315"/>
  <c r="BA315" s="1"/>
  <c r="M323"/>
  <c r="BA323" s="1"/>
  <c r="M335"/>
  <c r="BA335" s="1"/>
  <c r="M339"/>
  <c r="BA339" s="1"/>
  <c r="M343"/>
  <c r="BA343" s="1"/>
  <c r="M355"/>
  <c r="BA355" s="1"/>
  <c r="M359"/>
  <c r="BA359" s="1"/>
  <c r="M367"/>
  <c r="BA367" s="1"/>
  <c r="M373"/>
  <c r="BA373" s="1"/>
  <c r="M375"/>
  <c r="BA375" s="1"/>
  <c r="M379"/>
  <c r="BA379" s="1"/>
  <c r="M383"/>
  <c r="BA383" s="1"/>
  <c r="M392"/>
  <c r="BA392" s="1"/>
  <c r="M404"/>
  <c r="BA404" s="1"/>
  <c r="M408"/>
  <c r="BA408" s="1"/>
  <c r="M412"/>
  <c r="BA412" s="1"/>
  <c r="M196"/>
  <c r="BA196" s="1"/>
  <c r="M224"/>
  <c r="BA224" s="1"/>
  <c r="M228"/>
  <c r="BA228" s="1"/>
  <c r="M236"/>
  <c r="BA236" s="1"/>
  <c r="M244"/>
  <c r="BA244" s="1"/>
  <c r="M252"/>
  <c r="BA252" s="1"/>
  <c r="M260"/>
  <c r="BA260" s="1"/>
  <c r="M264"/>
  <c r="BA264" s="1"/>
  <c r="M272"/>
  <c r="BA272" s="1"/>
  <c r="M274"/>
  <c r="BA274" s="1"/>
  <c r="M282"/>
  <c r="BA282" s="1"/>
  <c r="M304"/>
  <c r="BA304" s="1"/>
  <c r="M326"/>
  <c r="BA326" s="1"/>
  <c r="M336"/>
  <c r="BA336" s="1"/>
  <c r="M340"/>
  <c r="BA340" s="1"/>
  <c r="M344"/>
  <c r="BA344" s="1"/>
  <c r="M366"/>
  <c r="BA366" s="1"/>
  <c r="M190"/>
  <c r="BA190" s="1"/>
  <c r="M194"/>
  <c r="BA194" s="1"/>
  <c r="M198"/>
  <c r="BA198" s="1"/>
  <c r="M202"/>
  <c r="BA202" s="1"/>
  <c r="M218"/>
  <c r="BA218" s="1"/>
  <c r="M222"/>
  <c r="BA222" s="1"/>
  <c r="M226"/>
  <c r="BA226" s="1"/>
  <c r="M230"/>
  <c r="BA230" s="1"/>
  <c r="M234"/>
  <c r="BA234" s="1"/>
  <c r="M238"/>
  <c r="BA238" s="1"/>
  <c r="M242"/>
  <c r="BA242" s="1"/>
  <c r="M246"/>
  <c r="BA246" s="1"/>
  <c r="M250"/>
  <c r="BA250" s="1"/>
  <c r="M254"/>
  <c r="BA254" s="1"/>
  <c r="M258"/>
  <c r="BA258" s="1"/>
  <c r="M262"/>
  <c r="BA262" s="1"/>
  <c r="M266"/>
  <c r="BA266" s="1"/>
  <c r="M270"/>
  <c r="BA270" s="1"/>
  <c r="M276"/>
  <c r="BA276" s="1"/>
  <c r="M280"/>
  <c r="BA280" s="1"/>
  <c r="M284"/>
  <c r="BA284" s="1"/>
  <c r="M288"/>
  <c r="BA288" s="1"/>
  <c r="M292"/>
  <c r="BA292" s="1"/>
  <c r="M296"/>
  <c r="BA296" s="1"/>
  <c r="M300"/>
  <c r="BA300" s="1"/>
  <c r="M302"/>
  <c r="BA302" s="1"/>
  <c r="M306"/>
  <c r="BA306" s="1"/>
  <c r="M310"/>
  <c r="BA310" s="1"/>
  <c r="M314"/>
  <c r="BA314" s="1"/>
  <c r="M316"/>
  <c r="BA316" s="1"/>
  <c r="M320"/>
  <c r="BA320" s="1"/>
  <c r="M324"/>
  <c r="BA324" s="1"/>
  <c r="M328"/>
  <c r="BA328" s="1"/>
  <c r="M330"/>
  <c r="BA330" s="1"/>
  <c r="M334"/>
  <c r="BA334" s="1"/>
  <c r="M338"/>
  <c r="BA338" s="1"/>
  <c r="M342"/>
  <c r="BA342" s="1"/>
  <c r="M346"/>
  <c r="BA346" s="1"/>
  <c r="M350"/>
  <c r="BA350" s="1"/>
  <c r="M354"/>
  <c r="BA354" s="1"/>
  <c r="M360"/>
  <c r="M364"/>
  <c r="BA364" s="1"/>
  <c r="M368"/>
  <c r="BA368" s="1"/>
  <c r="M403"/>
  <c r="BA403" s="1"/>
  <c r="M407"/>
  <c r="BA407" s="1"/>
  <c r="M411"/>
  <c r="BA411" s="1"/>
  <c r="BA360"/>
  <c r="M189"/>
  <c r="BA189" s="1"/>
  <c r="M197"/>
  <c r="BA197" s="1"/>
  <c r="M221"/>
  <c r="BA221" s="1"/>
  <c r="M229"/>
  <c r="BA229" s="1"/>
  <c r="M233"/>
  <c r="BA233" s="1"/>
  <c r="M241"/>
  <c r="BA241" s="1"/>
  <c r="M245"/>
  <c r="BA245" s="1"/>
  <c r="M253"/>
  <c r="BA253" s="1"/>
  <c r="M261"/>
  <c r="BA261" s="1"/>
  <c r="M279"/>
  <c r="BA279" s="1"/>
  <c r="M287"/>
  <c r="BA287" s="1"/>
  <c r="M307"/>
  <c r="BA307" s="1"/>
  <c r="M319"/>
  <c r="BA319" s="1"/>
  <c r="M327"/>
  <c r="BA327" s="1"/>
  <c r="M331"/>
  <c r="BA331" s="1"/>
  <c r="M347"/>
  <c r="BA347" s="1"/>
  <c r="M351"/>
  <c r="BA351" s="1"/>
  <c r="M363"/>
  <c r="BA363" s="1"/>
  <c r="M371"/>
  <c r="BA371" s="1"/>
  <c r="M377"/>
  <c r="BA377" s="1"/>
  <c r="M381"/>
  <c r="BA381" s="1"/>
  <c r="M386"/>
  <c r="BA386" s="1"/>
  <c r="M388"/>
  <c r="BA388" s="1"/>
  <c r="M390"/>
  <c r="BA390" s="1"/>
  <c r="M394"/>
  <c r="BA394" s="1"/>
  <c r="M396"/>
  <c r="BA396" s="1"/>
  <c r="M398"/>
  <c r="BA398" s="1"/>
  <c r="M400"/>
  <c r="BA400" s="1"/>
  <c r="M192"/>
  <c r="BA192" s="1"/>
  <c r="M200"/>
  <c r="BA200" s="1"/>
  <c r="M220"/>
  <c r="BA220" s="1"/>
  <c r="M232"/>
  <c r="BA232" s="1"/>
  <c r="M240"/>
  <c r="BA240" s="1"/>
  <c r="M248"/>
  <c r="BA248" s="1"/>
  <c r="M256"/>
  <c r="BA256" s="1"/>
  <c r="M268"/>
  <c r="BA268" s="1"/>
  <c r="M278"/>
  <c r="BA278" s="1"/>
  <c r="M286"/>
  <c r="BA286" s="1"/>
  <c r="M290"/>
  <c r="BA290" s="1"/>
  <c r="M294"/>
  <c r="BA294" s="1"/>
  <c r="M298"/>
  <c r="BA298" s="1"/>
  <c r="M308"/>
  <c r="BA308" s="1"/>
  <c r="M312"/>
  <c r="BA312" s="1"/>
  <c r="M318"/>
  <c r="BA318" s="1"/>
  <c r="M322"/>
  <c r="BA322" s="1"/>
  <c r="M332"/>
  <c r="BA332" s="1"/>
  <c r="M348"/>
  <c r="BA348" s="1"/>
  <c r="M352"/>
  <c r="BA352" s="1"/>
  <c r="M356"/>
  <c r="BA356" s="1"/>
  <c r="M358"/>
  <c r="BA358" s="1"/>
  <c r="M362"/>
  <c r="BA362" s="1"/>
  <c r="M370"/>
  <c r="BA370" s="1"/>
  <c r="M401"/>
  <c r="BA401" s="1"/>
  <c r="M405"/>
  <c r="BA405" s="1"/>
  <c r="M409"/>
  <c r="BA409" s="1"/>
  <c r="M191"/>
  <c r="BA191" s="1"/>
  <c r="M195"/>
  <c r="M199"/>
  <c r="BA199" s="1"/>
  <c r="M219"/>
  <c r="BA219" s="1"/>
  <c r="M223"/>
  <c r="BA223" s="1"/>
  <c r="M227"/>
  <c r="BA227" s="1"/>
  <c r="M231"/>
  <c r="BA231" s="1"/>
  <c r="M235"/>
  <c r="BA235" s="1"/>
  <c r="M239"/>
  <c r="BA239" s="1"/>
  <c r="M243"/>
  <c r="BA243" s="1"/>
  <c r="M247"/>
  <c r="BA247" s="1"/>
  <c r="M251"/>
  <c r="BA251" s="1"/>
  <c r="M255"/>
  <c r="BA255" s="1"/>
  <c r="M259"/>
  <c r="BA259" s="1"/>
  <c r="M263"/>
  <c r="BA263" s="1"/>
  <c r="M267"/>
  <c r="BA267" s="1"/>
  <c r="M271"/>
  <c r="BA271" s="1"/>
  <c r="M277"/>
  <c r="BA277" s="1"/>
  <c r="M281"/>
  <c r="BA281" s="1"/>
  <c r="M285"/>
  <c r="BA285" s="1"/>
  <c r="M289"/>
  <c r="BA289" s="1"/>
  <c r="M293"/>
  <c r="BA293" s="1"/>
  <c r="M297"/>
  <c r="BA297" s="1"/>
  <c r="M301"/>
  <c r="BA301" s="1"/>
  <c r="M305"/>
  <c r="BA305" s="1"/>
  <c r="M309"/>
  <c r="BA309" s="1"/>
  <c r="M313"/>
  <c r="BA313" s="1"/>
  <c r="M317"/>
  <c r="BA317" s="1"/>
  <c r="M321"/>
  <c r="BA321" s="1"/>
  <c r="M325"/>
  <c r="BA325" s="1"/>
  <c r="M329"/>
  <c r="BA329" s="1"/>
  <c r="M333"/>
  <c r="BA333" s="1"/>
  <c r="M337"/>
  <c r="BA337" s="1"/>
  <c r="M341"/>
  <c r="BA341" s="1"/>
  <c r="M345"/>
  <c r="BA345" s="1"/>
  <c r="M349"/>
  <c r="BA349" s="1"/>
  <c r="M353"/>
  <c r="BA353" s="1"/>
  <c r="M357"/>
  <c r="BA357" s="1"/>
  <c r="M361"/>
  <c r="BA361" s="1"/>
  <c r="M365"/>
  <c r="BA365" s="1"/>
  <c r="M369"/>
  <c r="BA369" s="1"/>
  <c r="M372"/>
  <c r="BA372" s="1"/>
  <c r="M374"/>
  <c r="BA374" s="1"/>
  <c r="M376"/>
  <c r="BA376" s="1"/>
  <c r="M378"/>
  <c r="BA378" s="1"/>
  <c r="M380"/>
  <c r="BA380" s="1"/>
  <c r="M382"/>
  <c r="BA382" s="1"/>
  <c r="M384"/>
  <c r="BA384" s="1"/>
  <c r="M385"/>
  <c r="BA385" s="1"/>
  <c r="M387"/>
  <c r="BA387" s="1"/>
  <c r="M389"/>
  <c r="BA389" s="1"/>
  <c r="M391"/>
  <c r="BA391" s="1"/>
  <c r="M393"/>
  <c r="BA393" s="1"/>
  <c r="M395"/>
  <c r="BA395" s="1"/>
  <c r="M397"/>
  <c r="BA397" s="1"/>
  <c r="P399"/>
  <c r="BA399" s="1"/>
  <c r="M402"/>
  <c r="BA402" s="1"/>
  <c r="M406"/>
  <c r="BA406" s="1"/>
  <c r="M410"/>
  <c r="BA410" s="1"/>
  <c r="BA195"/>
  <c r="M177"/>
  <c r="BA177" s="1"/>
  <c r="M185"/>
  <c r="BA185" s="1"/>
  <c r="M176"/>
  <c r="BA176" s="1"/>
  <c r="M184"/>
  <c r="BA184" s="1"/>
  <c r="M175"/>
  <c r="M179"/>
  <c r="BA179" s="1"/>
  <c r="M183"/>
  <c r="BA183" s="1"/>
  <c r="M187"/>
  <c r="BA187" s="1"/>
  <c r="BA175"/>
  <c r="M181"/>
  <c r="BA181" s="1"/>
  <c r="M180"/>
  <c r="BA180" s="1"/>
  <c r="M188"/>
  <c r="BA188" s="1"/>
  <c r="M178"/>
  <c r="BA178" s="1"/>
  <c r="M182"/>
  <c r="BA182" s="1"/>
  <c r="M186"/>
  <c r="BA186" s="1"/>
  <c r="M161"/>
  <c r="BA161" s="1"/>
  <c r="M169"/>
  <c r="BA169" s="1"/>
  <c r="M168"/>
  <c r="BA168" s="1"/>
  <c r="M163"/>
  <c r="BA163" s="1"/>
  <c r="M167"/>
  <c r="BA167" s="1"/>
  <c r="M171"/>
  <c r="BA171" s="1"/>
  <c r="M165"/>
  <c r="BA165" s="1"/>
  <c r="M173"/>
  <c r="BA173" s="1"/>
  <c r="M164"/>
  <c r="BA164" s="1"/>
  <c r="M172"/>
  <c r="BA172" s="1"/>
  <c r="M162"/>
  <c r="BA162" s="1"/>
  <c r="M166"/>
  <c r="BA166" s="1"/>
  <c r="M170"/>
  <c r="BA170" s="1"/>
  <c r="M174"/>
  <c r="BA174" s="1"/>
  <c r="M152"/>
  <c r="BA152" s="1"/>
  <c r="M160"/>
  <c r="BA160" s="1"/>
  <c r="M159"/>
  <c r="BA159" s="1"/>
  <c r="M154"/>
  <c r="BA154" s="1"/>
  <c r="M158"/>
  <c r="BA158" s="1"/>
  <c r="M156"/>
  <c r="BA156" s="1"/>
  <c r="M155"/>
  <c r="BA155" s="1"/>
  <c r="M153"/>
  <c r="BA153" s="1"/>
  <c r="M157"/>
  <c r="BA157" s="1"/>
  <c r="M139"/>
  <c r="BA139" s="1"/>
  <c r="M144"/>
  <c r="BA144" s="1"/>
  <c r="M146"/>
  <c r="BA146" s="1"/>
  <c r="M134"/>
  <c r="BA134" s="1"/>
  <c r="M138"/>
  <c r="BA138" s="1"/>
  <c r="M142"/>
  <c r="BA142" s="1"/>
  <c r="M135"/>
  <c r="BA135" s="1"/>
  <c r="M143"/>
  <c r="BA143" s="1"/>
  <c r="M136"/>
  <c r="BA136" s="1"/>
  <c r="M140"/>
  <c r="BA140" s="1"/>
  <c r="M133"/>
  <c r="BA133" s="1"/>
  <c r="M137"/>
  <c r="BA137" s="1"/>
  <c r="M141"/>
  <c r="BA141" s="1"/>
  <c r="M145"/>
  <c r="BA145" s="1"/>
  <c r="M123"/>
  <c r="BA123" s="1"/>
  <c r="M120"/>
  <c r="BA120" s="1"/>
  <c r="M124"/>
  <c r="BA124" s="1"/>
  <c r="M132"/>
  <c r="BA132" s="1"/>
  <c r="M122"/>
  <c r="BA122" s="1"/>
  <c r="M126"/>
  <c r="BA126" s="1"/>
  <c r="M130"/>
  <c r="BA130" s="1"/>
  <c r="M119"/>
  <c r="BA119" s="1"/>
  <c r="M127"/>
  <c r="BA127" s="1"/>
  <c r="M131"/>
  <c r="BA131" s="1"/>
  <c r="M128"/>
  <c r="BA128" s="1"/>
  <c r="M121"/>
  <c r="BA121" s="1"/>
  <c r="M125"/>
  <c r="BA125" s="1"/>
  <c r="M129"/>
  <c r="BA129" s="1"/>
  <c r="M94"/>
  <c r="BA94" s="1"/>
  <c r="M102"/>
  <c r="BA102" s="1"/>
  <c r="M95"/>
  <c r="BA95" s="1"/>
  <c r="M103"/>
  <c r="BA103" s="1"/>
  <c r="M92"/>
  <c r="BA92" s="1"/>
  <c r="M96"/>
  <c r="BA96" s="1"/>
  <c r="M100"/>
  <c r="BA100" s="1"/>
  <c r="M104"/>
  <c r="BA104" s="1"/>
  <c r="M98"/>
  <c r="BA98" s="1"/>
  <c r="M91"/>
  <c r="BA91" s="1"/>
  <c r="M99"/>
  <c r="BA99" s="1"/>
  <c r="M93"/>
  <c r="BA93" s="1"/>
  <c r="M97"/>
  <c r="BA97" s="1"/>
  <c r="M101"/>
  <c r="BA101" s="1"/>
  <c r="M78"/>
  <c r="BA78" s="1"/>
  <c r="M82"/>
  <c r="BA82" s="1"/>
  <c r="M86"/>
  <c r="BA86" s="1"/>
  <c r="M90"/>
  <c r="BA90" s="1"/>
  <c r="M79"/>
  <c r="BA79" s="1"/>
  <c r="M83"/>
  <c r="BA83" s="1"/>
  <c r="M87"/>
  <c r="BA87" s="1"/>
  <c r="M80"/>
  <c r="BA80" s="1"/>
  <c r="M84"/>
  <c r="BA84" s="1"/>
  <c r="M88"/>
  <c r="BA88" s="1"/>
  <c r="M77"/>
  <c r="BA77" s="1"/>
  <c r="M81"/>
  <c r="BA81" s="1"/>
  <c r="M85"/>
  <c r="BA85" s="1"/>
  <c r="M89"/>
  <c r="BA89" s="1"/>
  <c r="M63"/>
  <c r="M67"/>
  <c r="M71"/>
  <c r="M75"/>
  <c r="M66"/>
  <c r="BA66" s="1"/>
  <c r="M70"/>
  <c r="BA70" s="1"/>
  <c r="M74"/>
  <c r="BA74" s="1"/>
  <c r="M64"/>
  <c r="M68"/>
  <c r="M72"/>
  <c r="M76"/>
  <c r="M65"/>
  <c r="BA65" s="1"/>
  <c r="M69"/>
  <c r="BA69" s="1"/>
  <c r="M73"/>
  <c r="BA73" s="1"/>
  <c r="M50"/>
  <c r="BA50" s="1"/>
  <c r="M58"/>
  <c r="BA58" s="1"/>
  <c r="M55"/>
  <c r="BA55" s="1"/>
  <c r="M49"/>
  <c r="BA49" s="1"/>
  <c r="M52"/>
  <c r="BA52" s="1"/>
  <c r="M56"/>
  <c r="BA56" s="1"/>
  <c r="M60"/>
  <c r="BA60" s="1"/>
  <c r="M54"/>
  <c r="BA54" s="1"/>
  <c r="M62"/>
  <c r="BA62" s="1"/>
  <c r="M51"/>
  <c r="BA51" s="1"/>
  <c r="M59"/>
  <c r="BA59" s="1"/>
  <c r="M53"/>
  <c r="BA53" s="1"/>
  <c r="M57"/>
  <c r="BA57" s="1"/>
  <c r="M61"/>
  <c r="BA61" s="1"/>
  <c r="M39"/>
  <c r="BA39" s="1"/>
  <c r="M47"/>
  <c r="BA47" s="1"/>
  <c r="M40"/>
  <c r="BA40" s="1"/>
  <c r="M48"/>
  <c r="BA48" s="1"/>
  <c r="M37"/>
  <c r="BA37" s="1"/>
  <c r="M41"/>
  <c r="BA41" s="1"/>
  <c r="M45"/>
  <c r="BA45" s="1"/>
  <c r="M35"/>
  <c r="BA35" s="1"/>
  <c r="M43"/>
  <c r="BA43" s="1"/>
  <c r="M36"/>
  <c r="BA36" s="1"/>
  <c r="M44"/>
  <c r="BA44" s="1"/>
  <c r="M38"/>
  <c r="BA38" s="1"/>
  <c r="M42"/>
  <c r="BA42" s="1"/>
  <c r="M46"/>
  <c r="BA46" s="1"/>
  <c r="P21"/>
  <c r="BA21" s="1"/>
  <c r="M23"/>
  <c r="BA23" s="1"/>
  <c r="M27"/>
  <c r="BA27" s="1"/>
  <c r="M29"/>
  <c r="BA29" s="1"/>
  <c r="M31"/>
  <c r="BA31" s="1"/>
  <c r="M22"/>
  <c r="BA22" s="1"/>
  <c r="M24"/>
  <c r="BA24" s="1"/>
  <c r="M26"/>
  <c r="BA26" s="1"/>
  <c r="M28"/>
  <c r="BA28" s="1"/>
  <c r="M30"/>
  <c r="BA30" s="1"/>
  <c r="M32"/>
  <c r="BA32" s="1"/>
  <c r="M34"/>
  <c r="BA34" s="1"/>
  <c r="M25"/>
  <c r="BA25" s="1"/>
  <c r="M33"/>
  <c r="BA33" s="1"/>
  <c r="AT19"/>
  <c r="AE19"/>
  <c r="AE440" s="1"/>
  <c r="H446" i="85"/>
  <c r="P19" i="72"/>
  <c r="P440" s="1"/>
  <c r="C446" i="85"/>
  <c r="AB19" i="72"/>
  <c r="AB440" s="1"/>
  <c r="G446" i="85"/>
  <c r="AN19" i="72"/>
  <c r="AN440" s="1"/>
  <c r="K446" i="85"/>
  <c r="AZ19" i="72"/>
  <c r="AZ440" s="1"/>
  <c r="O446" i="85"/>
  <c r="S19" i="72"/>
  <c r="S440" s="1"/>
  <c r="D446" i="85"/>
  <c r="AQ19" i="72"/>
  <c r="AQ440" s="1"/>
  <c r="L446" i="85"/>
  <c r="P446"/>
  <c r="Y19" i="72"/>
  <c r="Y440" s="1"/>
  <c r="F446" i="85"/>
  <c r="AK19" i="72"/>
  <c r="AK440" s="1"/>
  <c r="J446" i="85"/>
  <c r="AW19" i="72"/>
  <c r="AW440" s="1"/>
  <c r="N446" i="85"/>
  <c r="M20" i="72"/>
  <c r="BA20" s="1"/>
  <c r="M19"/>
  <c r="AH150"/>
  <c r="BA150" s="1"/>
  <c r="AH149"/>
  <c r="BA149" s="1"/>
  <c r="AH148"/>
  <c r="BA148" s="1"/>
  <c r="AH147"/>
  <c r="BA147" s="1"/>
  <c r="AH151"/>
  <c r="BA151" s="1"/>
  <c r="V106"/>
  <c r="BA106" s="1"/>
  <c r="V110"/>
  <c r="BA110" s="1"/>
  <c r="V114"/>
  <c r="BA114" s="1"/>
  <c r="V118"/>
  <c r="BA118" s="1"/>
  <c r="V107"/>
  <c r="BA107" s="1"/>
  <c r="V111"/>
  <c r="BA111" s="1"/>
  <c r="V115"/>
  <c r="BA115" s="1"/>
  <c r="V105"/>
  <c r="BA105" s="1"/>
  <c r="V109"/>
  <c r="BA109" s="1"/>
  <c r="V113"/>
  <c r="BA113" s="1"/>
  <c r="V117"/>
  <c r="BA117" s="1"/>
  <c r="V108"/>
  <c r="BA108" s="1"/>
  <c r="V112"/>
  <c r="BA112" s="1"/>
  <c r="V116"/>
  <c r="BA116" s="1"/>
  <c r="M204"/>
  <c r="BA204" s="1"/>
  <c r="M208"/>
  <c r="BA208" s="1"/>
  <c r="M212"/>
  <c r="BA212" s="1"/>
  <c r="M216"/>
  <c r="BA216" s="1"/>
  <c r="M203"/>
  <c r="BA203" s="1"/>
  <c r="M207"/>
  <c r="BA207" s="1"/>
  <c r="M215"/>
  <c r="BA215" s="1"/>
  <c r="M205"/>
  <c r="BA205" s="1"/>
  <c r="M209"/>
  <c r="BA209" s="1"/>
  <c r="M213"/>
  <c r="BA213" s="1"/>
  <c r="M211"/>
  <c r="BA211" s="1"/>
  <c r="M206"/>
  <c r="BA206" s="1"/>
  <c r="M210"/>
  <c r="BA210" s="1"/>
  <c r="M214"/>
  <c r="BA214" s="1"/>
  <c r="E446" i="85"/>
  <c r="AH440" i="72" l="1"/>
  <c r="V440"/>
  <c r="M440"/>
  <c r="BA72"/>
  <c r="AT68"/>
  <c r="BA68" s="1"/>
  <c r="BA71"/>
  <c r="AT75"/>
  <c r="BA75" s="1"/>
  <c r="AT67"/>
  <c r="BA67" s="1"/>
  <c r="BA76"/>
  <c r="BA64"/>
  <c r="AT63"/>
  <c r="BA63" s="1"/>
  <c r="M446" i="85"/>
  <c r="BA19" i="72"/>
  <c r="BA440" l="1"/>
  <c r="AT440"/>
  <c r="I446" i="85"/>
  <c r="Q446" s="1"/>
</calcChain>
</file>

<file path=xl/sharedStrings.xml><?xml version="1.0" encoding="utf-8"?>
<sst xmlns="http://schemas.openxmlformats.org/spreadsheetml/2006/main" count="6600" uniqueCount="481">
  <si>
    <t xml:space="preserve">Serial no. of  Polling Station </t>
  </si>
  <si>
    <t xml:space="preserve">No of valid votes cast in favour of </t>
  </si>
  <si>
    <t xml:space="preserve">Total </t>
  </si>
  <si>
    <t>Total</t>
  </si>
  <si>
    <t>No. of votes recorded on postal ballot papers. (To be filled in the case of election from an Assembly Constituency)</t>
  </si>
  <si>
    <t>Total votes polled</t>
  </si>
  <si>
    <t>FORM 20  [See rule 56(7)]</t>
  </si>
  <si>
    <t xml:space="preserve">Total no of valid Votes </t>
  </si>
  <si>
    <t xml:space="preserve">Rejected Votes </t>
  </si>
  <si>
    <t xml:space="preserve">Total no of Tendered Votes </t>
  </si>
  <si>
    <t>Returning Officer.</t>
  </si>
  <si>
    <t>AC No.</t>
  </si>
  <si>
    <t xml:space="preserve">Total No.of Electors </t>
  </si>
  <si>
    <t>Voters Turnout</t>
  </si>
  <si>
    <t>No.of voters Identified using EPIC</t>
  </si>
  <si>
    <t>No. of           Ten-dered Voters</t>
  </si>
  <si>
    <t>No.</t>
  </si>
  <si>
    <t>Name</t>
  </si>
  <si>
    <t>Male</t>
  </si>
  <si>
    <t>Female</t>
  </si>
  <si>
    <t>Other</t>
  </si>
  <si>
    <t>S.No.</t>
  </si>
  <si>
    <t>Party Affiliation</t>
  </si>
  <si>
    <t>Votes Secured</t>
  </si>
  <si>
    <t>Bahujan Samaj Party</t>
  </si>
  <si>
    <t xml:space="preserve">Polling Station </t>
  </si>
  <si>
    <t>District-Kushinagar</t>
  </si>
  <si>
    <t xml:space="preserve">Total no. of Electors: </t>
  </si>
  <si>
    <t>Samajwadi Party</t>
  </si>
  <si>
    <t>Bharatiya Janata Party</t>
  </si>
  <si>
    <t xml:space="preserve">Independent </t>
  </si>
  <si>
    <t>Place : Kushinagar</t>
  </si>
  <si>
    <t>333-Kushinagar Assembly Constitency</t>
  </si>
  <si>
    <t xml:space="preserve">NOTA </t>
  </si>
  <si>
    <t>Date : 10-03-2022</t>
  </si>
  <si>
    <t>Rajesh Pratap Rao Urf Banti Bhaiya</t>
  </si>
  <si>
    <t>Syamrati</t>
  </si>
  <si>
    <t>Dipu Urf Atul Kumar Pandey</t>
  </si>
  <si>
    <t>Mukesh</t>
  </si>
  <si>
    <t>Rajesh</t>
  </si>
  <si>
    <t>Shrinarayan</t>
  </si>
  <si>
    <t>Safi Ahmad</t>
  </si>
  <si>
    <t>Ajaya Singh</t>
  </si>
  <si>
    <t>Khushruddin Ansari</t>
  </si>
  <si>
    <t xml:space="preserve">Dhawalesh </t>
  </si>
  <si>
    <t>Parama</t>
  </si>
  <si>
    <t>Sunil Kumar Dubey</t>
  </si>
  <si>
    <t>Panchanand Pathak  (P.N. Pathak)</t>
  </si>
  <si>
    <t>Mukeshwar Prasad Urf
 Pappu Madheshiya</t>
  </si>
  <si>
    <t>UTTAR PRADESH LAGISLATIVE ASSEMBLY GENERAL ELECTION 2022</t>
  </si>
  <si>
    <t>Final Result Sheet   PART I  (To be used both for Lagislative Assembly Elections)</t>
  </si>
  <si>
    <t>411-K.I.C.DHANHA URF MALLUDIH ROOM NO-1</t>
  </si>
  <si>
    <t>412-K.I.C.DHANHA URF MALLUDIH ROOM NO-2</t>
  </si>
  <si>
    <t>413-K.I.C.DHANHA URF MALLUDIH ROOM NO-3</t>
  </si>
  <si>
    <t>414-K.I.C.DHANHA URF MALLUDIH ROOM NO-4</t>
  </si>
  <si>
    <t>415-P.P. ANDHYA ROOM NO-1</t>
  </si>
  <si>
    <t>416-P.P. ANDHYA ROOM NO-2</t>
  </si>
  <si>
    <t>417-P.P ANDHYA TOLA HATWA ROOM NO-1</t>
  </si>
  <si>
    <t>418-P.P ANDHYA TOLA HATWA ROOM NO-2</t>
  </si>
  <si>
    <t>419-P.P. KUDWA URF DILIPNAGAR DHANNY PATTI ROOM NO-1</t>
  </si>
  <si>
    <t>420-P.P. KUDWA URF DILIPNAGAR DHANNY PATTI ROOM NO-2</t>
  </si>
  <si>
    <t>421-P.P. KUDWA URF DILIPNAGAR KHAS ROOM NO-1</t>
  </si>
  <si>
    <t>422-P.P. KUDWA URF DILIPNAGAR KHAS ROOM NO-2</t>
  </si>
  <si>
    <t>423-J.H.S. KUDWA URF DILIPNAGAR ROOM NO-1</t>
  </si>
  <si>
    <t>424-J.H.S. KUDWA URF DILIPNAGAR ROOM NO-2</t>
  </si>
  <si>
    <t>Indian National Congress</t>
  </si>
  <si>
    <t>Aam Aadmi Party</t>
  </si>
  <si>
    <t>Bharatiya Swajivi Nagrik Party</t>
  </si>
  <si>
    <t>Aam Janta Party (India)</t>
  </si>
  <si>
    <t>Janata Dal (United)</t>
  </si>
  <si>
    <t>All India Majlis-E-Ittehadul Muslimeen</t>
  </si>
  <si>
    <t>Total Voter Secured</t>
  </si>
  <si>
    <t>Panchanand Pathak                  (P.N. Pathak)</t>
  </si>
  <si>
    <t>P.P. KUDWA URF DILIPNAGAR GURAMHIYA ROOM NO-3</t>
  </si>
  <si>
    <t>P.P. KUDWA URF DILIPNAGAR GURAMHIYA ROOM NO-2</t>
  </si>
  <si>
    <t>P.P. KUDWA URF DILIPNAGAR GURAMHIYA ROOM NO-1</t>
  </si>
  <si>
    <t>P.P. KUDWA URF DILIPNAGAR BHAGI BIND TOLA ROOM NO-1</t>
  </si>
  <si>
    <t>P.P. KUDWA URF DILIPNAGAR TOLA SISAI ROOM NO-1</t>
  </si>
  <si>
    <t>J. H.S.KUDWA URF DILIPNAGAR TOLA FULWA PATTI ROOM NO-2</t>
  </si>
  <si>
    <t>J. H.S. KUDWA URF DILIPNAGAR TOLA FULWA PATTI ROOM NO-1</t>
  </si>
  <si>
    <t>J.H.S. KUDWA URF DILIPNAGAR ROOM NO-3</t>
  </si>
  <si>
    <t>P.P. PURAINI ROOM NO.1</t>
  </si>
  <si>
    <t>P.P. PURAINI ROOM NO. 2</t>
  </si>
  <si>
    <t>P.P. PURAINI ROOM NO. 3</t>
  </si>
  <si>
    <t>P.P. PURAINI ROOM NO. 4</t>
  </si>
  <si>
    <t>P.P. BADAHARA LAXMIPUR ROOM NO. 1</t>
  </si>
  <si>
    <t>P.P. BADAHARA LAXMIPUR ROOM NO. 2</t>
  </si>
  <si>
    <t>P.P. BADAHARA LAXMIPUR ROOM NO. 3</t>
  </si>
  <si>
    <t>P.P. KURMAUTA MANJHARIYA</t>
  </si>
  <si>
    <t>J.H.S. KURMAUTA ROOM NO. 1</t>
  </si>
  <si>
    <t>J.H.S. KURMAUTA ROOM NO. 2</t>
  </si>
  <si>
    <t>P.P. RAMNAGAR</t>
  </si>
  <si>
    <t>P.P. SIDHAWE ROOM NO 1</t>
  </si>
  <si>
    <t>P.P. SIDHAWE ROOM NO 2</t>
  </si>
  <si>
    <t>P.P. SIDHAWE TOLA RAIYAPAR ROOM NO. 1</t>
  </si>
  <si>
    <t>P.P. SIDHAWE TOLA RAIYAPAR ROOM NO. 2</t>
  </si>
  <si>
    <t>P.P. SIDHAWE BHADKULAWA ROOM NO. 1</t>
  </si>
  <si>
    <t>P.P. SIDHAWE BHADKULAWA ROOM NO. 2</t>
  </si>
  <si>
    <t>P.P. SIDHAWE TOLA PATHANPATTI ROOM NO. 1</t>
  </si>
  <si>
    <t>P.P. SIDHAWE TOLA PATHANPATTI ROOM NO. 2</t>
  </si>
  <si>
    <t>P.P. PRASAUNA KHURD</t>
  </si>
  <si>
    <t>P.P. CHAURAHI URF ANJAHI</t>
  </si>
  <si>
    <t>P.P. PRARWARPAR ROOM NO. 1</t>
  </si>
  <si>
    <t>P.P. PRARWARPAR ROOM NO. 2</t>
  </si>
  <si>
    <t>P.P. PRARWARPAR ROOM NO. 3</t>
  </si>
  <si>
    <t>P.P. PRARWARPAR ROOM NO. 4</t>
  </si>
  <si>
    <t>P.P. PRARWARPAR TOLA BANKATA</t>
  </si>
  <si>
    <t>P.P. SOHASA MATHIYA ROOM NO. 1</t>
  </si>
  <si>
    <t>P.P. SOHASA MATHIYA ROOM NO. 2</t>
  </si>
  <si>
    <t>P.P. SOHASA PATTI GAUSI</t>
  </si>
  <si>
    <t>P.P. TEKUAYATAR ROOM NO. 1</t>
  </si>
  <si>
    <t>P.P. TEKUAYATAR ROOM NO. 2</t>
  </si>
  <si>
    <t>P.P. TEKUAYATAR ROOM NO. 3</t>
  </si>
  <si>
    <t>P.P. TEKUAYATAR ROOM NO. 4</t>
  </si>
  <si>
    <t>D.J.K.J. SCHOOL TEKUAYATAR ROOM NO. 1</t>
  </si>
  <si>
    <t>D.J.K.J. SCHOOL TEKUAYATAR ROOM NO. 2</t>
  </si>
  <si>
    <t>D.J.K.J. SCHOOL TEKUAYATAR ROOM NO. 3</t>
  </si>
  <si>
    <t>D.J.K.J. SCHOOL TEKUAYATAR ROOM NO. 4</t>
  </si>
  <si>
    <t>D.J.K.J. SCHOOL TEKUAYATAR ROOM NO. 5</t>
  </si>
  <si>
    <t>P.P. KATHGHARAHI ROOM NO. 1</t>
  </si>
  <si>
    <t>P.P. KATHGHARAHI ROOM NO.2</t>
  </si>
  <si>
    <t>P.P. RAMBAR BUJURAG ROOM NO. 1</t>
  </si>
  <si>
    <t>P.P. RAMBAR BUJURAG ROOM NO. 2</t>
  </si>
  <si>
    <t>P.P. RAMBAR BUJURAG ROOM NO. 3</t>
  </si>
  <si>
    <t>P.P. RAMBAR BUJURAG ROOM NO. 4</t>
  </si>
  <si>
    <t>P.P. KURHAWA ROOM NO. 1</t>
  </si>
  <si>
    <t>P.P. KURHAWA ROOM NO. 2</t>
  </si>
  <si>
    <t>P.P. KURHAWA ROOM NO. 3</t>
  </si>
  <si>
    <t>P.P. KURHAWA ROOM NO. 4</t>
  </si>
  <si>
    <t>P.P. GOBARAHI</t>
  </si>
  <si>
    <t>P.P. PAREWATAR FARIDPUR ROOM NO. 1</t>
  </si>
  <si>
    <t>P.P. PAREWATAR FARIDPUR ROOM NO. 2</t>
  </si>
  <si>
    <t>P.P. PAREWATAR FARIDPUR ROOM NO. 3</t>
  </si>
  <si>
    <t>P.P. CHEGAUNA SHUMALI ROOM NO. 1</t>
  </si>
  <si>
    <t>P.P. CHEGAUNA SHUMALI ROOM NO. 2</t>
  </si>
  <si>
    <t>P.P. MAHUE BUJURAG ROOM NO. 1</t>
  </si>
  <si>
    <t>P.P. MAHUE BUJURAG ROOM NO. 2</t>
  </si>
  <si>
    <t>P.P. PRASAUNA BUJURAG ROOM NO. 1</t>
  </si>
  <si>
    <t>P.P. PRASAUNA BUJURAG ROOM NO. 2</t>
  </si>
  <si>
    <t>P.P. N. BHAWAN BAUDAULI MAHUYADIH ROOM NO. 1</t>
  </si>
  <si>
    <t>P.P. N. BHAWAN BAUDAULI MAHUYADIH ROOM NO. 2</t>
  </si>
  <si>
    <t>P.P. MAHUYADIH LAUNGRAPUR</t>
  </si>
  <si>
    <t>P.P. MAHUYADIH LAUNGRAPUR TOLA LAUNGRAPUR</t>
  </si>
  <si>
    <t>P.P. AMARPUR</t>
  </si>
  <si>
    <t>P.P. NAUKACHHAPRA ROOM NO. 1</t>
  </si>
  <si>
    <t>P.P. PIPARI ROOM NO. 1</t>
  </si>
  <si>
    <t>P.P. PIPARI ROOM NO. 2</t>
  </si>
  <si>
    <t>P.P. PRASAKHAND ROOM NO. 1</t>
  </si>
  <si>
    <t>P.P. PRASAKHAND ROOM NO. 2</t>
  </si>
  <si>
    <t>P.P. JUDWANIYA</t>
  </si>
  <si>
    <t>P.P. TURAKWALIYA</t>
  </si>
  <si>
    <t>P.P. BHARWALIYA ROOM NO. 1</t>
  </si>
  <si>
    <t>P.P. BHARWALIYA ROOM NO. 2</t>
  </si>
  <si>
    <t>J.H.S. NARKATIYA ROOM NO. 1</t>
  </si>
  <si>
    <t>J.H.S. NARKATIYA ROOM NO. 2</t>
  </si>
  <si>
    <t>H.P.P. MADARAHA</t>
  </si>
  <si>
    <t>P.P. MAHUE KHURD</t>
  </si>
  <si>
    <t>P.P. PRASAUNI</t>
  </si>
  <si>
    <t>P.P. BHATAHI BABU ROOM NO. 1</t>
  </si>
  <si>
    <t>P.P. BHATAHI BABU ROOM NO. 2</t>
  </si>
  <si>
    <t>J.H.S. BHATAHI RAJA</t>
  </si>
  <si>
    <t>P.P. DUMARI CHURAMAN CHHAPARA</t>
  </si>
  <si>
    <t>P.P. KHADDA</t>
  </si>
  <si>
    <t>P.P. PATAYA ROOM NO. 1</t>
  </si>
  <si>
    <t>P.P. PATAYA ROOM NO. 2</t>
  </si>
  <si>
    <t>P.P. PATAYA ROOM NO. 3</t>
  </si>
  <si>
    <t>P.P. AHIRAULI RAJA ROOM NO. 1</t>
  </si>
  <si>
    <t>P.P. AHIRAULI RAJA ROOM NO. 2</t>
  </si>
  <si>
    <t>P.P. AHIRAULI RAI ROOM NO. 1</t>
  </si>
  <si>
    <t>P.P. AHIRAULI RAI ROOM NO. 2</t>
  </si>
  <si>
    <t>P.P. CHARGAHA ROOM NO. 1</t>
  </si>
  <si>
    <t>P.P. CHARGAHA ROOM NO. 2</t>
  </si>
  <si>
    <t>P.P. NAKAHANI</t>
  </si>
  <si>
    <t>P.P. PARSAHAWA ROOM NO. 1</t>
  </si>
  <si>
    <t>P.P. PARSAHAWA ROOM NO. 2</t>
  </si>
  <si>
    <t>P.P. KACHHIHIYA SHUMALI PATTI ROOM NO. 1</t>
  </si>
  <si>
    <t>P.P. KACHHIHIYA SHUMALI PATTI ROOM NO. 2</t>
  </si>
  <si>
    <t>J.H.S. NATWALIYA</t>
  </si>
  <si>
    <t>P.P. CHIUTAHA</t>
  </si>
  <si>
    <t>P.P. CHIRGODA ROOM NO. 1</t>
  </si>
  <si>
    <t>P.P. CHIRGODA ROOM NO. 2</t>
  </si>
  <si>
    <t>P.P. RAMPUR PATTI</t>
  </si>
  <si>
    <t>P.P. BHAISAHI ROOM NO. 1</t>
  </si>
  <si>
    <t>P.P. BHAISAHI ROOM NO. 2</t>
  </si>
  <si>
    <t>P.P. BAKANAHA ROOM NO. 1</t>
  </si>
  <si>
    <t>P.P. TURAKWALIYA SINGH</t>
  </si>
  <si>
    <t>P.P. SISWA MATAHIYA ROOM NO. 1</t>
  </si>
  <si>
    <t>P.P. SISWA MATAHIYA ROOM NO. 2</t>
  </si>
  <si>
    <t>P.P. SUGAHI</t>
  </si>
  <si>
    <t>P.P. DHARAMPUR KHURD ROOM NO. 1</t>
  </si>
  <si>
    <t>P.P. DHARAMPUR KHURD ROOM NO. 2</t>
  </si>
  <si>
    <t>P.P. NADAH ROOM NO. 1</t>
  </si>
  <si>
    <t>P.P. NADAH ROOM NO. 2</t>
  </si>
  <si>
    <t>P.P. NADAH ROOM NO. 3</t>
  </si>
  <si>
    <t>P.P. MATHIYA KHURD</t>
  </si>
  <si>
    <t>P.P. KARHIYA HAZARI PATTI ROOM NO. 1</t>
  </si>
  <si>
    <t>P.P. SOHANARIYA ROOM NO. 1</t>
  </si>
  <si>
    <t>P.P. SOHANARIYA ROOM NO. 2</t>
  </si>
  <si>
    <t>P.P. DUMARBHAR ROOM NO. 1</t>
  </si>
  <si>
    <t>P.P. DUMARBHAR ROOM NO. 2</t>
  </si>
  <si>
    <t>P.P. DUMARBHAR ROOM NO. 3</t>
  </si>
  <si>
    <t>P.P. DUMARBHAR ROOM NO. 4</t>
  </si>
  <si>
    <t>P.P. DHARMAPUR BUJURAG ROOM NO. 1</t>
  </si>
  <si>
    <t>P.P. DHARMAPUR BUJURAG ROOM NO. 2</t>
  </si>
  <si>
    <t>P.P. DHARMAPUR BUJURAG ROOM NO. 3</t>
  </si>
  <si>
    <t>P.P. SANDI KHURD ROOM NO. 1</t>
  </si>
  <si>
    <t>P.P. SANDI KHURD ROOM NO. 2</t>
  </si>
  <si>
    <t>P.P. SANDI BUJURAG ROOM NO. 1</t>
  </si>
  <si>
    <t>P.P. SANDI BUJURAG ROOM NO. 2</t>
  </si>
  <si>
    <t>P.P. SIDHUYA BANGAR BHATH ROOM NO. 1</t>
  </si>
  <si>
    <t>P.P. SIDHUYA BANGAR BHATH ROOM NO. 2</t>
  </si>
  <si>
    <t>P.P. TADWA</t>
  </si>
  <si>
    <t>P.P. HARAIYA KHURD</t>
  </si>
  <si>
    <t>P.P. HARAIYA BUJURAG ROOM NO. 1</t>
  </si>
  <si>
    <t>P.P. HARAIYA BUJURAG ROOM NO. 2</t>
  </si>
  <si>
    <t>P.P. BARHAJ ROOM NO. 1</t>
  </si>
  <si>
    <t>P.P. BARHAJ ROOM NO. 2</t>
  </si>
  <si>
    <t>P.P. KALYAN CHHAPAR ROOM NO. 1</t>
  </si>
  <si>
    <t>P.P. KALYAN CHHAPAR ROOM NO. 2</t>
  </si>
  <si>
    <t>P.P. PIPRASI ROOM NO. 1</t>
  </si>
  <si>
    <t>P.P. PIPRASI ROOM NO. 2</t>
  </si>
  <si>
    <t>P.P. BADAWALIYA KHURD</t>
  </si>
  <si>
    <t>P.P. GANGAULI ROOM NO. 1</t>
  </si>
  <si>
    <t>P.P. GANGAULI ROOM NO. 2</t>
  </si>
  <si>
    <t>P.P. HORALAPUR ROOM NO. 1</t>
  </si>
  <si>
    <t>P.P. HORALAPUR ROOM NO. 2</t>
  </si>
  <si>
    <t>J.H.S. DEORIA</t>
  </si>
  <si>
    <t>P.P. BADAWALIYA BUJURAG</t>
  </si>
  <si>
    <t>P.P. PAKADI KHURD</t>
  </si>
  <si>
    <t>P.P. BELHI</t>
  </si>
  <si>
    <t>P.P. RASULPUR</t>
  </si>
  <si>
    <t>P.P. KASIYA</t>
  </si>
  <si>
    <t>J.H.S. GANGRANI ROOM NO. 1</t>
  </si>
  <si>
    <t>J.H.S. GANGRANI ROOM NO. 2</t>
  </si>
  <si>
    <t>P.P. PRASADPUR</t>
  </si>
  <si>
    <t>P.P. MILKI</t>
  </si>
  <si>
    <t>P.P. RAHASU ROOM NO. 1</t>
  </si>
  <si>
    <t>P.P. RAHASU ROOM NO. 2</t>
  </si>
  <si>
    <t>P.P. BASDILA</t>
  </si>
  <si>
    <t>P.P. DAMWATIYA</t>
  </si>
  <si>
    <t>P.P. BADGAW ROOM NO. 1</t>
  </si>
  <si>
    <t>P.P. BADGAW ROOM NO. 2</t>
  </si>
  <si>
    <t>P.P. BADGAW ROOM NO. 3</t>
  </si>
  <si>
    <t>P.P. BADGAW ROOM NO. 4</t>
  </si>
  <si>
    <t>P.P. BADGAW DHARMAGAR CHHAPARA ROOM NO. 1</t>
  </si>
  <si>
    <t>P.P. BADGAW DHARMAGAR CHHAPARA ROOM NO. 2</t>
  </si>
  <si>
    <t>P.P. SAHAJWALIYA</t>
  </si>
  <si>
    <t>J.H.S. KOHARWALIYA ROOM NO. 1</t>
  </si>
  <si>
    <t>J.H.S. KOHARWALIYA ROOM NO. 2</t>
  </si>
  <si>
    <t>P.P. PIPRASUJAN</t>
  </si>
  <si>
    <t>P.P. ANAHARI BARI ROOM NO. 1</t>
  </si>
  <si>
    <t>P.P. ANAHARI BARI ROOM NO. 2</t>
  </si>
  <si>
    <t>P.P. SINGHAN JODI ROOM NO. 1</t>
  </si>
  <si>
    <t>P.P. SINGHAN JODI ROOM NO. 2</t>
  </si>
  <si>
    <t>P.P. MAHARANI</t>
  </si>
  <si>
    <t>P.P. PIPRAJATAMPUR ROOM NO. 1</t>
  </si>
  <si>
    <t>P.P. PIPRAJATAMPUR ROOM NO. 2</t>
  </si>
  <si>
    <t>P.P. PIPRAJATAMPUR ROOM NO. 3</t>
  </si>
  <si>
    <t>P.P. PIPRAJATAMPUR ROOM NO. 4</t>
  </si>
  <si>
    <t>J.H.S. PIPRAJAMPUR ROOM NO. 1</t>
  </si>
  <si>
    <t>J.H.S. PIPRAJAMPUR ROOM NO. 2</t>
  </si>
  <si>
    <t>J.H.S. PIPRAJAMPUR ROOM NO. 3</t>
  </si>
  <si>
    <t>J.H.S. PIPRAJAMPUR ROOM NO. 4</t>
  </si>
  <si>
    <t>P.P. NAUTAN HARDO ROOM NO. 1</t>
  </si>
  <si>
    <t>P.P. NAUTAN HARDO ROOM NO. 2</t>
  </si>
  <si>
    <t>P.P. NAUTAN HARDO ROOM NO. 3</t>
  </si>
  <si>
    <t>P.P. BARWA KALA ROOM NO. 1</t>
  </si>
  <si>
    <t>P.P. BARWA KALA ROOM NO. 2</t>
  </si>
  <si>
    <t>P.P. BALDIHA ROOM NO. 1</t>
  </si>
  <si>
    <t>P.P. BALDIHA ROOM NO. 2</t>
  </si>
  <si>
    <t>J.H.S. BATARAULI ROOM NO. 1</t>
  </si>
  <si>
    <t>J.H.S. BATARAULI ROOM NO. 2</t>
  </si>
  <si>
    <t>J.H.S. BATARAULI ROOM NO. 3</t>
  </si>
  <si>
    <t>P.P. INDRASENAWA</t>
  </si>
  <si>
    <t>J.H.S. FAGUPUR VISHANPURA</t>
  </si>
  <si>
    <t>P.P. SONDIYA</t>
  </si>
  <si>
    <t>P.P. DHARANI CHHAPAR ROOM NO. 1</t>
  </si>
  <si>
    <t>P.P. DHARANI CHHAPAR ROOM NO. 2</t>
  </si>
  <si>
    <t>P.P. SAKHAWANIYA KHURD ROOM NO. 1</t>
  </si>
  <si>
    <t>P.P. SAKHAWANIYA KHURD ROOM NO. 2</t>
  </si>
  <si>
    <t>P.P. BHATWALIYA ROOM NO. 1</t>
  </si>
  <si>
    <t>P.P. BHATWALIYA ROOM NO. 2</t>
  </si>
  <si>
    <t>P.P. SAKHAWANIYA BUJURAG KHAN TOLA</t>
  </si>
  <si>
    <t>M.G.I.C. SAKHWANIYA BUJURAG ROOM NO. 1</t>
  </si>
  <si>
    <t>M.G.I.C. SAKHWANIYA BUJURAG ROOM NO. 2</t>
  </si>
  <si>
    <t>M.G.I.C. SAKHWANIYA BUJURAG ROOM NO. 3</t>
  </si>
  <si>
    <t>M.G.I.C. SAKHWANIYA BUJURAG ROOM NO. 4</t>
  </si>
  <si>
    <t>M.G.I.C. SAKHWANIYA BUJURAG ROOM NO. 5</t>
  </si>
  <si>
    <t>J.H.S. SHIVPUR BUJURAG ROOM NO. 1</t>
  </si>
  <si>
    <t>J.H.S. SHIVPUR BUJURAG ROOM NO. 2</t>
  </si>
  <si>
    <t>J.H.S. SHIVPUR BUJURAG ROOM NO. 3</t>
  </si>
  <si>
    <t>J.H.S. MATHIYA NARAIPUR</t>
  </si>
  <si>
    <t>P.P. SHIVPURDIH</t>
  </si>
  <si>
    <t>P.P. KHOHADA</t>
  </si>
  <si>
    <t>J.H.S. BAIJNATHPUR TOLA BAJUPATTI</t>
  </si>
  <si>
    <t>P.P. BAIJNATHPUR ROOM NO. 1</t>
  </si>
  <si>
    <t>P.P. BAIJNATHPUR ROOM NO. 2</t>
  </si>
  <si>
    <t>P.P. DURGAWALIYA ROOM NO. 1</t>
  </si>
  <si>
    <t>P.P. DURGAWALIYA ROOM NO. 2</t>
  </si>
  <si>
    <t>P.P. JIGANA ROOM NO. 1</t>
  </si>
  <si>
    <t>P.P. JIGANA ROOM NO. 2</t>
  </si>
  <si>
    <t>J.H.S. BATARDERA ROOM NO. 1</t>
  </si>
  <si>
    <t>J.H.S. BATARDERA ROOM NO. 2</t>
  </si>
  <si>
    <t>P.P. PIPRA TIWARI</t>
  </si>
  <si>
    <t>J.H.S. PARSAUNA</t>
  </si>
  <si>
    <t>P.P. BAHORAPUR ROOM NO. 1</t>
  </si>
  <si>
    <t>P.P. BAHORAPUR ROOM NO. 2</t>
  </si>
  <si>
    <t>K.U.M.V. SAKHOPAR ROOM NO. 1</t>
  </si>
  <si>
    <t>K.U.M.V. SAKHOPAR ROOM NO. 2</t>
  </si>
  <si>
    <t>P.P. SHAMPUR HATWA ROOM NO. 1</t>
  </si>
  <si>
    <t>P.P. SHAMPUR HATWA ROOM NO. 2</t>
  </si>
  <si>
    <t>P.P. NARSAR ROOM NO. 1</t>
  </si>
  <si>
    <t>P.P. NARSAR ROOM NO. 2</t>
  </si>
  <si>
    <t>P.P. KHARDEWA ROOM NO. 1</t>
  </si>
  <si>
    <t>P.P. KHARDEWA ROOM NO. 2</t>
  </si>
  <si>
    <t>P.P. RAHAMWALIYA</t>
  </si>
  <si>
    <t>P.P. SEMARA DHUSI ROOM NO. 1</t>
  </si>
  <si>
    <t>P.P. SEMARA DHUSI ROOM NO. 2</t>
  </si>
  <si>
    <t>P.P. KANKHORIYA ROOM 1</t>
  </si>
  <si>
    <t>P.P. KANKHORIYA ROOM 2</t>
  </si>
  <si>
    <t>P.P. SEMARI</t>
  </si>
  <si>
    <t>P.P. BELWA RAMJAS DUBEY ROOM NO. 1</t>
  </si>
  <si>
    <t>P.P. BELWA RAMJAS DUBEY ROOM NO. 2</t>
  </si>
  <si>
    <t>P. BHAWAN BELWA DURGA RAY</t>
  </si>
  <si>
    <t>P.P. NIVI</t>
  </si>
  <si>
    <t>P.P. KHORABAR</t>
  </si>
  <si>
    <t>ANGANBADI KENDRA NARAYANPUR</t>
  </si>
  <si>
    <t>P.P. MISHRAULI</t>
  </si>
  <si>
    <t>P.P. NARKATIYA KHURD ROOM NO. 1</t>
  </si>
  <si>
    <t>P.P. SHAHPUR ROOM NO. 1</t>
  </si>
  <si>
    <t>P.P. SHAHPUR ROOM NO. 2</t>
  </si>
  <si>
    <t>P.P. KURAMUTA ROOM NO. 1</t>
  </si>
  <si>
    <t>P.P. KURAMUTA ROOM NO. 2</t>
  </si>
  <si>
    <t>P.P. DIGHWA KHURD</t>
  </si>
  <si>
    <t>J.H.S. VISHUNPUR MANGURAHI</t>
  </si>
  <si>
    <t>P.P. VISHAMBHARPUR</t>
  </si>
  <si>
    <t>P.P. JHUNGWA</t>
  </si>
  <si>
    <t>P.P. BHAISAHA SADAR TOLA ROOM NO. 1</t>
  </si>
  <si>
    <t>P.P. BHAISAHA SADAR TOLA ROOM NO. 2</t>
  </si>
  <si>
    <t>P.P. BHAISAHA PAKDIHAWA ROOM NO. 1</t>
  </si>
  <si>
    <t>P.P. BHAISAHA PAKDIHAWA ROOM NO. 2</t>
  </si>
  <si>
    <t>P.P. CHAKDEIYA ROOM NO. 1</t>
  </si>
  <si>
    <t>J.H.S. SIRSIYA ROOM NO. 1</t>
  </si>
  <si>
    <t>J.H.S. SIRSIYA ROOM NO. 2</t>
  </si>
  <si>
    <t>P.P. DUMARI</t>
  </si>
  <si>
    <t>P.P. SONBARSA</t>
  </si>
  <si>
    <t>J.H.S. SHAMPUR ROOM NO. 1</t>
  </si>
  <si>
    <t>J.H.S. SHAMPUR ROOM NO. 2</t>
  </si>
  <si>
    <t>P.P. MUNDERA RATTAN PATTI ROOM NO. 1</t>
  </si>
  <si>
    <t>P.P. MUNDERA RATTAN PATTI ROOM NO. 2</t>
  </si>
  <si>
    <t>P.P. SIKARIYA URF RAMNAGAR</t>
  </si>
  <si>
    <t>P.P. KHEDANI</t>
  </si>
  <si>
    <t>P.P. MANGALPUR ROOM NO.1</t>
  </si>
  <si>
    <t>P.P. MODHOPUR ROOM NO. 1</t>
  </si>
  <si>
    <t>P.P. MODHOPUR ROOM NO. 2</t>
  </si>
  <si>
    <t>J.H.S. SEMAR URF JHUNGWA ROOM NO. 1</t>
  </si>
  <si>
    <t>J.H.S. SEMAR URF JHUNGWA ROOM NO. 2</t>
  </si>
  <si>
    <t>P.P. PIPRAJHAM ROOM NO. 1</t>
  </si>
  <si>
    <t>P.P. PIPRAJHAM ROOM NO. 2</t>
  </si>
  <si>
    <t>P.P. SIRSIYA KHOHIYA ROOM NO. 1</t>
  </si>
  <si>
    <t>P.P. SIRSIYA KHOHIYA ROOM NO. 2</t>
  </si>
  <si>
    <t>P.P. SIRSIYA KHOHIYA ROOM NO. 3</t>
  </si>
  <si>
    <t>P.P. SIRSIYA KHOHIYA ROOM NO. 4</t>
  </si>
  <si>
    <t>P.P. SIRSIYA KHOHIYA ROOM NO. 5</t>
  </si>
  <si>
    <t>P.P. DUMARI ROOM NO. 1</t>
  </si>
  <si>
    <t>P.P. DUMARI ROOM NO. 2</t>
  </si>
  <si>
    <t>P.P. SISWA ROOM NO. 1</t>
  </si>
  <si>
    <t>P.P. SISWA ROOM NO. 2</t>
  </si>
  <si>
    <t>P.P. ANARUDHAWA ROOM NO. 1</t>
  </si>
  <si>
    <t>P.P. ANARUDHAWA ROOM NO. 2</t>
  </si>
  <si>
    <t>P.P. VISNDWALIYA</t>
  </si>
  <si>
    <t>J.H.S. KUSHINAGAR ROOM NO. 1</t>
  </si>
  <si>
    <t>J.H.S. KUSHINAGAR ROOM NO. 2</t>
  </si>
  <si>
    <t>P.P. KASAYA ROOM NO. 1</t>
  </si>
  <si>
    <t>P.P. KASAYA ROOM NO. 2</t>
  </si>
  <si>
    <t>P.P. KASAYA ROOM NO. 3</t>
  </si>
  <si>
    <t>J.H.S. KASAYA ROOM NO. 1</t>
  </si>
  <si>
    <t>J.H.S. KASAYA ROOM NO. 2</t>
  </si>
  <si>
    <t>J.H.S. KASAYA ROOM NO. 3</t>
  </si>
  <si>
    <t>J.H.S. KASAYA ROOM NO. 4</t>
  </si>
  <si>
    <t>J.H.S. KASAYA ROOM NO. 5</t>
  </si>
  <si>
    <t>J.H.S. BALBADI KASAYA ROOM NO. 1</t>
  </si>
  <si>
    <t>J.H.S. BALBADI KASAYA ROOM NO. 2</t>
  </si>
  <si>
    <t>J.H.S. BALBADI KASAYA ROOM NO. 3</t>
  </si>
  <si>
    <t>J.H.S. BALBADI KASAYA ROOM NO. 4</t>
  </si>
  <si>
    <t>KANYA J.H.S. KASAYA ROOM NO. 1</t>
  </si>
  <si>
    <t>KANYA J.H.S. KASAYA ROOM NO. 2</t>
  </si>
  <si>
    <t>KANYA J.H.S. KASAYA ROOM NO. 3</t>
  </si>
  <si>
    <t>J.H.S. BHALUHI MADARI PATTI ROOM NO. 1</t>
  </si>
  <si>
    <t>J.H.S. BHALUHI MADARI PATTI ROOM NO. 2</t>
  </si>
  <si>
    <t>J.H.S. BHALUHI MADARI PATTI ROOM NO. 3</t>
  </si>
  <si>
    <t>J.H.S. BHALUHI MADARI PATTI ROOM NO. 4</t>
  </si>
  <si>
    <t>J.H.S. BHALUHI MADARI PATTI ROOM NO. 5</t>
  </si>
  <si>
    <t>P.P. BAIRIYA RAJA</t>
  </si>
  <si>
    <t>P.P. DIGHWA BUJURAG ROOM NO. 1</t>
  </si>
  <si>
    <t>P.P. DIGHWA BUJURAG ROOM NO. 2</t>
  </si>
  <si>
    <t>P.P. PRASAUNI MUKUNDAHA ROOM NO. 1</t>
  </si>
  <si>
    <t>P.P. PRASAUNI MUKUNDAHA ROOM NO. 2</t>
  </si>
  <si>
    <t>P.P. PRASAUNI KHURD</t>
  </si>
  <si>
    <t>P.P. SIYRAHA ROOM NO. 1</t>
  </si>
  <si>
    <t>P.P. SIYRAHA ROOM NO. 2</t>
  </si>
  <si>
    <t>P.P. EKDEWA ABBAVAL</t>
  </si>
  <si>
    <t>P.P. KHESARI GIDAHA ROOM NO. 1</t>
  </si>
  <si>
    <t>P.P. KHESARI GIDAHA ROOM NO. 2</t>
  </si>
  <si>
    <t>P.P. BARWA ROOM NO. 1</t>
  </si>
  <si>
    <t>P.P. BARWA ROOM NO. 2</t>
  </si>
  <si>
    <t>P.P. MATHIYA MADHOPUR ROOM NO. 1</t>
  </si>
  <si>
    <t>P.P. MATHIYA MADHOPUR ROOM NO. 2</t>
  </si>
  <si>
    <t>P.P. NAUGAWA ROOM NO. 1</t>
  </si>
  <si>
    <t>P.P. NAUGAWA ROOM NO. 2</t>
  </si>
  <si>
    <t>P.P. POKHARBHINDA</t>
  </si>
  <si>
    <t>P.P. KOLHUYA</t>
  </si>
  <si>
    <t>P.P. SAPHA NAUKATOLA</t>
  </si>
  <si>
    <t>P.P. SAPHA SARGATIYA</t>
  </si>
  <si>
    <t>P. BHAWAN SAPAHA ROOM NO. 1</t>
  </si>
  <si>
    <t>P. BHAWAN SAPAHA ROOM NO. 2</t>
  </si>
  <si>
    <t>P.P. SAPHA TOLA LAXMIPUR</t>
  </si>
  <si>
    <t>P.P. PIPRA ROOM NO. 1</t>
  </si>
  <si>
    <t>P.P. PIPRA ROOM NO. 2</t>
  </si>
  <si>
    <t>P.P. NARKATIYA BUJURAG</t>
  </si>
  <si>
    <t>P.P. MADANPUR ROOM NO. 1</t>
  </si>
  <si>
    <t>P.P. MADANPUR ROOM NO. 2</t>
  </si>
  <si>
    <t>P.P. MATHAULI ROOM NO. 1</t>
  </si>
  <si>
    <t>P.P. MATHAULI ROOM NO. 2</t>
  </si>
  <si>
    <t>P.P. MATHAULI ROOM NO. 3</t>
  </si>
  <si>
    <t>P.P. BHARAULI ROOM NO. 1</t>
  </si>
  <si>
    <t>P.P. BHARAULI ROOM NO. 2</t>
  </si>
  <si>
    <t>P.P. SABYA ROOM NO. 1</t>
  </si>
  <si>
    <t>P.P. SABYA ROOM NO. 2</t>
  </si>
  <si>
    <t>J.H.S. SABYA ROOM NO. 1</t>
  </si>
  <si>
    <t>J.H.S. SABYA ROOM NO. 2</t>
  </si>
  <si>
    <t>J.H.S. SABYA ROOM NO. 3</t>
  </si>
  <si>
    <t>P.P. DHOKARAHAA</t>
  </si>
  <si>
    <t>P.P. BELWA PALAKDHARI SINGH ROOM NO. 1</t>
  </si>
  <si>
    <t>P.P. BELWA PALAKDHARI SINGH ROOM NO. 2</t>
  </si>
  <si>
    <t>P.P. BATESARA ROOM NO. 1</t>
  </si>
  <si>
    <t>P.P. BATESARA ROOM NO. 2</t>
  </si>
  <si>
    <t>J.I.C. DHURIYA ROOM NO. 1</t>
  </si>
  <si>
    <t>J.I.C. DHURIYA ROOM NO. 2</t>
  </si>
  <si>
    <t>J.I.C. DHURIYA ROOM NO. 3</t>
  </si>
  <si>
    <t>P.P. DHURIYA ROOM NO. 1</t>
  </si>
  <si>
    <t>P.P. DHURIYA ROOM NO. 2</t>
  </si>
  <si>
    <t>P.P. TETRIYA</t>
  </si>
  <si>
    <t>P.P. MAHUAWA</t>
  </si>
  <si>
    <t>P.P. GOPALGAN ROOM NO. 1</t>
  </si>
  <si>
    <t>P.P. GOPALGAN ROOM NO. 2</t>
  </si>
  <si>
    <t>P.P. ABHINAYAKPUR</t>
  </si>
  <si>
    <t>P.P. BARWA JANGAL ROOM NO. 1</t>
  </si>
  <si>
    <t>P.P. BARWA JANGAL ROOM NO. 2</t>
  </si>
  <si>
    <t>P.P. MAINPUR KHADAHI ROOM NO. 1</t>
  </si>
  <si>
    <t>P.P. MAINPUR KHADAHI ROOM NO. 2</t>
  </si>
  <si>
    <t>P.P. MAINPUR KHADAHI ROOM NO. 3</t>
  </si>
  <si>
    <t>P.P. MAINPUR TOLA RAJWABAR</t>
  </si>
  <si>
    <t>J.H.S. MAINPUR DINAPATTI ROOM NO. 1</t>
  </si>
  <si>
    <t>J.H.S. MAINPUR DINAPATTI ROOM NO. 2</t>
  </si>
  <si>
    <t>J.H.S. MAINPUR DINAPATTI ROOM NO. 3</t>
  </si>
  <si>
    <t>J.H.S. MAINPUR DINAPATTI ROOM NO. 4</t>
  </si>
  <si>
    <t>P.P. PREMWALIYA ROOM NO. 1</t>
  </si>
  <si>
    <t>P.P. PREMWALIYA ROOM NO. 2</t>
  </si>
  <si>
    <t>P.P. PREMWALIYA ROOM NO. 3</t>
  </si>
  <si>
    <t>P.P. PREMWALIYA ROOM NO. 4</t>
  </si>
  <si>
    <t>K.I.C.DHANHA URF MALLUDIH ROOM NO. 1</t>
  </si>
  <si>
    <t>K.I.C.DHANHA URF MALLUDIH ROOM NO. 2</t>
  </si>
  <si>
    <t>K.I.C.DHANHA URF MALLUDIH ROOM NO. 3</t>
  </si>
  <si>
    <t>K.I.C.DHANHA URF MALLUDIH ROOM NO. 4</t>
  </si>
  <si>
    <t>P.P. ANDHYA ROOM NO. 1</t>
  </si>
  <si>
    <t>P.P. ANDHYA ROOM NO. 2</t>
  </si>
  <si>
    <t>P.P ANDHYA TOLA HATWA ROOM NO. 1</t>
  </si>
  <si>
    <t>P.P ANDHYA TOLA HATWA ROOM NO. 2</t>
  </si>
  <si>
    <t>P.P. KUDWA URF DILIPNAGAR DHANNY PATTI ROOM NO. 1</t>
  </si>
  <si>
    <t>P.P. KUDWA URF DILIPNAGAR DHANNY PATTI ROOM NO. 2</t>
  </si>
  <si>
    <t>P.P. KUDWA URF DILIPNAGAR KHAS ROOM NO. 1</t>
  </si>
  <si>
    <t>P.P. KUDWA URF DILIPNAGAR KHAS ROOM NO. 2</t>
  </si>
  <si>
    <t>J.H.S. KUDWA URF DILIPNAGAR ROOM NO. 1</t>
  </si>
  <si>
    <t>J.H.S. KUDWA URF DILIPNAGAR ROOM NO. 2</t>
  </si>
  <si>
    <t>J.H.S. KUDWA URF DILIPNAGAR ROOM NO. 3</t>
  </si>
  <si>
    <t>P.P. KUDWA URF DILIPNAGAR TOLA SISAI ROOM NO. 1</t>
  </si>
  <si>
    <t>P.P. KUDWA URF DILIPNAGAR GURAMHIYA ROOM NO. 1</t>
  </si>
  <si>
    <t>P.P. KUDWA URF DILIPNAGAR BHAGI BIND TOLA</t>
  </si>
  <si>
    <t>P.P. KUDWA URF DILIPNAGAR GURAMHIYA ROOM NO. 2</t>
  </si>
  <si>
    <t>P.P. KUDWA URF DILIPNAGAR GURAMHIYA ROOM NO. 3</t>
  </si>
</sst>
</file>

<file path=xl/styles.xml><?xml version="1.0" encoding="utf-8"?>
<styleSheet xmlns="http://schemas.openxmlformats.org/spreadsheetml/2006/main">
  <numFmts count="1">
    <numFmt numFmtId="164" formatCode="0_);\(0\)"/>
  </numFmts>
  <fonts count="34">
    <font>
      <sz val="9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4"/>
      <name val="Kruti Dev 010"/>
    </font>
    <font>
      <sz val="9"/>
      <name val="Arial"/>
      <family val="2"/>
    </font>
    <font>
      <b/>
      <sz val="12"/>
      <name val="Arial"/>
      <family val="2"/>
    </font>
    <font>
      <b/>
      <sz val="9"/>
      <name val="Times New Roman"/>
      <family val="1"/>
    </font>
    <font>
      <sz val="10"/>
      <name val="Arial"/>
      <family val="2"/>
    </font>
    <font>
      <b/>
      <sz val="13"/>
      <name val="Arial"/>
      <family val="2"/>
    </font>
    <font>
      <sz val="12"/>
      <name val="Arial"/>
      <family val="2"/>
    </font>
    <font>
      <sz val="11"/>
      <name val="Arial"/>
      <family val="2"/>
    </font>
    <font>
      <b/>
      <sz val="8"/>
      <name val="Times New Roman"/>
      <family val="1"/>
    </font>
    <font>
      <b/>
      <sz val="8"/>
      <name val="Arial"/>
      <family val="2"/>
    </font>
    <font>
      <sz val="7"/>
      <name val="Arial"/>
      <family val="2"/>
    </font>
    <font>
      <b/>
      <sz val="14"/>
      <name val="Arial"/>
      <family val="2"/>
    </font>
    <font>
      <sz val="11"/>
      <name val="Times New Roman"/>
      <family val="1"/>
    </font>
    <font>
      <b/>
      <sz val="18"/>
      <name val="Arial"/>
      <family val="2"/>
    </font>
    <font>
      <b/>
      <sz val="22"/>
      <name val="Arial"/>
      <family val="2"/>
    </font>
    <font>
      <sz val="11"/>
      <color theme="1"/>
      <name val="Calibri"/>
      <family val="2"/>
      <scheme val="minor"/>
    </font>
    <font>
      <b/>
      <sz val="14"/>
      <color theme="1"/>
      <name val="Kruti Dev 010"/>
    </font>
    <font>
      <sz val="13"/>
      <name val="Calibri"/>
      <family val="2"/>
      <scheme val="minor"/>
    </font>
    <font>
      <b/>
      <sz val="20"/>
      <name val="Calibri"/>
      <family val="2"/>
      <scheme val="minor"/>
    </font>
    <font>
      <b/>
      <sz val="12"/>
      <color theme="1"/>
      <name val="Times New Roman"/>
      <family val="1"/>
    </font>
    <font>
      <b/>
      <sz val="10"/>
      <color theme="1"/>
      <name val="Times New Roman"/>
      <family val="1"/>
    </font>
    <font>
      <sz val="14"/>
      <name val="Times New Roman"/>
      <family val="1"/>
    </font>
    <font>
      <b/>
      <sz val="14"/>
      <color theme="1"/>
      <name val="Arial"/>
      <family val="2"/>
    </font>
    <font>
      <b/>
      <sz val="14"/>
      <color rgb="FF000000"/>
      <name val="Arial"/>
      <family val="2"/>
    </font>
    <font>
      <b/>
      <sz val="7"/>
      <name val="Arial"/>
      <family val="2"/>
    </font>
    <font>
      <b/>
      <sz val="10"/>
      <name val="Kruti Dev 010"/>
    </font>
    <font>
      <b/>
      <sz val="15"/>
      <name val="Kruti Dev 010"/>
    </font>
    <font>
      <sz val="9"/>
      <name val="Times New Roman"/>
      <family val="1"/>
    </font>
  </fonts>
  <fills count="14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7030A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DEBA84"/>
      </bottom>
      <diagonal/>
    </border>
  </borders>
  <cellStyleXfs count="271">
    <xf numFmtId="0" fontId="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" fillId="0" borderId="0"/>
    <xf numFmtId="0" fontId="1" fillId="0" borderId="0"/>
  </cellStyleXfs>
  <cellXfs count="106">
    <xf numFmtId="0" fontId="0" fillId="0" borderId="0" xfId="0"/>
    <xf numFmtId="0" fontId="0" fillId="0" borderId="0" xfId="0" applyFill="1"/>
    <xf numFmtId="0" fontId="0" fillId="0" borderId="0" xfId="0" applyFill="1" applyBorder="1"/>
    <xf numFmtId="0" fontId="0" fillId="0" borderId="0" xfId="0" applyFill="1" applyAlignment="1">
      <alignment vertical="center"/>
    </xf>
    <xf numFmtId="0" fontId="11" fillId="0" borderId="1" xfId="0" applyFont="1" applyFill="1" applyBorder="1" applyAlignment="1">
      <alignment vertical="center"/>
    </xf>
    <xf numFmtId="0" fontId="3" fillId="0" borderId="0" xfId="0" applyFont="1" applyFill="1" applyAlignment="1">
      <alignment vertical="center"/>
    </xf>
    <xf numFmtId="0" fontId="12" fillId="0" borderId="0" xfId="0" applyFont="1" applyFill="1" applyAlignment="1">
      <alignment horizontal="left"/>
    </xf>
    <xf numFmtId="0" fontId="5" fillId="0" borderId="0" xfId="0" applyFont="1" applyFill="1" applyAlignment="1">
      <alignment horizontal="left" vertical="center" shrinkToFit="1"/>
    </xf>
    <xf numFmtId="0" fontId="13" fillId="0" borderId="0" xfId="0" applyFont="1" applyFill="1"/>
    <xf numFmtId="0" fontId="12" fillId="0" borderId="0" xfId="0" applyFont="1" applyFill="1"/>
    <xf numFmtId="0" fontId="13" fillId="0" borderId="0" xfId="0" applyFont="1" applyFill="1" applyAlignment="1">
      <alignment vertical="top"/>
    </xf>
    <xf numFmtId="0" fontId="10" fillId="0" borderId="0" xfId="0" applyFont="1" applyFill="1" applyAlignment="1">
      <alignment vertical="top"/>
    </xf>
    <xf numFmtId="0" fontId="10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0" xfId="0" applyFont="1" applyFill="1" applyAlignment="1">
      <alignment horizontal="left" vertical="center"/>
    </xf>
    <xf numFmtId="1" fontId="5" fillId="0" borderId="0" xfId="0" applyNumberFormat="1" applyFont="1" applyFill="1" applyBorder="1" applyAlignment="1">
      <alignment horizontal="right" vertical="center"/>
    </xf>
    <xf numFmtId="1" fontId="5" fillId="0" borderId="0" xfId="0" applyNumberFormat="1" applyFont="1" applyFill="1" applyBorder="1" applyAlignment="1">
      <alignment horizontal="right" vertical="center" indent="1"/>
    </xf>
    <xf numFmtId="1" fontId="13" fillId="0" borderId="0" xfId="0" applyNumberFormat="1" applyFont="1" applyFill="1" applyBorder="1" applyAlignment="1">
      <alignment horizontal="right" indent="1"/>
    </xf>
    <xf numFmtId="0" fontId="9" fillId="0" borderId="1" xfId="0" applyFont="1" applyFill="1" applyBorder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0" fontId="11" fillId="0" borderId="0" xfId="0" applyFont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top" wrapText="1"/>
    </xf>
    <xf numFmtId="0" fontId="16" fillId="0" borderId="0" xfId="0" applyFont="1" applyBorder="1" applyAlignment="1">
      <alignment horizontal="center" vertical="top" wrapText="1"/>
    </xf>
    <xf numFmtId="0" fontId="4" fillId="0" borderId="7" xfId="0" applyFont="1" applyFill="1" applyBorder="1" applyAlignment="1">
      <alignment horizontal="center" vertical="center" wrapText="1"/>
    </xf>
    <xf numFmtId="0" fontId="9" fillId="0" borderId="3" xfId="0" applyFont="1" applyFill="1" applyBorder="1" applyAlignment="1">
      <alignment horizontal="center" vertical="center"/>
    </xf>
    <xf numFmtId="0" fontId="9" fillId="0" borderId="4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textRotation="90" wrapText="1"/>
    </xf>
    <xf numFmtId="0" fontId="23" fillId="0" borderId="0" xfId="0" applyFont="1" applyFill="1" applyAlignment="1">
      <alignment vertical="top"/>
    </xf>
    <xf numFmtId="0" fontId="5" fillId="0" borderId="1" xfId="0" applyFont="1" applyFill="1" applyBorder="1" applyAlignment="1">
      <alignment horizontal="center" vertical="center" textRotation="90"/>
    </xf>
    <xf numFmtId="0" fontId="18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 textRotation="90"/>
    </xf>
    <xf numFmtId="0" fontId="0" fillId="0" borderId="0" xfId="0" applyFill="1" applyAlignment="1">
      <alignment horizontal="center"/>
    </xf>
    <xf numFmtId="1" fontId="4" fillId="0" borderId="1" xfId="0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164" fontId="5" fillId="0" borderId="1" xfId="0" applyNumberFormat="1" applyFont="1" applyFill="1" applyBorder="1" applyAlignment="1">
      <alignment horizontal="center" vertical="center" textRotation="90"/>
    </xf>
    <xf numFmtId="1" fontId="5" fillId="0" borderId="1" xfId="0" applyNumberFormat="1" applyFont="1" applyFill="1" applyBorder="1" applyAlignment="1">
      <alignment horizontal="center" vertical="center"/>
    </xf>
    <xf numFmtId="0" fontId="22" fillId="7" borderId="1" xfId="0" applyFont="1" applyFill="1" applyBorder="1" applyAlignment="1">
      <alignment horizontal="center"/>
    </xf>
    <xf numFmtId="0" fontId="27" fillId="2" borderId="5" xfId="0" applyFont="1" applyFill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 textRotation="90" wrapText="1"/>
    </xf>
    <xf numFmtId="0" fontId="29" fillId="0" borderId="1" xfId="0" applyFont="1" applyBorder="1" applyAlignment="1">
      <alignment horizontal="center" vertical="center" textRotation="90" wrapText="1"/>
    </xf>
    <xf numFmtId="0" fontId="28" fillId="0" borderId="1" xfId="0" applyFont="1" applyBorder="1" applyAlignment="1">
      <alignment horizontal="center" vertical="center" textRotation="90"/>
    </xf>
    <xf numFmtId="0" fontId="29" fillId="0" borderId="1" xfId="0" applyFont="1" applyBorder="1" applyAlignment="1">
      <alignment horizontal="center" vertical="center" textRotation="90"/>
    </xf>
    <xf numFmtId="0" fontId="22" fillId="8" borderId="1" xfId="0" applyFont="1" applyFill="1" applyBorder="1" applyAlignment="1">
      <alignment horizontal="center"/>
    </xf>
    <xf numFmtId="0" fontId="22" fillId="3" borderId="1" xfId="0" applyFont="1" applyFill="1" applyBorder="1" applyAlignment="1">
      <alignment horizontal="center"/>
    </xf>
    <xf numFmtId="0" fontId="22" fillId="9" borderId="1" xfId="0" applyFont="1" applyFill="1" applyBorder="1" applyAlignment="1">
      <alignment horizontal="center"/>
    </xf>
    <xf numFmtId="0" fontId="22" fillId="5" borderId="1" xfId="0" applyFont="1" applyFill="1" applyBorder="1" applyAlignment="1">
      <alignment horizontal="center"/>
    </xf>
    <xf numFmtId="0" fontId="22" fillId="10" borderId="1" xfId="0" applyFont="1" applyFill="1" applyBorder="1" applyAlignment="1">
      <alignment horizontal="center"/>
    </xf>
    <xf numFmtId="0" fontId="22" fillId="11" borderId="1" xfId="0" applyFont="1" applyFill="1" applyBorder="1" applyAlignment="1">
      <alignment horizontal="center"/>
    </xf>
    <xf numFmtId="0" fontId="22" fillId="6" borderId="1" xfId="0" applyFont="1" applyFill="1" applyBorder="1" applyAlignment="1">
      <alignment horizontal="center"/>
    </xf>
    <xf numFmtId="0" fontId="22" fillId="4" borderId="1" xfId="0" applyFont="1" applyFill="1" applyBorder="1" applyAlignment="1">
      <alignment horizontal="center"/>
    </xf>
    <xf numFmtId="0" fontId="22" fillId="12" borderId="1" xfId="0" applyFont="1" applyFill="1" applyBorder="1" applyAlignment="1">
      <alignment horizontal="center"/>
    </xf>
    <xf numFmtId="0" fontId="22" fillId="4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/>
    </xf>
    <xf numFmtId="0" fontId="22" fillId="13" borderId="1" xfId="0" applyFont="1" applyFill="1" applyBorder="1" applyAlignment="1">
      <alignment horizontal="center"/>
    </xf>
    <xf numFmtId="164" fontId="3" fillId="0" borderId="1" xfId="0" applyNumberFormat="1" applyFont="1" applyFill="1" applyBorder="1" applyAlignment="1">
      <alignment horizontal="center" vertical="center" wrapText="1"/>
    </xf>
    <xf numFmtId="164" fontId="3" fillId="0" borderId="7" xfId="0" applyNumberFormat="1" applyFont="1" applyFill="1" applyBorder="1" applyAlignment="1">
      <alignment horizontal="center" vertical="center" wrapText="1"/>
    </xf>
    <xf numFmtId="164" fontId="4" fillId="0" borderId="1" xfId="0" applyNumberFormat="1" applyFont="1" applyFill="1" applyBorder="1" applyAlignment="1">
      <alignment horizontal="center" vertical="center" textRotation="90"/>
    </xf>
    <xf numFmtId="0" fontId="3" fillId="0" borderId="1" xfId="0" applyFont="1" applyFill="1" applyBorder="1" applyAlignment="1">
      <alignment horizontal="center" vertical="center" textRotation="90" wrapText="1"/>
    </xf>
    <xf numFmtId="0" fontId="6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vertical="center" wrapText="1"/>
    </xf>
    <xf numFmtId="0" fontId="7" fillId="0" borderId="1" xfId="0" applyFont="1" applyFill="1" applyBorder="1" applyAlignment="1">
      <alignment horizontal="center" vertical="center"/>
    </xf>
    <xf numFmtId="164" fontId="18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textRotation="90" wrapText="1"/>
    </xf>
    <xf numFmtId="0" fontId="15" fillId="0" borderId="1" xfId="0" applyFont="1" applyFill="1" applyBorder="1" applyAlignment="1">
      <alignment horizontal="center" vertical="center" textRotation="90" wrapText="1"/>
    </xf>
    <xf numFmtId="0" fontId="30" fillId="0" borderId="1" xfId="0" applyFont="1" applyFill="1" applyBorder="1" applyAlignment="1">
      <alignment horizontal="center" vertical="center" textRotation="90" wrapText="1"/>
    </xf>
    <xf numFmtId="0" fontId="14" fillId="0" borderId="1" xfId="0" applyFont="1" applyFill="1" applyBorder="1" applyAlignment="1">
      <alignment horizontal="center" vertical="center" textRotation="90" wrapText="1"/>
    </xf>
    <xf numFmtId="0" fontId="7" fillId="0" borderId="0" xfId="0" applyFont="1" applyFill="1" applyAlignment="1">
      <alignment vertical="center"/>
    </xf>
    <xf numFmtId="0" fontId="9" fillId="0" borderId="7" xfId="0" applyFont="1" applyFill="1" applyBorder="1" applyAlignment="1">
      <alignment horizontal="center" vertical="center"/>
    </xf>
    <xf numFmtId="0" fontId="9" fillId="0" borderId="4" xfId="0" applyFont="1" applyFill="1" applyBorder="1" applyAlignment="1">
      <alignment horizontal="center" vertical="center" textRotation="90"/>
    </xf>
    <xf numFmtId="0" fontId="31" fillId="0" borderId="4" xfId="0" applyFont="1" applyFill="1" applyBorder="1" applyAlignment="1">
      <alignment horizontal="center" vertical="center" textRotation="90" wrapText="1"/>
    </xf>
    <xf numFmtId="0" fontId="32" fillId="0" borderId="6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/>
    </xf>
    <xf numFmtId="0" fontId="3" fillId="0" borderId="0" xfId="0" applyFont="1" applyFill="1"/>
    <xf numFmtId="0" fontId="3" fillId="0" borderId="1" xfId="0" applyFont="1" applyFill="1" applyBorder="1" applyAlignment="1">
      <alignment horizontal="center" vertical="center"/>
    </xf>
    <xf numFmtId="0" fontId="33" fillId="0" borderId="10" xfId="0" applyFont="1" applyFill="1" applyBorder="1" applyAlignment="1">
      <alignment vertical="center" wrapText="1"/>
    </xf>
    <xf numFmtId="0" fontId="33" fillId="0" borderId="11" xfId="0" applyFont="1" applyFill="1" applyBorder="1" applyAlignment="1">
      <alignment vertical="center" wrapText="1"/>
    </xf>
    <xf numFmtId="0" fontId="5" fillId="0" borderId="0" xfId="0" applyFont="1" applyFill="1" applyBorder="1" applyAlignment="1">
      <alignment horizontal="left" vertical="center" shrinkToFit="1"/>
    </xf>
    <xf numFmtId="0" fontId="11" fillId="0" borderId="0" xfId="0" applyFont="1" applyFill="1" applyAlignment="1">
      <alignment horizontal="center"/>
    </xf>
    <xf numFmtId="0" fontId="5" fillId="0" borderId="0" xfId="0" applyFont="1" applyFill="1" applyAlignment="1">
      <alignment horizontal="left" vertical="center"/>
    </xf>
    <xf numFmtId="0" fontId="20" fillId="0" borderId="0" xfId="0" applyFont="1" applyFill="1" applyAlignment="1">
      <alignment horizontal="center" vertical="center" shrinkToFit="1"/>
    </xf>
    <xf numFmtId="0" fontId="8" fillId="0" borderId="1" xfId="0" applyFont="1" applyFill="1" applyBorder="1" applyAlignment="1">
      <alignment horizontal="left" vertical="center"/>
    </xf>
    <xf numFmtId="0" fontId="24" fillId="0" borderId="2" xfId="0" applyFont="1" applyFill="1" applyBorder="1" applyAlignment="1">
      <alignment horizontal="center" vertical="center"/>
    </xf>
    <xf numFmtId="0" fontId="19" fillId="0" borderId="1" xfId="0" applyFont="1" applyFill="1" applyBorder="1" applyAlignment="1">
      <alignment horizontal="center" vertical="center" shrinkToFit="1"/>
    </xf>
    <xf numFmtId="0" fontId="25" fillId="0" borderId="1" xfId="144" applyFont="1" applyBorder="1" applyAlignment="1">
      <alignment horizontal="center" vertical="center" textRotation="90" wrapText="1"/>
    </xf>
    <xf numFmtId="0" fontId="19" fillId="0" borderId="1" xfId="0" applyFont="1" applyFill="1" applyBorder="1" applyAlignment="1">
      <alignment horizontal="center" vertical="center" textRotation="90" wrapText="1"/>
    </xf>
    <xf numFmtId="0" fontId="5" fillId="0" borderId="7" xfId="0" applyFont="1" applyFill="1" applyBorder="1" applyAlignment="1">
      <alignment horizontal="center" vertical="center" textRotation="90" wrapText="1"/>
    </xf>
    <xf numFmtId="0" fontId="5" fillId="0" borderId="8" xfId="0" applyFont="1" applyFill="1" applyBorder="1" applyAlignment="1">
      <alignment horizontal="center" vertical="center" textRotation="90" wrapText="1"/>
    </xf>
    <xf numFmtId="0" fontId="5" fillId="0" borderId="6" xfId="0" applyFont="1" applyFill="1" applyBorder="1" applyAlignment="1">
      <alignment horizontal="center" vertical="center" textRotation="90" wrapText="1"/>
    </xf>
    <xf numFmtId="0" fontId="8" fillId="0" borderId="0" xfId="0" applyFont="1" applyFill="1" applyAlignment="1">
      <alignment horizontal="center" vertical="center" shrinkToFit="1"/>
    </xf>
    <xf numFmtId="0" fontId="8" fillId="0" borderId="9" xfId="0" applyFont="1" applyFill="1" applyBorder="1" applyAlignment="1">
      <alignment horizontal="center" vertical="center" shrinkToFit="1"/>
    </xf>
    <xf numFmtId="0" fontId="11" fillId="0" borderId="0" xfId="0" applyFont="1" applyBorder="1" applyAlignment="1">
      <alignment horizontal="center" vertical="top" wrapText="1"/>
    </xf>
    <xf numFmtId="0" fontId="17" fillId="0" borderId="2" xfId="0" applyFont="1" applyBorder="1" applyAlignment="1">
      <alignment horizontal="center" vertical="top" wrapText="1"/>
    </xf>
    <xf numFmtId="0" fontId="17" fillId="0" borderId="0" xfId="0" applyFont="1" applyBorder="1" applyAlignment="1">
      <alignment horizontal="center" vertical="top" wrapText="1"/>
    </xf>
    <xf numFmtId="0" fontId="26" fillId="0" borderId="3" xfId="0" applyFont="1" applyBorder="1" applyAlignment="1">
      <alignment horizontal="center" vertical="center" wrapText="1"/>
    </xf>
    <xf numFmtId="0" fontId="26" fillId="0" borderId="4" xfId="0" applyFont="1" applyBorder="1" applyAlignment="1">
      <alignment horizontal="center" vertical="center" wrapText="1"/>
    </xf>
    <xf numFmtId="0" fontId="26" fillId="0" borderId="5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textRotation="90"/>
    </xf>
    <xf numFmtId="0" fontId="3" fillId="0" borderId="8" xfId="0" applyFont="1" applyFill="1" applyBorder="1" applyAlignment="1">
      <alignment horizontal="center" vertical="center" textRotation="90"/>
    </xf>
    <xf numFmtId="0" fontId="4" fillId="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</cellXfs>
  <cellStyles count="271">
    <cellStyle name="Normal" xfId="0" builtinId="0"/>
    <cellStyle name="Normal 10" xfId="1"/>
    <cellStyle name="Normal 10 10" xfId="2"/>
    <cellStyle name="Normal 10 11" xfId="3"/>
    <cellStyle name="Normal 10 12" xfId="4"/>
    <cellStyle name="Normal 10 13" xfId="5"/>
    <cellStyle name="Normal 10 14" xfId="6"/>
    <cellStyle name="Normal 10 15" xfId="7"/>
    <cellStyle name="Normal 10 16" xfId="8"/>
    <cellStyle name="Normal 10 17" xfId="9"/>
    <cellStyle name="Normal 10 2" xfId="10"/>
    <cellStyle name="Normal 10 3" xfId="11"/>
    <cellStyle name="Normal 10 4" xfId="12"/>
    <cellStyle name="Normal 10 5" xfId="13"/>
    <cellStyle name="Normal 10 6" xfId="14"/>
    <cellStyle name="Normal 10 7" xfId="15"/>
    <cellStyle name="Normal 10 8" xfId="16"/>
    <cellStyle name="Normal 10 9" xfId="17"/>
    <cellStyle name="Normal 11" xfId="18"/>
    <cellStyle name="Normal 11 10" xfId="19"/>
    <cellStyle name="Normal 11 11" xfId="20"/>
    <cellStyle name="Normal 11 12" xfId="21"/>
    <cellStyle name="Normal 11 13" xfId="22"/>
    <cellStyle name="Normal 11 14" xfId="23"/>
    <cellStyle name="Normal 11 15" xfId="24"/>
    <cellStyle name="Normal 11 16" xfId="25"/>
    <cellStyle name="Normal 11 17" xfId="26"/>
    <cellStyle name="Normal 11 2" xfId="27"/>
    <cellStyle name="Normal 11 3" xfId="28"/>
    <cellStyle name="Normal 11 4" xfId="29"/>
    <cellStyle name="Normal 11 5" xfId="30"/>
    <cellStyle name="Normal 11 6" xfId="31"/>
    <cellStyle name="Normal 11 7" xfId="32"/>
    <cellStyle name="Normal 11 8" xfId="33"/>
    <cellStyle name="Normal 11 9" xfId="34"/>
    <cellStyle name="Normal 12" xfId="35"/>
    <cellStyle name="Normal 12 10" xfId="36"/>
    <cellStyle name="Normal 12 11" xfId="37"/>
    <cellStyle name="Normal 12 12" xfId="38"/>
    <cellStyle name="Normal 12 13" xfId="39"/>
    <cellStyle name="Normal 12 14" xfId="40"/>
    <cellStyle name="Normal 12 15" xfId="41"/>
    <cellStyle name="Normal 12 16" xfId="42"/>
    <cellStyle name="Normal 12 17" xfId="43"/>
    <cellStyle name="Normal 12 2" xfId="44"/>
    <cellStyle name="Normal 12 3" xfId="45"/>
    <cellStyle name="Normal 12 4" xfId="46"/>
    <cellStyle name="Normal 12 5" xfId="47"/>
    <cellStyle name="Normal 12 6" xfId="48"/>
    <cellStyle name="Normal 12 7" xfId="49"/>
    <cellStyle name="Normal 12 8" xfId="50"/>
    <cellStyle name="Normal 12 9" xfId="51"/>
    <cellStyle name="Normal 13" xfId="52"/>
    <cellStyle name="Normal 13 10" xfId="53"/>
    <cellStyle name="Normal 13 11" xfId="54"/>
    <cellStyle name="Normal 13 12" xfId="55"/>
    <cellStyle name="Normal 13 13" xfId="56"/>
    <cellStyle name="Normal 13 14" xfId="57"/>
    <cellStyle name="Normal 13 15" xfId="58"/>
    <cellStyle name="Normal 13 16" xfId="59"/>
    <cellStyle name="Normal 13 17" xfId="60"/>
    <cellStyle name="Normal 13 2" xfId="61"/>
    <cellStyle name="Normal 13 3" xfId="62"/>
    <cellStyle name="Normal 13 4" xfId="63"/>
    <cellStyle name="Normal 13 5" xfId="64"/>
    <cellStyle name="Normal 13 6" xfId="65"/>
    <cellStyle name="Normal 13 7" xfId="66"/>
    <cellStyle name="Normal 13 8" xfId="67"/>
    <cellStyle name="Normal 13 9" xfId="68"/>
    <cellStyle name="Normal 14" xfId="69"/>
    <cellStyle name="Normal 14 10" xfId="70"/>
    <cellStyle name="Normal 14 11" xfId="71"/>
    <cellStyle name="Normal 14 12" xfId="72"/>
    <cellStyle name="Normal 14 13" xfId="73"/>
    <cellStyle name="Normal 14 14" xfId="74"/>
    <cellStyle name="Normal 14 15" xfId="75"/>
    <cellStyle name="Normal 14 16" xfId="76"/>
    <cellStyle name="Normal 14 17" xfId="77"/>
    <cellStyle name="Normal 14 2" xfId="78"/>
    <cellStyle name="Normal 14 3" xfId="79"/>
    <cellStyle name="Normal 14 4" xfId="80"/>
    <cellStyle name="Normal 14 5" xfId="81"/>
    <cellStyle name="Normal 14 6" xfId="82"/>
    <cellStyle name="Normal 14 7" xfId="83"/>
    <cellStyle name="Normal 14 8" xfId="84"/>
    <cellStyle name="Normal 14 9" xfId="85"/>
    <cellStyle name="Normal 15" xfId="86"/>
    <cellStyle name="Normal 15 10" xfId="87"/>
    <cellStyle name="Normal 15 11" xfId="88"/>
    <cellStyle name="Normal 15 12" xfId="89"/>
    <cellStyle name="Normal 15 13" xfId="90"/>
    <cellStyle name="Normal 15 14" xfId="91"/>
    <cellStyle name="Normal 15 15" xfId="92"/>
    <cellStyle name="Normal 15 16" xfId="93"/>
    <cellStyle name="Normal 15 17" xfId="94"/>
    <cellStyle name="Normal 15 2" xfId="95"/>
    <cellStyle name="Normal 15 3" xfId="96"/>
    <cellStyle name="Normal 15 4" xfId="97"/>
    <cellStyle name="Normal 15 5" xfId="98"/>
    <cellStyle name="Normal 15 6" xfId="99"/>
    <cellStyle name="Normal 15 7" xfId="100"/>
    <cellStyle name="Normal 15 8" xfId="101"/>
    <cellStyle name="Normal 15 9" xfId="102"/>
    <cellStyle name="Normal 16" xfId="103"/>
    <cellStyle name="Normal 16 10" xfId="104"/>
    <cellStyle name="Normal 16 11" xfId="105"/>
    <cellStyle name="Normal 16 12" xfId="106"/>
    <cellStyle name="Normal 16 13" xfId="107"/>
    <cellStyle name="Normal 16 14" xfId="108"/>
    <cellStyle name="Normal 16 15" xfId="109"/>
    <cellStyle name="Normal 16 16" xfId="110"/>
    <cellStyle name="Normal 16 17" xfId="111"/>
    <cellStyle name="Normal 16 2" xfId="112"/>
    <cellStyle name="Normal 16 3" xfId="113"/>
    <cellStyle name="Normal 16 4" xfId="114"/>
    <cellStyle name="Normal 16 5" xfId="115"/>
    <cellStyle name="Normal 16 6" xfId="116"/>
    <cellStyle name="Normal 16 7" xfId="117"/>
    <cellStyle name="Normal 16 8" xfId="118"/>
    <cellStyle name="Normal 16 9" xfId="119"/>
    <cellStyle name="Normal 17" xfId="120"/>
    <cellStyle name="Normal 17 10" xfId="121"/>
    <cellStyle name="Normal 17 11" xfId="122"/>
    <cellStyle name="Normal 17 12" xfId="123"/>
    <cellStyle name="Normal 17 13" xfId="124"/>
    <cellStyle name="Normal 17 14" xfId="125"/>
    <cellStyle name="Normal 17 15" xfId="126"/>
    <cellStyle name="Normal 17 16" xfId="127"/>
    <cellStyle name="Normal 17 17" xfId="128"/>
    <cellStyle name="Normal 17 2" xfId="129"/>
    <cellStyle name="Normal 17 3" xfId="130"/>
    <cellStyle name="Normal 17 4" xfId="131"/>
    <cellStyle name="Normal 17 5" xfId="132"/>
    <cellStyle name="Normal 17 6" xfId="133"/>
    <cellStyle name="Normal 17 7" xfId="134"/>
    <cellStyle name="Normal 17 8" xfId="135"/>
    <cellStyle name="Normal 17 9" xfId="136"/>
    <cellStyle name="Normal 2 10" xfId="137"/>
    <cellStyle name="Normal 2 11" xfId="138"/>
    <cellStyle name="Normal 2 12" xfId="139"/>
    <cellStyle name="Normal 2 13" xfId="140"/>
    <cellStyle name="Normal 2 14" xfId="141"/>
    <cellStyle name="Normal 2 15" xfId="142"/>
    <cellStyle name="Normal 2 16" xfId="143"/>
    <cellStyle name="Normal 2 17" xfId="144"/>
    <cellStyle name="Normal 2 2" xfId="145"/>
    <cellStyle name="Normal 2 3" xfId="146"/>
    <cellStyle name="Normal 2 4" xfId="147"/>
    <cellStyle name="Normal 2 5" xfId="148"/>
    <cellStyle name="Normal 2 6" xfId="149"/>
    <cellStyle name="Normal 2 7" xfId="150"/>
    <cellStyle name="Normal 2 8" xfId="151"/>
    <cellStyle name="Normal 2 9" xfId="152"/>
    <cellStyle name="Normal 23" xfId="269"/>
    <cellStyle name="Normal 3" xfId="270"/>
    <cellStyle name="Normal 3 10" xfId="153"/>
    <cellStyle name="Normal 3 11" xfId="154"/>
    <cellStyle name="Normal 3 12" xfId="155"/>
    <cellStyle name="Normal 3 13" xfId="156"/>
    <cellStyle name="Normal 3 14" xfId="157"/>
    <cellStyle name="Normal 3 15" xfId="158"/>
    <cellStyle name="Normal 3 16" xfId="159"/>
    <cellStyle name="Normal 3 17" xfId="160"/>
    <cellStyle name="Normal 3 2" xfId="161"/>
    <cellStyle name="Normal 3 3" xfId="162"/>
    <cellStyle name="Normal 3 4" xfId="163"/>
    <cellStyle name="Normal 3 5" xfId="164"/>
    <cellStyle name="Normal 3 6" xfId="165"/>
    <cellStyle name="Normal 3 7" xfId="166"/>
    <cellStyle name="Normal 3 8" xfId="167"/>
    <cellStyle name="Normal 3 9" xfId="168"/>
    <cellStyle name="Normal 4 10" xfId="169"/>
    <cellStyle name="Normal 4 11" xfId="170"/>
    <cellStyle name="Normal 4 12" xfId="171"/>
    <cellStyle name="Normal 4 13" xfId="172"/>
    <cellStyle name="Normal 4 14" xfId="173"/>
    <cellStyle name="Normal 4 15" xfId="174"/>
    <cellStyle name="Normal 4 16" xfId="175"/>
    <cellStyle name="Normal 4 17" xfId="176"/>
    <cellStyle name="Normal 4 2" xfId="177"/>
    <cellStyle name="Normal 4 3" xfId="178"/>
    <cellStyle name="Normal 4 4" xfId="179"/>
    <cellStyle name="Normal 4 5" xfId="180"/>
    <cellStyle name="Normal 4 6" xfId="181"/>
    <cellStyle name="Normal 4 7" xfId="182"/>
    <cellStyle name="Normal 4 8" xfId="183"/>
    <cellStyle name="Normal 4 9" xfId="184"/>
    <cellStyle name="Normal 5 10" xfId="185"/>
    <cellStyle name="Normal 5 11" xfId="186"/>
    <cellStyle name="Normal 5 12" xfId="187"/>
    <cellStyle name="Normal 5 13" xfId="188"/>
    <cellStyle name="Normal 5 14" xfId="189"/>
    <cellStyle name="Normal 5 15" xfId="190"/>
    <cellStyle name="Normal 5 16" xfId="191"/>
    <cellStyle name="Normal 5 17" xfId="192"/>
    <cellStyle name="Normal 5 2" xfId="193"/>
    <cellStyle name="Normal 5 3" xfId="194"/>
    <cellStyle name="Normal 5 4" xfId="195"/>
    <cellStyle name="Normal 5 5" xfId="196"/>
    <cellStyle name="Normal 5 6" xfId="197"/>
    <cellStyle name="Normal 5 7" xfId="198"/>
    <cellStyle name="Normal 5 8" xfId="199"/>
    <cellStyle name="Normal 5 9" xfId="200"/>
    <cellStyle name="Normal 6" xfId="201"/>
    <cellStyle name="Normal 6 10" xfId="202"/>
    <cellStyle name="Normal 6 11" xfId="203"/>
    <cellStyle name="Normal 6 12" xfId="204"/>
    <cellStyle name="Normal 6 13" xfId="205"/>
    <cellStyle name="Normal 6 14" xfId="206"/>
    <cellStyle name="Normal 6 15" xfId="207"/>
    <cellStyle name="Normal 6 16" xfId="208"/>
    <cellStyle name="Normal 6 17" xfId="209"/>
    <cellStyle name="Normal 6 2" xfId="210"/>
    <cellStyle name="Normal 6 3" xfId="211"/>
    <cellStyle name="Normal 6 4" xfId="212"/>
    <cellStyle name="Normal 6 5" xfId="213"/>
    <cellStyle name="Normal 6 6" xfId="214"/>
    <cellStyle name="Normal 6 7" xfId="215"/>
    <cellStyle name="Normal 6 8" xfId="216"/>
    <cellStyle name="Normal 6 9" xfId="217"/>
    <cellStyle name="Normal 7" xfId="218"/>
    <cellStyle name="Normal 7 10" xfId="219"/>
    <cellStyle name="Normal 7 11" xfId="220"/>
    <cellStyle name="Normal 7 12" xfId="221"/>
    <cellStyle name="Normal 7 13" xfId="222"/>
    <cellStyle name="Normal 7 14" xfId="223"/>
    <cellStyle name="Normal 7 15" xfId="224"/>
    <cellStyle name="Normal 7 16" xfId="225"/>
    <cellStyle name="Normal 7 17" xfId="226"/>
    <cellStyle name="Normal 7 2" xfId="227"/>
    <cellStyle name="Normal 7 3" xfId="228"/>
    <cellStyle name="Normal 7 4" xfId="229"/>
    <cellStyle name="Normal 7 5" xfId="230"/>
    <cellStyle name="Normal 7 6" xfId="231"/>
    <cellStyle name="Normal 7 7" xfId="232"/>
    <cellStyle name="Normal 7 8" xfId="233"/>
    <cellStyle name="Normal 7 9" xfId="234"/>
    <cellStyle name="Normal 8" xfId="235"/>
    <cellStyle name="Normal 8 10" xfId="236"/>
    <cellStyle name="Normal 8 11" xfId="237"/>
    <cellStyle name="Normal 8 12" xfId="238"/>
    <cellStyle name="Normal 8 13" xfId="239"/>
    <cellStyle name="Normal 8 14" xfId="240"/>
    <cellStyle name="Normal 8 15" xfId="241"/>
    <cellStyle name="Normal 8 16" xfId="242"/>
    <cellStyle name="Normal 8 17" xfId="243"/>
    <cellStyle name="Normal 8 2" xfId="244"/>
    <cellStyle name="Normal 8 3" xfId="245"/>
    <cellStyle name="Normal 8 4" xfId="246"/>
    <cellStyle name="Normal 8 5" xfId="247"/>
    <cellStyle name="Normal 8 6" xfId="248"/>
    <cellStyle name="Normal 8 7" xfId="249"/>
    <cellStyle name="Normal 8 8" xfId="250"/>
    <cellStyle name="Normal 8 9" xfId="251"/>
    <cellStyle name="Normal 9" xfId="252"/>
    <cellStyle name="Normal 9 10" xfId="253"/>
    <cellStyle name="Normal 9 11" xfId="254"/>
    <cellStyle name="Normal 9 12" xfId="255"/>
    <cellStyle name="Normal 9 13" xfId="256"/>
    <cellStyle name="Normal 9 14" xfId="257"/>
    <cellStyle name="Normal 9 15" xfId="258"/>
    <cellStyle name="Normal 9 16" xfId="259"/>
    <cellStyle name="Normal 9 17" xfId="260"/>
    <cellStyle name="Normal 9 2" xfId="261"/>
    <cellStyle name="Normal 9 3" xfId="262"/>
    <cellStyle name="Normal 9 4" xfId="263"/>
    <cellStyle name="Normal 9 5" xfId="264"/>
    <cellStyle name="Normal 9 6" xfId="265"/>
    <cellStyle name="Normal 9 7" xfId="266"/>
    <cellStyle name="Normal 9 8" xfId="267"/>
    <cellStyle name="Normal 9 9" xfId="26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ai%20baba\Downloads\Conting%20Farmate-333%20kushinagar%20AC%20FINAL%20(3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OUND-1"/>
      <sheetName val="ROUND-2"/>
      <sheetName val="ROUND-3"/>
      <sheetName val="ROUND-4"/>
      <sheetName val="ROUND- 5"/>
      <sheetName val="ROUND-6"/>
      <sheetName val="ROUND-7"/>
      <sheetName val="ROUND-8"/>
      <sheetName val="ROUND-9"/>
      <sheetName val="ROUND-10"/>
      <sheetName val="ROUND-11"/>
      <sheetName val="ROUND-12"/>
      <sheetName val="ROUND-13"/>
      <sheetName val="ROUND-14"/>
      <sheetName val="ROUND-15"/>
      <sheetName val="ROUND-16"/>
      <sheetName val="ROUND-17"/>
      <sheetName val="ROUND-18"/>
      <sheetName val="ROUND-19"/>
      <sheetName val="ROUND-20"/>
      <sheetName val="ROUND-21"/>
      <sheetName val="ROUND-22"/>
      <sheetName val="ROUND-23"/>
      <sheetName val="ROUND-24"/>
      <sheetName val="ROUND-25"/>
      <sheetName val="ROUND-26"/>
      <sheetName val="ROUND-27"/>
      <sheetName val="ROUND-28"/>
      <sheetName val="ROUND-29"/>
      <sheetName val="ROUND-30"/>
      <sheetName val="ROUND 31"/>
      <sheetName val="ROUND 32"/>
      <sheetName val="FINAL"/>
      <sheetName val="Form20 "/>
      <sheetName val="ECI Forma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>
        <row r="3">
          <cell r="A3" t="str">
            <v>No. And Name of Assembly Constituency : 333-KUSHINAGAR</v>
          </cell>
        </row>
      </sheetData>
      <sheetData sheetId="34">
        <row r="1">
          <cell r="A1" t="str">
            <v>No. And Name of Assembly Constituency : 333-KUSHINAGAR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450"/>
  <sheetViews>
    <sheetView view="pageBreakPreview" zoomScale="90" zoomScaleSheetLayoutView="90" workbookViewId="0">
      <pane ySplit="6" topLeftCell="A441" activePane="bottomLeft" state="frozen"/>
      <selection pane="bottomLeft" activeCell="D441" sqref="D441"/>
    </sheetView>
  </sheetViews>
  <sheetFormatPr defaultRowHeight="12"/>
  <cols>
    <col min="1" max="1" width="7.28515625" style="1" customWidth="1"/>
    <col min="2" max="2" width="11.28515625" style="1" customWidth="1"/>
    <col min="3" max="3" width="11.42578125" style="1" customWidth="1"/>
    <col min="4" max="4" width="10.5703125" style="1" customWidth="1"/>
    <col min="5" max="5" width="8.28515625" style="1" customWidth="1"/>
    <col min="6" max="6" width="7.5703125" style="1" customWidth="1"/>
    <col min="7" max="7" width="7.140625" style="1" customWidth="1"/>
    <col min="8" max="9" width="7.28515625" style="1" customWidth="1"/>
    <col min="10" max="10" width="6.7109375" style="1" customWidth="1"/>
    <col min="11" max="11" width="5.85546875" style="1" customWidth="1"/>
    <col min="12" max="12" width="7.42578125" style="1" customWidth="1"/>
    <col min="13" max="13" width="6.5703125" style="1" customWidth="1"/>
    <col min="14" max="14" width="6.28515625" style="1" customWidth="1"/>
    <col min="15" max="16" width="8.7109375" style="1" customWidth="1"/>
    <col min="17" max="17" width="10.7109375" style="1" customWidth="1"/>
    <col min="18" max="18" width="7.7109375" style="1" customWidth="1"/>
    <col min="19" max="19" width="10.7109375" style="1" customWidth="1"/>
    <col min="20" max="20" width="9.28515625" style="1" customWidth="1"/>
    <col min="21" max="16384" width="9.140625" style="1"/>
  </cols>
  <sheetData>
    <row r="1" spans="1:20" s="10" customFormat="1" ht="29.25" customHeight="1">
      <c r="A1" s="81" t="s">
        <v>6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</row>
    <row r="2" spans="1:20" s="11" customFormat="1" ht="39.75" customHeight="1">
      <c r="A2" s="90" t="s">
        <v>50</v>
      </c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1"/>
      <c r="Q2" s="82" t="s">
        <v>27</v>
      </c>
      <c r="R2" s="82"/>
      <c r="S2" s="82"/>
      <c r="T2" s="33">
        <v>372828</v>
      </c>
    </row>
    <row r="3" spans="1:20" s="27" customFormat="1" ht="21.95" customHeight="1">
      <c r="A3" s="83" t="str">
        <f>'[1]Form20 '!$A$3:$T$3</f>
        <v>No. And Name of Assembly Constituency : 333-KUSHINAGAR</v>
      </c>
      <c r="B3" s="83"/>
      <c r="C3" s="83"/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</row>
    <row r="4" spans="1:20" s="3" customFormat="1" ht="21" customHeight="1">
      <c r="A4" s="87" t="s">
        <v>0</v>
      </c>
      <c r="B4" s="84" t="s">
        <v>1</v>
      </c>
      <c r="C4" s="84"/>
      <c r="D4" s="84"/>
      <c r="E4" s="84"/>
      <c r="F4" s="84"/>
      <c r="G4" s="84"/>
      <c r="H4" s="84"/>
      <c r="I4" s="84"/>
      <c r="J4" s="84"/>
      <c r="K4" s="84"/>
      <c r="L4" s="84"/>
      <c r="M4" s="84"/>
      <c r="N4" s="84"/>
      <c r="O4" s="84"/>
      <c r="P4" s="85" t="s">
        <v>33</v>
      </c>
      <c r="Q4" s="86" t="s">
        <v>7</v>
      </c>
      <c r="R4" s="86" t="s">
        <v>8</v>
      </c>
      <c r="S4" s="86" t="s">
        <v>2</v>
      </c>
      <c r="T4" s="86" t="s">
        <v>9</v>
      </c>
    </row>
    <row r="5" spans="1:20" s="3" customFormat="1" ht="21" customHeight="1">
      <c r="A5" s="88"/>
      <c r="B5" s="84"/>
      <c r="C5" s="84"/>
      <c r="D5" s="84"/>
      <c r="E5" s="84"/>
      <c r="F5" s="84"/>
      <c r="G5" s="84"/>
      <c r="H5" s="84"/>
      <c r="I5" s="84"/>
      <c r="J5" s="84"/>
      <c r="K5" s="84"/>
      <c r="L5" s="84"/>
      <c r="M5" s="84"/>
      <c r="N5" s="84"/>
      <c r="O5" s="84"/>
      <c r="P5" s="85"/>
      <c r="Q5" s="86"/>
      <c r="R5" s="86"/>
      <c r="S5" s="86"/>
      <c r="T5" s="86"/>
    </row>
    <row r="6" spans="1:20" ht="146.25" customHeight="1">
      <c r="A6" s="88"/>
      <c r="B6" s="39" t="s">
        <v>47</v>
      </c>
      <c r="C6" s="39" t="s">
        <v>48</v>
      </c>
      <c r="D6" s="40" t="s">
        <v>35</v>
      </c>
      <c r="E6" s="41" t="s">
        <v>36</v>
      </c>
      <c r="F6" s="39" t="s">
        <v>37</v>
      </c>
      <c r="G6" s="39" t="s">
        <v>38</v>
      </c>
      <c r="H6" s="39" t="s">
        <v>39</v>
      </c>
      <c r="I6" s="42" t="s">
        <v>40</v>
      </c>
      <c r="J6" s="42" t="s">
        <v>41</v>
      </c>
      <c r="K6" s="42" t="s">
        <v>42</v>
      </c>
      <c r="L6" s="40" t="s">
        <v>43</v>
      </c>
      <c r="M6" s="40" t="s">
        <v>44</v>
      </c>
      <c r="N6" s="42" t="s">
        <v>45</v>
      </c>
      <c r="O6" s="40" t="s">
        <v>46</v>
      </c>
      <c r="P6" s="85"/>
      <c r="Q6" s="86"/>
      <c r="R6" s="86"/>
      <c r="S6" s="86"/>
      <c r="T6" s="86"/>
    </row>
    <row r="7" spans="1:20" s="32" customFormat="1" ht="19.5">
      <c r="A7" s="89"/>
      <c r="B7" s="71">
        <v>1</v>
      </c>
      <c r="C7" s="71">
        <v>2</v>
      </c>
      <c r="D7" s="71">
        <v>3</v>
      </c>
      <c r="E7" s="71">
        <v>4</v>
      </c>
      <c r="F7" s="71">
        <v>5</v>
      </c>
      <c r="G7" s="71">
        <v>6</v>
      </c>
      <c r="H7" s="71">
        <v>7</v>
      </c>
      <c r="I7" s="71">
        <v>8</v>
      </c>
      <c r="J7" s="71">
        <v>9</v>
      </c>
      <c r="K7" s="71">
        <v>10</v>
      </c>
      <c r="L7" s="71">
        <v>11</v>
      </c>
      <c r="M7" s="71">
        <v>12</v>
      </c>
      <c r="N7" s="71">
        <v>13</v>
      </c>
      <c r="O7" s="71">
        <v>14</v>
      </c>
      <c r="P7" s="71">
        <v>15</v>
      </c>
      <c r="Q7" s="71">
        <v>16</v>
      </c>
      <c r="R7" s="71">
        <v>17</v>
      </c>
      <c r="S7" s="71">
        <v>18</v>
      </c>
      <c r="T7" s="71">
        <v>19</v>
      </c>
    </row>
    <row r="8" spans="1:20" s="3" customFormat="1" ht="24" customHeight="1">
      <c r="A8" s="43">
        <v>1</v>
      </c>
      <c r="B8" s="38">
        <v>410</v>
      </c>
      <c r="C8" s="38">
        <v>41</v>
      </c>
      <c r="D8" s="38">
        <v>241</v>
      </c>
      <c r="E8" s="38">
        <v>6</v>
      </c>
      <c r="F8" s="38">
        <v>1</v>
      </c>
      <c r="G8" s="38">
        <v>1</v>
      </c>
      <c r="H8" s="38">
        <v>2</v>
      </c>
      <c r="I8" s="38">
        <v>2</v>
      </c>
      <c r="J8" s="38">
        <v>3</v>
      </c>
      <c r="K8" s="38">
        <v>1</v>
      </c>
      <c r="L8" s="38">
        <v>4</v>
      </c>
      <c r="M8" s="38">
        <v>4</v>
      </c>
      <c r="N8" s="38">
        <v>3</v>
      </c>
      <c r="O8" s="38">
        <v>6</v>
      </c>
      <c r="P8" s="38">
        <v>24</v>
      </c>
      <c r="Q8" s="34">
        <f>SUM(B8:O8)</f>
        <v>725</v>
      </c>
      <c r="R8" s="34">
        <v>0</v>
      </c>
      <c r="S8" s="34">
        <f>P8+Q8</f>
        <v>749</v>
      </c>
      <c r="T8" s="34">
        <v>0</v>
      </c>
    </row>
    <row r="9" spans="1:20" s="3" customFormat="1" ht="24" customHeight="1">
      <c r="A9" s="43">
        <v>2</v>
      </c>
      <c r="B9" s="38">
        <v>386</v>
      </c>
      <c r="C9" s="38">
        <v>31</v>
      </c>
      <c r="D9" s="38">
        <v>285</v>
      </c>
      <c r="E9" s="38">
        <v>5</v>
      </c>
      <c r="F9" s="38">
        <v>1</v>
      </c>
      <c r="G9" s="38">
        <v>0</v>
      </c>
      <c r="H9" s="38">
        <v>1</v>
      </c>
      <c r="I9" s="38">
        <v>0</v>
      </c>
      <c r="J9" s="38">
        <v>1</v>
      </c>
      <c r="K9" s="38">
        <v>2</v>
      </c>
      <c r="L9" s="38">
        <v>0</v>
      </c>
      <c r="M9" s="38">
        <v>1</v>
      </c>
      <c r="N9" s="38">
        <v>1</v>
      </c>
      <c r="O9" s="38">
        <v>2</v>
      </c>
      <c r="P9" s="38">
        <v>7</v>
      </c>
      <c r="Q9" s="34">
        <f t="shared" ref="Q9:Q72" si="0">SUM(B9:O9)</f>
        <v>716</v>
      </c>
      <c r="R9" s="34">
        <v>0</v>
      </c>
      <c r="S9" s="34">
        <f t="shared" ref="S9:S72" si="1">P9+Q9</f>
        <v>723</v>
      </c>
      <c r="T9" s="34">
        <v>0</v>
      </c>
    </row>
    <row r="10" spans="1:20" s="3" customFormat="1" ht="24" customHeight="1">
      <c r="A10" s="43">
        <v>3</v>
      </c>
      <c r="B10" s="38">
        <v>340</v>
      </c>
      <c r="C10" s="38">
        <v>7</v>
      </c>
      <c r="D10" s="38">
        <v>269</v>
      </c>
      <c r="E10" s="38">
        <v>7</v>
      </c>
      <c r="F10" s="38">
        <v>0</v>
      </c>
      <c r="G10" s="38">
        <v>2</v>
      </c>
      <c r="H10" s="38">
        <v>0</v>
      </c>
      <c r="I10" s="38">
        <v>7</v>
      </c>
      <c r="J10" s="38">
        <v>10</v>
      </c>
      <c r="K10" s="38">
        <v>0</v>
      </c>
      <c r="L10" s="38">
        <v>0</v>
      </c>
      <c r="M10" s="38">
        <v>0</v>
      </c>
      <c r="N10" s="38">
        <v>2</v>
      </c>
      <c r="O10" s="38">
        <v>2</v>
      </c>
      <c r="P10" s="38">
        <v>2</v>
      </c>
      <c r="Q10" s="34">
        <f t="shared" si="0"/>
        <v>646</v>
      </c>
      <c r="R10" s="34">
        <v>0</v>
      </c>
      <c r="S10" s="34">
        <f t="shared" si="1"/>
        <v>648</v>
      </c>
      <c r="T10" s="34">
        <v>0</v>
      </c>
    </row>
    <row r="11" spans="1:20" s="3" customFormat="1" ht="24" customHeight="1">
      <c r="A11" s="43">
        <v>4</v>
      </c>
      <c r="B11" s="38">
        <v>320</v>
      </c>
      <c r="C11" s="38">
        <v>5</v>
      </c>
      <c r="D11" s="38">
        <v>294</v>
      </c>
      <c r="E11" s="38">
        <v>1</v>
      </c>
      <c r="F11" s="38">
        <v>0</v>
      </c>
      <c r="G11" s="38">
        <v>1</v>
      </c>
      <c r="H11" s="38">
        <v>1</v>
      </c>
      <c r="I11" s="38">
        <v>1</v>
      </c>
      <c r="J11" s="38">
        <v>3</v>
      </c>
      <c r="K11" s="38">
        <v>1</v>
      </c>
      <c r="L11" s="38">
        <v>0</v>
      </c>
      <c r="M11" s="38">
        <v>2</v>
      </c>
      <c r="N11" s="38">
        <v>0</v>
      </c>
      <c r="O11" s="38">
        <v>1</v>
      </c>
      <c r="P11" s="38">
        <v>8</v>
      </c>
      <c r="Q11" s="34">
        <f t="shared" si="0"/>
        <v>630</v>
      </c>
      <c r="R11" s="34">
        <v>0</v>
      </c>
      <c r="S11" s="34">
        <f t="shared" si="1"/>
        <v>638</v>
      </c>
      <c r="T11" s="34">
        <v>0</v>
      </c>
    </row>
    <row r="12" spans="1:20" s="3" customFormat="1" ht="24" customHeight="1">
      <c r="A12" s="43">
        <v>5</v>
      </c>
      <c r="B12" s="38">
        <v>355</v>
      </c>
      <c r="C12" s="38">
        <v>22</v>
      </c>
      <c r="D12" s="38">
        <v>223</v>
      </c>
      <c r="E12" s="38">
        <v>14</v>
      </c>
      <c r="F12" s="38">
        <v>2</v>
      </c>
      <c r="G12" s="38">
        <v>1</v>
      </c>
      <c r="H12" s="38">
        <v>0</v>
      </c>
      <c r="I12" s="38">
        <v>0</v>
      </c>
      <c r="J12" s="38">
        <v>2</v>
      </c>
      <c r="K12" s="38">
        <v>2</v>
      </c>
      <c r="L12" s="38">
        <v>2</v>
      </c>
      <c r="M12" s="38">
        <v>2</v>
      </c>
      <c r="N12" s="38">
        <v>2</v>
      </c>
      <c r="O12" s="38">
        <v>3</v>
      </c>
      <c r="P12" s="38">
        <v>10</v>
      </c>
      <c r="Q12" s="34">
        <f t="shared" si="0"/>
        <v>630</v>
      </c>
      <c r="R12" s="34">
        <v>0</v>
      </c>
      <c r="S12" s="34">
        <f t="shared" si="1"/>
        <v>640</v>
      </c>
      <c r="T12" s="34">
        <v>0</v>
      </c>
    </row>
    <row r="13" spans="1:20" s="3" customFormat="1" ht="24" customHeight="1">
      <c r="A13" s="43">
        <v>6</v>
      </c>
      <c r="B13" s="38">
        <v>196</v>
      </c>
      <c r="C13" s="38">
        <v>136</v>
      </c>
      <c r="D13" s="38">
        <v>249</v>
      </c>
      <c r="E13" s="38">
        <v>1</v>
      </c>
      <c r="F13" s="38">
        <v>0</v>
      </c>
      <c r="G13" s="38">
        <v>0</v>
      </c>
      <c r="H13" s="38">
        <v>1</v>
      </c>
      <c r="I13" s="38">
        <v>3</v>
      </c>
      <c r="J13" s="38">
        <v>1</v>
      </c>
      <c r="K13" s="38">
        <v>1</v>
      </c>
      <c r="L13" s="38">
        <v>5</v>
      </c>
      <c r="M13" s="38">
        <v>1</v>
      </c>
      <c r="N13" s="38">
        <v>2</v>
      </c>
      <c r="O13" s="38">
        <v>2</v>
      </c>
      <c r="P13" s="38">
        <v>7</v>
      </c>
      <c r="Q13" s="34">
        <f t="shared" si="0"/>
        <v>598</v>
      </c>
      <c r="R13" s="34">
        <v>0</v>
      </c>
      <c r="S13" s="34">
        <f t="shared" si="1"/>
        <v>605</v>
      </c>
      <c r="T13" s="34">
        <v>0</v>
      </c>
    </row>
    <row r="14" spans="1:20" s="3" customFormat="1" ht="24" customHeight="1">
      <c r="A14" s="43">
        <v>7</v>
      </c>
      <c r="B14" s="38">
        <v>436</v>
      </c>
      <c r="C14" s="38">
        <v>50</v>
      </c>
      <c r="D14" s="38">
        <v>169</v>
      </c>
      <c r="E14" s="38">
        <v>7</v>
      </c>
      <c r="F14" s="38">
        <v>0</v>
      </c>
      <c r="G14" s="38">
        <v>2</v>
      </c>
      <c r="H14" s="38">
        <v>3</v>
      </c>
      <c r="I14" s="38">
        <v>0</v>
      </c>
      <c r="J14" s="38">
        <v>0</v>
      </c>
      <c r="K14" s="38">
        <v>0</v>
      </c>
      <c r="L14" s="38">
        <v>2</v>
      </c>
      <c r="M14" s="38">
        <v>4</v>
      </c>
      <c r="N14" s="38">
        <v>1</v>
      </c>
      <c r="O14" s="38">
        <v>2</v>
      </c>
      <c r="P14" s="38">
        <v>3</v>
      </c>
      <c r="Q14" s="34">
        <f t="shared" si="0"/>
        <v>676</v>
      </c>
      <c r="R14" s="34">
        <v>0</v>
      </c>
      <c r="S14" s="34">
        <f t="shared" si="1"/>
        <v>679</v>
      </c>
      <c r="T14" s="34">
        <v>0</v>
      </c>
    </row>
    <row r="15" spans="1:20" s="3" customFormat="1" ht="24" customHeight="1">
      <c r="A15" s="43">
        <v>8</v>
      </c>
      <c r="B15" s="38">
        <v>369</v>
      </c>
      <c r="C15" s="38">
        <v>20</v>
      </c>
      <c r="D15" s="38">
        <v>156</v>
      </c>
      <c r="E15" s="38">
        <v>3</v>
      </c>
      <c r="F15" s="38">
        <v>1</v>
      </c>
      <c r="G15" s="38">
        <v>1</v>
      </c>
      <c r="H15" s="38">
        <v>1</v>
      </c>
      <c r="I15" s="38">
        <v>1</v>
      </c>
      <c r="J15" s="38">
        <v>5</v>
      </c>
      <c r="K15" s="38">
        <v>1</v>
      </c>
      <c r="L15" s="38">
        <v>1</v>
      </c>
      <c r="M15" s="38">
        <v>1</v>
      </c>
      <c r="N15" s="38">
        <v>2</v>
      </c>
      <c r="O15" s="38">
        <v>1</v>
      </c>
      <c r="P15" s="38">
        <v>5</v>
      </c>
      <c r="Q15" s="34">
        <f t="shared" si="0"/>
        <v>563</v>
      </c>
      <c r="R15" s="34">
        <v>0</v>
      </c>
      <c r="S15" s="34">
        <f t="shared" si="1"/>
        <v>568</v>
      </c>
      <c r="T15" s="34">
        <v>0</v>
      </c>
    </row>
    <row r="16" spans="1:20" s="3" customFormat="1" ht="24" customHeight="1">
      <c r="A16" s="43">
        <v>9</v>
      </c>
      <c r="B16" s="38">
        <v>211</v>
      </c>
      <c r="C16" s="38">
        <v>8</v>
      </c>
      <c r="D16" s="38">
        <v>163</v>
      </c>
      <c r="E16" s="38">
        <v>0</v>
      </c>
      <c r="F16" s="38">
        <v>0</v>
      </c>
      <c r="G16" s="38">
        <v>0</v>
      </c>
      <c r="H16" s="38">
        <v>0</v>
      </c>
      <c r="I16" s="38">
        <v>0</v>
      </c>
      <c r="J16" s="38">
        <v>0</v>
      </c>
      <c r="K16" s="38">
        <v>1</v>
      </c>
      <c r="L16" s="38">
        <v>0</v>
      </c>
      <c r="M16" s="38">
        <v>1</v>
      </c>
      <c r="N16" s="38">
        <v>3</v>
      </c>
      <c r="O16" s="38">
        <v>0</v>
      </c>
      <c r="P16" s="38">
        <v>2</v>
      </c>
      <c r="Q16" s="34">
        <f t="shared" si="0"/>
        <v>387</v>
      </c>
      <c r="R16" s="34">
        <v>0</v>
      </c>
      <c r="S16" s="34">
        <f t="shared" si="1"/>
        <v>389</v>
      </c>
      <c r="T16" s="34">
        <v>0</v>
      </c>
    </row>
    <row r="17" spans="1:20" s="3" customFormat="1" ht="24" customHeight="1">
      <c r="A17" s="43">
        <v>10</v>
      </c>
      <c r="B17" s="38">
        <v>188</v>
      </c>
      <c r="C17" s="38">
        <v>49</v>
      </c>
      <c r="D17" s="38">
        <v>110</v>
      </c>
      <c r="E17" s="38">
        <v>0</v>
      </c>
      <c r="F17" s="38">
        <v>1</v>
      </c>
      <c r="G17" s="38">
        <v>0</v>
      </c>
      <c r="H17" s="38">
        <v>0</v>
      </c>
      <c r="I17" s="38">
        <v>0</v>
      </c>
      <c r="J17" s="38">
        <v>0</v>
      </c>
      <c r="K17" s="38">
        <v>0</v>
      </c>
      <c r="L17" s="38">
        <v>0</v>
      </c>
      <c r="M17" s="38">
        <v>0</v>
      </c>
      <c r="N17" s="38">
        <v>1</v>
      </c>
      <c r="O17" s="38">
        <v>1</v>
      </c>
      <c r="P17" s="38">
        <v>4</v>
      </c>
      <c r="Q17" s="34">
        <f t="shared" si="0"/>
        <v>350</v>
      </c>
      <c r="R17" s="34">
        <v>0</v>
      </c>
      <c r="S17" s="34">
        <f t="shared" si="1"/>
        <v>354</v>
      </c>
      <c r="T17" s="34">
        <v>0</v>
      </c>
    </row>
    <row r="18" spans="1:20" s="3" customFormat="1" ht="24" customHeight="1">
      <c r="A18" s="43">
        <v>11</v>
      </c>
      <c r="B18" s="38">
        <v>352</v>
      </c>
      <c r="C18" s="38">
        <v>79</v>
      </c>
      <c r="D18" s="38">
        <v>249</v>
      </c>
      <c r="E18" s="38">
        <v>3</v>
      </c>
      <c r="F18" s="38">
        <v>0</v>
      </c>
      <c r="G18" s="38">
        <v>2</v>
      </c>
      <c r="H18" s="38">
        <v>2</v>
      </c>
      <c r="I18" s="38">
        <v>1</v>
      </c>
      <c r="J18" s="38">
        <v>1</v>
      </c>
      <c r="K18" s="38">
        <v>0</v>
      </c>
      <c r="L18" s="38">
        <v>0</v>
      </c>
      <c r="M18" s="38">
        <v>0</v>
      </c>
      <c r="N18" s="38">
        <v>0</v>
      </c>
      <c r="O18" s="38">
        <v>0</v>
      </c>
      <c r="P18" s="38">
        <v>3</v>
      </c>
      <c r="Q18" s="34">
        <f t="shared" si="0"/>
        <v>689</v>
      </c>
      <c r="R18" s="34">
        <v>0</v>
      </c>
      <c r="S18" s="34">
        <f t="shared" si="1"/>
        <v>692</v>
      </c>
      <c r="T18" s="34">
        <v>0</v>
      </c>
    </row>
    <row r="19" spans="1:20" s="3" customFormat="1" ht="24" customHeight="1">
      <c r="A19" s="43">
        <v>12</v>
      </c>
      <c r="B19" s="38">
        <v>248</v>
      </c>
      <c r="C19" s="38">
        <v>60</v>
      </c>
      <c r="D19" s="38">
        <v>164</v>
      </c>
      <c r="E19" s="38">
        <v>4</v>
      </c>
      <c r="F19" s="38">
        <v>1</v>
      </c>
      <c r="G19" s="38">
        <v>1</v>
      </c>
      <c r="H19" s="38">
        <v>0</v>
      </c>
      <c r="I19" s="38">
        <v>0</v>
      </c>
      <c r="J19" s="38">
        <v>0</v>
      </c>
      <c r="K19" s="38">
        <v>0</v>
      </c>
      <c r="L19" s="38">
        <v>1</v>
      </c>
      <c r="M19" s="38">
        <v>2</v>
      </c>
      <c r="N19" s="38">
        <v>3</v>
      </c>
      <c r="O19" s="38">
        <v>2</v>
      </c>
      <c r="P19" s="38">
        <v>9</v>
      </c>
      <c r="Q19" s="34">
        <f t="shared" si="0"/>
        <v>486</v>
      </c>
      <c r="R19" s="34">
        <v>0</v>
      </c>
      <c r="S19" s="34">
        <f t="shared" si="1"/>
        <v>495</v>
      </c>
      <c r="T19" s="34">
        <v>0</v>
      </c>
    </row>
    <row r="20" spans="1:20" s="3" customFormat="1" ht="24" customHeight="1">
      <c r="A20" s="43">
        <v>13</v>
      </c>
      <c r="B20" s="38">
        <v>348</v>
      </c>
      <c r="C20" s="38">
        <v>46</v>
      </c>
      <c r="D20" s="38">
        <v>212</v>
      </c>
      <c r="E20" s="38">
        <v>4</v>
      </c>
      <c r="F20" s="38">
        <v>0</v>
      </c>
      <c r="G20" s="38">
        <v>0</v>
      </c>
      <c r="H20" s="38">
        <v>0</v>
      </c>
      <c r="I20" s="38">
        <v>1</v>
      </c>
      <c r="J20" s="38">
        <v>3</v>
      </c>
      <c r="K20" s="38">
        <v>1</v>
      </c>
      <c r="L20" s="38">
        <v>2</v>
      </c>
      <c r="M20" s="38">
        <v>1</v>
      </c>
      <c r="N20" s="38">
        <v>2</v>
      </c>
      <c r="O20" s="38">
        <v>0</v>
      </c>
      <c r="P20" s="38">
        <v>1</v>
      </c>
      <c r="Q20" s="34">
        <f t="shared" si="0"/>
        <v>620</v>
      </c>
      <c r="R20" s="34">
        <v>0</v>
      </c>
      <c r="S20" s="34">
        <f t="shared" si="1"/>
        <v>621</v>
      </c>
      <c r="T20" s="34">
        <v>0</v>
      </c>
    </row>
    <row r="21" spans="1:20" s="3" customFormat="1" ht="24" customHeight="1">
      <c r="A21" s="43">
        <v>14</v>
      </c>
      <c r="B21" s="38">
        <v>254</v>
      </c>
      <c r="C21" s="38">
        <v>41</v>
      </c>
      <c r="D21" s="38">
        <v>226</v>
      </c>
      <c r="E21" s="38">
        <v>1</v>
      </c>
      <c r="F21" s="38">
        <v>0</v>
      </c>
      <c r="G21" s="38">
        <v>1</v>
      </c>
      <c r="H21" s="38">
        <v>0</v>
      </c>
      <c r="I21" s="38">
        <v>0</v>
      </c>
      <c r="J21" s="38">
        <v>9</v>
      </c>
      <c r="K21" s="38">
        <v>0</v>
      </c>
      <c r="L21" s="38">
        <v>1</v>
      </c>
      <c r="M21" s="38">
        <v>0</v>
      </c>
      <c r="N21" s="38">
        <v>1</v>
      </c>
      <c r="O21" s="38">
        <v>1</v>
      </c>
      <c r="P21" s="38">
        <v>1</v>
      </c>
      <c r="Q21" s="34">
        <f t="shared" si="0"/>
        <v>535</v>
      </c>
      <c r="R21" s="34">
        <v>0</v>
      </c>
      <c r="S21" s="34">
        <f t="shared" si="1"/>
        <v>536</v>
      </c>
      <c r="T21" s="34">
        <v>0</v>
      </c>
    </row>
    <row r="22" spans="1:20" s="3" customFormat="1" ht="24" customHeight="1">
      <c r="A22" s="44">
        <v>15</v>
      </c>
      <c r="B22" s="38">
        <v>139</v>
      </c>
      <c r="C22" s="38">
        <v>75</v>
      </c>
      <c r="D22" s="38">
        <v>158</v>
      </c>
      <c r="E22" s="38">
        <v>2</v>
      </c>
      <c r="F22" s="38">
        <v>0</v>
      </c>
      <c r="G22" s="38">
        <v>1</v>
      </c>
      <c r="H22" s="38">
        <v>2</v>
      </c>
      <c r="I22" s="38">
        <v>0</v>
      </c>
      <c r="J22" s="38">
        <v>1</v>
      </c>
      <c r="K22" s="38">
        <v>0</v>
      </c>
      <c r="L22" s="38">
        <v>3</v>
      </c>
      <c r="M22" s="38">
        <v>5</v>
      </c>
      <c r="N22" s="38">
        <v>0</v>
      </c>
      <c r="O22" s="38">
        <v>4</v>
      </c>
      <c r="P22" s="38">
        <v>1</v>
      </c>
      <c r="Q22" s="34">
        <f t="shared" si="0"/>
        <v>390</v>
      </c>
      <c r="R22" s="34">
        <v>0</v>
      </c>
      <c r="S22" s="34">
        <f t="shared" si="1"/>
        <v>391</v>
      </c>
      <c r="T22" s="34">
        <v>0</v>
      </c>
    </row>
    <row r="23" spans="1:20" s="3" customFormat="1" ht="24" customHeight="1">
      <c r="A23" s="44">
        <v>16</v>
      </c>
      <c r="B23" s="38">
        <v>112</v>
      </c>
      <c r="C23" s="38">
        <v>203</v>
      </c>
      <c r="D23" s="38">
        <v>74</v>
      </c>
      <c r="E23" s="38">
        <v>2</v>
      </c>
      <c r="F23" s="38">
        <v>0</v>
      </c>
      <c r="G23" s="38">
        <v>0</v>
      </c>
      <c r="H23" s="38">
        <v>1</v>
      </c>
      <c r="I23" s="38">
        <v>1</v>
      </c>
      <c r="J23" s="38">
        <v>0</v>
      </c>
      <c r="K23" s="38">
        <v>0</v>
      </c>
      <c r="L23" s="38">
        <v>2</v>
      </c>
      <c r="M23" s="38">
        <v>3</v>
      </c>
      <c r="N23" s="38">
        <v>1</v>
      </c>
      <c r="O23" s="38">
        <v>1</v>
      </c>
      <c r="P23" s="38">
        <v>3</v>
      </c>
      <c r="Q23" s="34">
        <f t="shared" si="0"/>
        <v>400</v>
      </c>
      <c r="R23" s="34">
        <v>0</v>
      </c>
      <c r="S23" s="34">
        <f t="shared" si="1"/>
        <v>403</v>
      </c>
      <c r="T23" s="34">
        <v>0</v>
      </c>
    </row>
    <row r="24" spans="1:20" s="3" customFormat="1" ht="24" customHeight="1">
      <c r="A24" s="44">
        <v>17</v>
      </c>
      <c r="B24" s="38">
        <v>291</v>
      </c>
      <c r="C24" s="38">
        <v>61</v>
      </c>
      <c r="D24" s="38">
        <v>49</v>
      </c>
      <c r="E24" s="38">
        <v>0</v>
      </c>
      <c r="F24" s="38">
        <v>1</v>
      </c>
      <c r="G24" s="38">
        <v>1</v>
      </c>
      <c r="H24" s="38">
        <v>0</v>
      </c>
      <c r="I24" s="38">
        <v>2</v>
      </c>
      <c r="J24" s="38">
        <v>2</v>
      </c>
      <c r="K24" s="38">
        <v>1</v>
      </c>
      <c r="L24" s="38">
        <v>2</v>
      </c>
      <c r="M24" s="38">
        <v>2</v>
      </c>
      <c r="N24" s="38">
        <v>3</v>
      </c>
      <c r="O24" s="38">
        <v>3</v>
      </c>
      <c r="P24" s="38">
        <v>2</v>
      </c>
      <c r="Q24" s="34">
        <f t="shared" si="0"/>
        <v>418</v>
      </c>
      <c r="R24" s="34">
        <v>0</v>
      </c>
      <c r="S24" s="34">
        <f t="shared" si="1"/>
        <v>420</v>
      </c>
      <c r="T24" s="34">
        <v>0</v>
      </c>
    </row>
    <row r="25" spans="1:20" s="3" customFormat="1" ht="24" customHeight="1">
      <c r="A25" s="44">
        <v>18</v>
      </c>
      <c r="B25" s="38">
        <v>255</v>
      </c>
      <c r="C25" s="38">
        <v>42</v>
      </c>
      <c r="D25" s="38">
        <v>152</v>
      </c>
      <c r="E25" s="38">
        <v>3</v>
      </c>
      <c r="F25" s="38">
        <v>0</v>
      </c>
      <c r="G25" s="38">
        <v>0</v>
      </c>
      <c r="H25" s="38">
        <v>0</v>
      </c>
      <c r="I25" s="38">
        <v>0</v>
      </c>
      <c r="J25" s="38">
        <v>2</v>
      </c>
      <c r="K25" s="38">
        <v>0</v>
      </c>
      <c r="L25" s="38">
        <v>0</v>
      </c>
      <c r="M25" s="38">
        <v>3</v>
      </c>
      <c r="N25" s="38">
        <v>1</v>
      </c>
      <c r="O25" s="38">
        <v>1</v>
      </c>
      <c r="P25" s="38">
        <v>4</v>
      </c>
      <c r="Q25" s="34">
        <f t="shared" si="0"/>
        <v>459</v>
      </c>
      <c r="R25" s="34">
        <v>0</v>
      </c>
      <c r="S25" s="34">
        <f t="shared" si="1"/>
        <v>463</v>
      </c>
      <c r="T25" s="34">
        <v>0</v>
      </c>
    </row>
    <row r="26" spans="1:20" s="3" customFormat="1" ht="24" customHeight="1">
      <c r="A26" s="44">
        <v>19</v>
      </c>
      <c r="B26" s="38">
        <v>207</v>
      </c>
      <c r="C26" s="38">
        <v>46</v>
      </c>
      <c r="D26" s="38">
        <v>202</v>
      </c>
      <c r="E26" s="38">
        <v>2</v>
      </c>
      <c r="F26" s="38">
        <v>0</v>
      </c>
      <c r="G26" s="38">
        <v>3</v>
      </c>
      <c r="H26" s="38">
        <v>0</v>
      </c>
      <c r="I26" s="38">
        <v>0</v>
      </c>
      <c r="J26" s="38">
        <v>0</v>
      </c>
      <c r="K26" s="38">
        <v>0</v>
      </c>
      <c r="L26" s="38">
        <v>0</v>
      </c>
      <c r="M26" s="38">
        <v>1</v>
      </c>
      <c r="N26" s="38">
        <v>5</v>
      </c>
      <c r="O26" s="38">
        <v>0</v>
      </c>
      <c r="P26" s="38">
        <v>2</v>
      </c>
      <c r="Q26" s="34">
        <f t="shared" si="0"/>
        <v>466</v>
      </c>
      <c r="R26" s="34">
        <v>0</v>
      </c>
      <c r="S26" s="34">
        <f t="shared" si="1"/>
        <v>468</v>
      </c>
      <c r="T26" s="34">
        <v>0</v>
      </c>
    </row>
    <row r="27" spans="1:20" s="3" customFormat="1" ht="24" customHeight="1">
      <c r="A27" s="44">
        <v>20</v>
      </c>
      <c r="B27" s="38">
        <v>196</v>
      </c>
      <c r="C27" s="38">
        <v>27</v>
      </c>
      <c r="D27" s="38">
        <v>134</v>
      </c>
      <c r="E27" s="38">
        <v>1</v>
      </c>
      <c r="F27" s="38">
        <v>1</v>
      </c>
      <c r="G27" s="38">
        <v>0</v>
      </c>
      <c r="H27" s="38">
        <v>0</v>
      </c>
      <c r="I27" s="38">
        <v>5</v>
      </c>
      <c r="J27" s="38">
        <v>1</v>
      </c>
      <c r="K27" s="38">
        <v>1</v>
      </c>
      <c r="L27" s="38">
        <v>0</v>
      </c>
      <c r="M27" s="38">
        <v>1</v>
      </c>
      <c r="N27" s="38">
        <v>1</v>
      </c>
      <c r="O27" s="38">
        <v>1</v>
      </c>
      <c r="P27" s="38">
        <v>1</v>
      </c>
      <c r="Q27" s="34">
        <f t="shared" si="0"/>
        <v>369</v>
      </c>
      <c r="R27" s="34">
        <v>0</v>
      </c>
      <c r="S27" s="34">
        <f t="shared" si="1"/>
        <v>370</v>
      </c>
      <c r="T27" s="34">
        <v>0</v>
      </c>
    </row>
    <row r="28" spans="1:20" s="3" customFormat="1" ht="24" customHeight="1">
      <c r="A28" s="44">
        <v>21</v>
      </c>
      <c r="B28" s="38">
        <v>82</v>
      </c>
      <c r="C28" s="38">
        <v>2</v>
      </c>
      <c r="D28" s="38">
        <v>226</v>
      </c>
      <c r="E28" s="38">
        <v>6</v>
      </c>
      <c r="F28" s="38">
        <v>1</v>
      </c>
      <c r="G28" s="38">
        <v>0</v>
      </c>
      <c r="H28" s="38">
        <v>1</v>
      </c>
      <c r="I28" s="38">
        <v>0</v>
      </c>
      <c r="J28" s="38">
        <v>30</v>
      </c>
      <c r="K28" s="38">
        <v>0</v>
      </c>
      <c r="L28" s="38">
        <v>0</v>
      </c>
      <c r="M28" s="38">
        <v>0</v>
      </c>
      <c r="N28" s="38">
        <v>1</v>
      </c>
      <c r="O28" s="38">
        <v>0</v>
      </c>
      <c r="P28" s="38">
        <v>3</v>
      </c>
      <c r="Q28" s="34">
        <f t="shared" si="0"/>
        <v>349</v>
      </c>
      <c r="R28" s="34">
        <v>0</v>
      </c>
      <c r="S28" s="34">
        <f t="shared" si="1"/>
        <v>352</v>
      </c>
      <c r="T28" s="34">
        <v>0</v>
      </c>
    </row>
    <row r="29" spans="1:20" s="3" customFormat="1" ht="24" customHeight="1">
      <c r="A29" s="44">
        <v>22</v>
      </c>
      <c r="B29" s="38">
        <v>150</v>
      </c>
      <c r="C29" s="38">
        <v>46</v>
      </c>
      <c r="D29" s="38">
        <v>115</v>
      </c>
      <c r="E29" s="38">
        <v>0</v>
      </c>
      <c r="F29" s="38">
        <v>0</v>
      </c>
      <c r="G29" s="38">
        <v>1</v>
      </c>
      <c r="H29" s="38">
        <v>0</v>
      </c>
      <c r="I29" s="38">
        <v>1</v>
      </c>
      <c r="J29" s="38">
        <v>7</v>
      </c>
      <c r="K29" s="38">
        <v>1</v>
      </c>
      <c r="L29" s="38">
        <v>0</v>
      </c>
      <c r="M29" s="38">
        <v>0</v>
      </c>
      <c r="N29" s="38">
        <v>1</v>
      </c>
      <c r="O29" s="38">
        <v>1</v>
      </c>
      <c r="P29" s="38">
        <v>2</v>
      </c>
      <c r="Q29" s="34">
        <f t="shared" si="0"/>
        <v>323</v>
      </c>
      <c r="R29" s="34">
        <v>0</v>
      </c>
      <c r="S29" s="34">
        <f t="shared" si="1"/>
        <v>325</v>
      </c>
      <c r="T29" s="34">
        <v>0</v>
      </c>
    </row>
    <row r="30" spans="1:20" s="3" customFormat="1" ht="24" customHeight="1">
      <c r="A30" s="44">
        <v>23</v>
      </c>
      <c r="B30" s="38">
        <v>224</v>
      </c>
      <c r="C30" s="38">
        <v>43</v>
      </c>
      <c r="D30" s="38">
        <v>176</v>
      </c>
      <c r="E30" s="38">
        <v>0</v>
      </c>
      <c r="F30" s="38">
        <v>0</v>
      </c>
      <c r="G30" s="38">
        <v>1</v>
      </c>
      <c r="H30" s="38">
        <v>0</v>
      </c>
      <c r="I30" s="38">
        <v>0</v>
      </c>
      <c r="J30" s="38">
        <v>4</v>
      </c>
      <c r="K30" s="38">
        <v>0</v>
      </c>
      <c r="L30" s="38">
        <v>2</v>
      </c>
      <c r="M30" s="38">
        <v>3</v>
      </c>
      <c r="N30" s="38">
        <v>0</v>
      </c>
      <c r="O30" s="38">
        <v>1</v>
      </c>
      <c r="P30" s="38">
        <v>4</v>
      </c>
      <c r="Q30" s="34">
        <f t="shared" si="0"/>
        <v>454</v>
      </c>
      <c r="R30" s="34">
        <v>0</v>
      </c>
      <c r="S30" s="34">
        <f t="shared" si="1"/>
        <v>458</v>
      </c>
      <c r="T30" s="34">
        <v>0</v>
      </c>
    </row>
    <row r="31" spans="1:20" s="3" customFormat="1" ht="24" customHeight="1">
      <c r="A31" s="44">
        <v>24</v>
      </c>
      <c r="B31" s="38">
        <v>109</v>
      </c>
      <c r="C31" s="38">
        <v>19</v>
      </c>
      <c r="D31" s="38">
        <v>375</v>
      </c>
      <c r="E31" s="38">
        <v>2</v>
      </c>
      <c r="F31" s="38">
        <v>2</v>
      </c>
      <c r="G31" s="38">
        <v>0</v>
      </c>
      <c r="H31" s="38">
        <v>0</v>
      </c>
      <c r="I31" s="38">
        <v>1</v>
      </c>
      <c r="J31" s="38">
        <v>27</v>
      </c>
      <c r="K31" s="38">
        <v>2</v>
      </c>
      <c r="L31" s="38">
        <v>0</v>
      </c>
      <c r="M31" s="38">
        <v>1</v>
      </c>
      <c r="N31" s="38">
        <v>3</v>
      </c>
      <c r="O31" s="38">
        <v>1</v>
      </c>
      <c r="P31" s="38">
        <v>4</v>
      </c>
      <c r="Q31" s="34">
        <f t="shared" si="0"/>
        <v>542</v>
      </c>
      <c r="R31" s="34">
        <v>0</v>
      </c>
      <c r="S31" s="34">
        <f t="shared" si="1"/>
        <v>546</v>
      </c>
      <c r="T31" s="34">
        <v>0</v>
      </c>
    </row>
    <row r="32" spans="1:20" s="3" customFormat="1" ht="24" customHeight="1">
      <c r="A32" s="44">
        <v>25</v>
      </c>
      <c r="B32" s="38">
        <v>299</v>
      </c>
      <c r="C32" s="38">
        <v>27</v>
      </c>
      <c r="D32" s="38">
        <v>192</v>
      </c>
      <c r="E32" s="38">
        <v>2</v>
      </c>
      <c r="F32" s="38">
        <v>1</v>
      </c>
      <c r="G32" s="38">
        <v>1</v>
      </c>
      <c r="H32" s="38">
        <v>0</v>
      </c>
      <c r="I32" s="38">
        <v>1</v>
      </c>
      <c r="J32" s="38">
        <v>0</v>
      </c>
      <c r="K32" s="38">
        <v>1</v>
      </c>
      <c r="L32" s="38">
        <v>2</v>
      </c>
      <c r="M32" s="38">
        <v>0</v>
      </c>
      <c r="N32" s="38">
        <v>0</v>
      </c>
      <c r="O32" s="38">
        <v>1</v>
      </c>
      <c r="P32" s="38">
        <v>11</v>
      </c>
      <c r="Q32" s="34">
        <f t="shared" si="0"/>
        <v>527</v>
      </c>
      <c r="R32" s="34">
        <v>0</v>
      </c>
      <c r="S32" s="34">
        <f t="shared" si="1"/>
        <v>538</v>
      </c>
      <c r="T32" s="34">
        <v>0</v>
      </c>
    </row>
    <row r="33" spans="1:20" s="3" customFormat="1" ht="24" customHeight="1">
      <c r="A33" s="44">
        <v>26</v>
      </c>
      <c r="B33" s="38">
        <v>192</v>
      </c>
      <c r="C33" s="38">
        <v>10</v>
      </c>
      <c r="D33" s="38">
        <v>219</v>
      </c>
      <c r="E33" s="38">
        <v>1</v>
      </c>
      <c r="F33" s="38">
        <v>2</v>
      </c>
      <c r="G33" s="38">
        <v>0</v>
      </c>
      <c r="H33" s="38">
        <v>0</v>
      </c>
      <c r="I33" s="38">
        <v>0</v>
      </c>
      <c r="J33" s="38">
        <v>2</v>
      </c>
      <c r="K33" s="38">
        <v>0</v>
      </c>
      <c r="L33" s="38">
        <v>3</v>
      </c>
      <c r="M33" s="38">
        <v>2</v>
      </c>
      <c r="N33" s="38">
        <v>0</v>
      </c>
      <c r="O33" s="38">
        <v>1</v>
      </c>
      <c r="P33" s="38">
        <v>0</v>
      </c>
      <c r="Q33" s="34">
        <f t="shared" si="0"/>
        <v>432</v>
      </c>
      <c r="R33" s="34">
        <v>0</v>
      </c>
      <c r="S33" s="34">
        <f t="shared" si="1"/>
        <v>432</v>
      </c>
      <c r="T33" s="34">
        <v>0</v>
      </c>
    </row>
    <row r="34" spans="1:20" s="3" customFormat="1" ht="24" customHeight="1">
      <c r="A34" s="44">
        <v>27</v>
      </c>
      <c r="B34" s="38">
        <v>303</v>
      </c>
      <c r="C34" s="38">
        <v>92</v>
      </c>
      <c r="D34" s="38">
        <v>241</v>
      </c>
      <c r="E34" s="38">
        <v>3</v>
      </c>
      <c r="F34" s="38">
        <v>0</v>
      </c>
      <c r="G34" s="38">
        <v>0</v>
      </c>
      <c r="H34" s="38">
        <v>1</v>
      </c>
      <c r="I34" s="38">
        <v>1</v>
      </c>
      <c r="J34" s="38">
        <v>1</v>
      </c>
      <c r="K34" s="38">
        <v>1</v>
      </c>
      <c r="L34" s="38">
        <v>2</v>
      </c>
      <c r="M34" s="38">
        <v>2</v>
      </c>
      <c r="N34" s="38">
        <v>3</v>
      </c>
      <c r="O34" s="38">
        <v>0</v>
      </c>
      <c r="P34" s="38">
        <v>2</v>
      </c>
      <c r="Q34" s="34">
        <f t="shared" si="0"/>
        <v>650</v>
      </c>
      <c r="R34" s="34">
        <v>0</v>
      </c>
      <c r="S34" s="34">
        <f t="shared" si="1"/>
        <v>652</v>
      </c>
      <c r="T34" s="34">
        <v>0</v>
      </c>
    </row>
    <row r="35" spans="1:20" s="3" customFormat="1" ht="24" customHeight="1">
      <c r="A35" s="44">
        <v>28</v>
      </c>
      <c r="B35" s="38">
        <v>276</v>
      </c>
      <c r="C35" s="38">
        <v>3</v>
      </c>
      <c r="D35" s="38">
        <v>141</v>
      </c>
      <c r="E35" s="38">
        <v>1</v>
      </c>
      <c r="F35" s="38">
        <v>1</v>
      </c>
      <c r="G35" s="38">
        <v>1</v>
      </c>
      <c r="H35" s="38">
        <v>0</v>
      </c>
      <c r="I35" s="38">
        <v>0</v>
      </c>
      <c r="J35" s="38">
        <v>2</v>
      </c>
      <c r="K35" s="38">
        <v>0</v>
      </c>
      <c r="L35" s="38">
        <v>1</v>
      </c>
      <c r="M35" s="38">
        <v>2</v>
      </c>
      <c r="N35" s="38">
        <v>1</v>
      </c>
      <c r="O35" s="38">
        <v>1</v>
      </c>
      <c r="P35" s="38">
        <v>3</v>
      </c>
      <c r="Q35" s="34">
        <f t="shared" si="0"/>
        <v>430</v>
      </c>
      <c r="R35" s="34">
        <v>0</v>
      </c>
      <c r="S35" s="34">
        <f t="shared" si="1"/>
        <v>433</v>
      </c>
      <c r="T35" s="34">
        <v>0</v>
      </c>
    </row>
    <row r="36" spans="1:20" s="3" customFormat="1" ht="24" customHeight="1">
      <c r="A36" s="45">
        <v>29</v>
      </c>
      <c r="B36" s="38">
        <v>288</v>
      </c>
      <c r="C36" s="38">
        <v>3</v>
      </c>
      <c r="D36" s="38">
        <v>65</v>
      </c>
      <c r="E36" s="38">
        <v>2</v>
      </c>
      <c r="F36" s="38">
        <v>0</v>
      </c>
      <c r="G36" s="38">
        <v>0</v>
      </c>
      <c r="H36" s="38">
        <v>0</v>
      </c>
      <c r="I36" s="38">
        <v>0</v>
      </c>
      <c r="J36" s="38">
        <v>5</v>
      </c>
      <c r="K36" s="38">
        <v>0</v>
      </c>
      <c r="L36" s="38">
        <v>0</v>
      </c>
      <c r="M36" s="38">
        <v>3</v>
      </c>
      <c r="N36" s="38">
        <v>1</v>
      </c>
      <c r="O36" s="38">
        <v>0</v>
      </c>
      <c r="P36" s="38">
        <v>6</v>
      </c>
      <c r="Q36" s="34">
        <f t="shared" si="0"/>
        <v>367</v>
      </c>
      <c r="R36" s="34">
        <v>0</v>
      </c>
      <c r="S36" s="34">
        <f t="shared" si="1"/>
        <v>373</v>
      </c>
      <c r="T36" s="34">
        <v>0</v>
      </c>
    </row>
    <row r="37" spans="1:20" s="3" customFormat="1" ht="24" customHeight="1">
      <c r="A37" s="45">
        <v>30</v>
      </c>
      <c r="B37" s="38">
        <v>150</v>
      </c>
      <c r="C37" s="38">
        <v>163</v>
      </c>
      <c r="D37" s="38">
        <v>177</v>
      </c>
      <c r="E37" s="38">
        <v>5</v>
      </c>
      <c r="F37" s="38">
        <v>2</v>
      </c>
      <c r="G37" s="38">
        <v>0</v>
      </c>
      <c r="H37" s="38">
        <v>1</v>
      </c>
      <c r="I37" s="38">
        <v>0</v>
      </c>
      <c r="J37" s="38">
        <v>0</v>
      </c>
      <c r="K37" s="38">
        <v>0</v>
      </c>
      <c r="L37" s="38">
        <v>0</v>
      </c>
      <c r="M37" s="38">
        <v>6</v>
      </c>
      <c r="N37" s="38">
        <v>1</v>
      </c>
      <c r="O37" s="38">
        <v>3</v>
      </c>
      <c r="P37" s="38">
        <v>3</v>
      </c>
      <c r="Q37" s="34">
        <f t="shared" si="0"/>
        <v>508</v>
      </c>
      <c r="R37" s="34">
        <v>0</v>
      </c>
      <c r="S37" s="34">
        <f t="shared" si="1"/>
        <v>511</v>
      </c>
      <c r="T37" s="34">
        <v>0</v>
      </c>
    </row>
    <row r="38" spans="1:20" s="3" customFormat="1" ht="24" customHeight="1">
      <c r="A38" s="45">
        <v>31</v>
      </c>
      <c r="B38" s="38">
        <v>214</v>
      </c>
      <c r="C38" s="38">
        <v>34</v>
      </c>
      <c r="D38" s="38">
        <v>194</v>
      </c>
      <c r="E38" s="38">
        <v>8</v>
      </c>
      <c r="F38" s="38">
        <v>5</v>
      </c>
      <c r="G38" s="38">
        <v>3</v>
      </c>
      <c r="H38" s="38">
        <v>3</v>
      </c>
      <c r="I38" s="38">
        <v>3</v>
      </c>
      <c r="J38" s="38">
        <v>4</v>
      </c>
      <c r="K38" s="38">
        <v>3</v>
      </c>
      <c r="L38" s="38">
        <v>4</v>
      </c>
      <c r="M38" s="38">
        <v>3</v>
      </c>
      <c r="N38" s="38">
        <v>3</v>
      </c>
      <c r="O38" s="38">
        <v>3</v>
      </c>
      <c r="P38" s="38">
        <v>6</v>
      </c>
      <c r="Q38" s="34">
        <f t="shared" si="0"/>
        <v>484</v>
      </c>
      <c r="R38" s="34">
        <v>0</v>
      </c>
      <c r="S38" s="34">
        <f t="shared" si="1"/>
        <v>490</v>
      </c>
      <c r="T38" s="34">
        <v>0</v>
      </c>
    </row>
    <row r="39" spans="1:20" s="3" customFormat="1" ht="24" customHeight="1">
      <c r="A39" s="45">
        <v>32</v>
      </c>
      <c r="B39" s="38">
        <v>206</v>
      </c>
      <c r="C39" s="38">
        <v>31</v>
      </c>
      <c r="D39" s="38">
        <v>248</v>
      </c>
      <c r="E39" s="38">
        <v>2</v>
      </c>
      <c r="F39" s="38">
        <v>0</v>
      </c>
      <c r="G39" s="38">
        <v>0</v>
      </c>
      <c r="H39" s="38">
        <v>0</v>
      </c>
      <c r="I39" s="38">
        <v>2</v>
      </c>
      <c r="J39" s="38">
        <v>8</v>
      </c>
      <c r="K39" s="38">
        <v>2</v>
      </c>
      <c r="L39" s="38">
        <v>1</v>
      </c>
      <c r="M39" s="38">
        <v>1</v>
      </c>
      <c r="N39" s="38">
        <v>0</v>
      </c>
      <c r="O39" s="38">
        <v>2</v>
      </c>
      <c r="P39" s="38">
        <v>3</v>
      </c>
      <c r="Q39" s="34">
        <f t="shared" si="0"/>
        <v>503</v>
      </c>
      <c r="R39" s="34">
        <v>0</v>
      </c>
      <c r="S39" s="34">
        <f t="shared" si="1"/>
        <v>506</v>
      </c>
      <c r="T39" s="34">
        <v>0</v>
      </c>
    </row>
    <row r="40" spans="1:20" s="3" customFormat="1" ht="24" customHeight="1">
      <c r="A40" s="45">
        <v>33</v>
      </c>
      <c r="B40" s="38">
        <v>145</v>
      </c>
      <c r="C40" s="38">
        <v>11</v>
      </c>
      <c r="D40" s="38">
        <v>420</v>
      </c>
      <c r="E40" s="38">
        <v>3</v>
      </c>
      <c r="F40" s="38">
        <v>0</v>
      </c>
      <c r="G40" s="38">
        <v>0</v>
      </c>
      <c r="H40" s="38">
        <v>0</v>
      </c>
      <c r="I40" s="38">
        <v>2</v>
      </c>
      <c r="J40" s="38">
        <v>9</v>
      </c>
      <c r="K40" s="38">
        <v>1</v>
      </c>
      <c r="L40" s="38">
        <v>0</v>
      </c>
      <c r="M40" s="38">
        <v>7</v>
      </c>
      <c r="N40" s="38">
        <v>3</v>
      </c>
      <c r="O40" s="38">
        <v>1</v>
      </c>
      <c r="P40" s="38">
        <v>5</v>
      </c>
      <c r="Q40" s="34">
        <f t="shared" si="0"/>
        <v>602</v>
      </c>
      <c r="R40" s="34">
        <v>0</v>
      </c>
      <c r="S40" s="34">
        <f t="shared" si="1"/>
        <v>607</v>
      </c>
      <c r="T40" s="34">
        <v>0</v>
      </c>
    </row>
    <row r="41" spans="1:20" s="3" customFormat="1" ht="24" customHeight="1">
      <c r="A41" s="45">
        <v>34</v>
      </c>
      <c r="B41" s="38">
        <v>184</v>
      </c>
      <c r="C41" s="38">
        <v>50</v>
      </c>
      <c r="D41" s="38">
        <v>227</v>
      </c>
      <c r="E41" s="38">
        <v>3</v>
      </c>
      <c r="F41" s="38">
        <v>0</v>
      </c>
      <c r="G41" s="38">
        <v>0</v>
      </c>
      <c r="H41" s="38">
        <v>0</v>
      </c>
      <c r="I41" s="38">
        <v>1</v>
      </c>
      <c r="J41" s="38">
        <v>3</v>
      </c>
      <c r="K41" s="38">
        <v>1</v>
      </c>
      <c r="L41" s="38">
        <v>2</v>
      </c>
      <c r="M41" s="38">
        <v>4</v>
      </c>
      <c r="N41" s="38">
        <v>8</v>
      </c>
      <c r="O41" s="38">
        <v>6</v>
      </c>
      <c r="P41" s="38">
        <v>8</v>
      </c>
      <c r="Q41" s="34">
        <f t="shared" si="0"/>
        <v>489</v>
      </c>
      <c r="R41" s="34">
        <v>0</v>
      </c>
      <c r="S41" s="34">
        <f t="shared" si="1"/>
        <v>497</v>
      </c>
      <c r="T41" s="34">
        <v>0</v>
      </c>
    </row>
    <row r="42" spans="1:20" s="3" customFormat="1" ht="24" customHeight="1">
      <c r="A42" s="45">
        <v>35</v>
      </c>
      <c r="B42" s="38">
        <v>568</v>
      </c>
      <c r="C42" s="38">
        <v>29</v>
      </c>
      <c r="D42" s="38">
        <v>34</v>
      </c>
      <c r="E42" s="38">
        <v>4</v>
      </c>
      <c r="F42" s="38">
        <v>0</v>
      </c>
      <c r="G42" s="38">
        <v>0</v>
      </c>
      <c r="H42" s="38">
        <v>1</v>
      </c>
      <c r="I42" s="38">
        <v>0</v>
      </c>
      <c r="J42" s="38">
        <v>0</v>
      </c>
      <c r="K42" s="38">
        <v>1</v>
      </c>
      <c r="L42" s="38">
        <v>0</v>
      </c>
      <c r="M42" s="38">
        <v>0</v>
      </c>
      <c r="N42" s="38">
        <v>0</v>
      </c>
      <c r="O42" s="38">
        <v>0</v>
      </c>
      <c r="P42" s="38">
        <v>4</v>
      </c>
      <c r="Q42" s="34">
        <f t="shared" si="0"/>
        <v>637</v>
      </c>
      <c r="R42" s="34">
        <v>0</v>
      </c>
      <c r="S42" s="34">
        <f t="shared" si="1"/>
        <v>641</v>
      </c>
      <c r="T42" s="34">
        <v>0</v>
      </c>
    </row>
    <row r="43" spans="1:20" s="3" customFormat="1" ht="24" customHeight="1">
      <c r="A43" s="45">
        <v>36</v>
      </c>
      <c r="B43" s="38">
        <v>386</v>
      </c>
      <c r="C43" s="38">
        <v>29</v>
      </c>
      <c r="D43" s="38">
        <v>58</v>
      </c>
      <c r="E43" s="38">
        <v>1</v>
      </c>
      <c r="F43" s="38">
        <v>0</v>
      </c>
      <c r="G43" s="38">
        <v>0</v>
      </c>
      <c r="H43" s="38">
        <v>0</v>
      </c>
      <c r="I43" s="38">
        <v>1</v>
      </c>
      <c r="J43" s="38">
        <v>4</v>
      </c>
      <c r="K43" s="38">
        <v>1</v>
      </c>
      <c r="L43" s="38">
        <v>4</v>
      </c>
      <c r="M43" s="38">
        <v>3</v>
      </c>
      <c r="N43" s="38">
        <v>0</v>
      </c>
      <c r="O43" s="38">
        <v>1</v>
      </c>
      <c r="P43" s="38">
        <v>2</v>
      </c>
      <c r="Q43" s="34">
        <f t="shared" si="0"/>
        <v>488</v>
      </c>
      <c r="R43" s="34">
        <v>0</v>
      </c>
      <c r="S43" s="34">
        <f t="shared" si="1"/>
        <v>490</v>
      </c>
      <c r="T43" s="34">
        <v>0</v>
      </c>
    </row>
    <row r="44" spans="1:20" s="3" customFormat="1" ht="24" customHeight="1">
      <c r="A44" s="45">
        <v>37</v>
      </c>
      <c r="B44" s="38">
        <v>216</v>
      </c>
      <c r="C44" s="38">
        <v>25</v>
      </c>
      <c r="D44" s="38">
        <v>228</v>
      </c>
      <c r="E44" s="38">
        <v>5</v>
      </c>
      <c r="F44" s="38">
        <v>1</v>
      </c>
      <c r="G44" s="38">
        <v>1</v>
      </c>
      <c r="H44" s="38">
        <v>1</v>
      </c>
      <c r="I44" s="38">
        <v>1</v>
      </c>
      <c r="J44" s="38">
        <v>37</v>
      </c>
      <c r="K44" s="38">
        <v>0</v>
      </c>
      <c r="L44" s="38">
        <v>0</v>
      </c>
      <c r="M44" s="38">
        <v>2</v>
      </c>
      <c r="N44" s="38">
        <v>2</v>
      </c>
      <c r="O44" s="38">
        <v>0</v>
      </c>
      <c r="P44" s="38">
        <v>3</v>
      </c>
      <c r="Q44" s="34">
        <f t="shared" si="0"/>
        <v>519</v>
      </c>
      <c r="R44" s="34">
        <v>0</v>
      </c>
      <c r="S44" s="34">
        <f t="shared" si="1"/>
        <v>522</v>
      </c>
      <c r="T44" s="34">
        <v>0</v>
      </c>
    </row>
    <row r="45" spans="1:20" s="3" customFormat="1" ht="24" customHeight="1">
      <c r="A45" s="45">
        <v>38</v>
      </c>
      <c r="B45" s="38">
        <v>211</v>
      </c>
      <c r="C45" s="38">
        <v>24</v>
      </c>
      <c r="D45" s="38">
        <v>208</v>
      </c>
      <c r="E45" s="38">
        <v>1</v>
      </c>
      <c r="F45" s="38">
        <v>0</v>
      </c>
      <c r="G45" s="38">
        <v>1</v>
      </c>
      <c r="H45" s="38">
        <v>1</v>
      </c>
      <c r="I45" s="38">
        <v>0</v>
      </c>
      <c r="J45" s="38">
        <v>48</v>
      </c>
      <c r="K45" s="38">
        <v>0</v>
      </c>
      <c r="L45" s="38">
        <v>0</v>
      </c>
      <c r="M45" s="38">
        <v>0</v>
      </c>
      <c r="N45" s="38">
        <v>3</v>
      </c>
      <c r="O45" s="38">
        <v>0</v>
      </c>
      <c r="P45" s="38">
        <v>2</v>
      </c>
      <c r="Q45" s="34">
        <f t="shared" si="0"/>
        <v>497</v>
      </c>
      <c r="R45" s="34">
        <v>0</v>
      </c>
      <c r="S45" s="34">
        <f t="shared" si="1"/>
        <v>499</v>
      </c>
      <c r="T45" s="34">
        <v>0</v>
      </c>
    </row>
    <row r="46" spans="1:20" s="3" customFormat="1" ht="24" customHeight="1">
      <c r="A46" s="45">
        <v>39</v>
      </c>
      <c r="B46" s="38">
        <v>171</v>
      </c>
      <c r="C46" s="38">
        <v>9</v>
      </c>
      <c r="D46" s="38">
        <v>437</v>
      </c>
      <c r="E46" s="38">
        <v>5</v>
      </c>
      <c r="F46" s="38">
        <v>0</v>
      </c>
      <c r="G46" s="38">
        <v>0</v>
      </c>
      <c r="H46" s="38">
        <v>0</v>
      </c>
      <c r="I46" s="38">
        <v>2</v>
      </c>
      <c r="J46" s="38">
        <v>37</v>
      </c>
      <c r="K46" s="38">
        <v>0</v>
      </c>
      <c r="L46" s="38">
        <v>0</v>
      </c>
      <c r="M46" s="38">
        <v>1</v>
      </c>
      <c r="N46" s="38">
        <v>0</v>
      </c>
      <c r="O46" s="38">
        <v>1</v>
      </c>
      <c r="P46" s="38">
        <v>1</v>
      </c>
      <c r="Q46" s="34">
        <f t="shared" si="0"/>
        <v>663</v>
      </c>
      <c r="R46" s="34">
        <v>0</v>
      </c>
      <c r="S46" s="34">
        <f t="shared" si="1"/>
        <v>664</v>
      </c>
      <c r="T46" s="34">
        <v>0</v>
      </c>
    </row>
    <row r="47" spans="1:20" s="3" customFormat="1" ht="24" customHeight="1">
      <c r="A47" s="45">
        <v>40</v>
      </c>
      <c r="B47" s="38">
        <v>177</v>
      </c>
      <c r="C47" s="38">
        <v>3</v>
      </c>
      <c r="D47" s="38">
        <v>194</v>
      </c>
      <c r="E47" s="38">
        <v>0</v>
      </c>
      <c r="F47" s="38">
        <v>0</v>
      </c>
      <c r="G47" s="38">
        <v>0</v>
      </c>
      <c r="H47" s="38">
        <v>4</v>
      </c>
      <c r="I47" s="38">
        <v>1</v>
      </c>
      <c r="J47" s="38">
        <v>72</v>
      </c>
      <c r="K47" s="38">
        <v>2</v>
      </c>
      <c r="L47" s="38">
        <v>0</v>
      </c>
      <c r="M47" s="38">
        <v>1</v>
      </c>
      <c r="N47" s="38">
        <v>1</v>
      </c>
      <c r="O47" s="38">
        <v>0</v>
      </c>
      <c r="P47" s="38">
        <v>0</v>
      </c>
      <c r="Q47" s="34">
        <f t="shared" si="0"/>
        <v>455</v>
      </c>
      <c r="R47" s="34">
        <v>0</v>
      </c>
      <c r="S47" s="34">
        <f t="shared" si="1"/>
        <v>455</v>
      </c>
      <c r="T47" s="34">
        <v>0</v>
      </c>
    </row>
    <row r="48" spans="1:20" s="3" customFormat="1" ht="24" customHeight="1">
      <c r="A48" s="45">
        <v>41</v>
      </c>
      <c r="B48" s="38">
        <v>144</v>
      </c>
      <c r="C48" s="38">
        <v>53</v>
      </c>
      <c r="D48" s="38">
        <v>279</v>
      </c>
      <c r="E48" s="38">
        <v>6</v>
      </c>
      <c r="F48" s="38">
        <v>0</v>
      </c>
      <c r="G48" s="38">
        <v>0</v>
      </c>
      <c r="H48" s="38">
        <v>2</v>
      </c>
      <c r="I48" s="38">
        <v>1</v>
      </c>
      <c r="J48" s="38">
        <v>72</v>
      </c>
      <c r="K48" s="38">
        <v>0</v>
      </c>
      <c r="L48" s="38">
        <v>1</v>
      </c>
      <c r="M48" s="38">
        <v>2</v>
      </c>
      <c r="N48" s="38">
        <v>3</v>
      </c>
      <c r="O48" s="38">
        <v>1</v>
      </c>
      <c r="P48" s="38">
        <v>4</v>
      </c>
      <c r="Q48" s="34">
        <f t="shared" si="0"/>
        <v>564</v>
      </c>
      <c r="R48" s="34">
        <v>0</v>
      </c>
      <c r="S48" s="34">
        <f t="shared" si="1"/>
        <v>568</v>
      </c>
      <c r="T48" s="34">
        <v>0</v>
      </c>
    </row>
    <row r="49" spans="1:20" s="3" customFormat="1" ht="24" customHeight="1">
      <c r="A49" s="45">
        <v>42</v>
      </c>
      <c r="B49" s="38">
        <v>256</v>
      </c>
      <c r="C49" s="38">
        <v>61</v>
      </c>
      <c r="D49" s="38">
        <v>87</v>
      </c>
      <c r="E49" s="38">
        <v>1</v>
      </c>
      <c r="F49" s="38">
        <v>0</v>
      </c>
      <c r="G49" s="38">
        <v>0</v>
      </c>
      <c r="H49" s="38">
        <v>0</v>
      </c>
      <c r="I49" s="38">
        <v>0</v>
      </c>
      <c r="J49" s="38">
        <v>0</v>
      </c>
      <c r="K49" s="38">
        <v>1</v>
      </c>
      <c r="L49" s="38">
        <v>0</v>
      </c>
      <c r="M49" s="38">
        <v>1</v>
      </c>
      <c r="N49" s="38">
        <v>2</v>
      </c>
      <c r="O49" s="38">
        <v>0</v>
      </c>
      <c r="P49" s="38">
        <v>2</v>
      </c>
      <c r="Q49" s="34">
        <f t="shared" si="0"/>
        <v>409</v>
      </c>
      <c r="R49" s="34">
        <v>0</v>
      </c>
      <c r="S49" s="34">
        <f t="shared" si="1"/>
        <v>411</v>
      </c>
      <c r="T49" s="34">
        <v>0</v>
      </c>
    </row>
    <row r="50" spans="1:20" s="3" customFormat="1" ht="24" customHeight="1">
      <c r="A50" s="46">
        <v>43</v>
      </c>
      <c r="B50" s="38">
        <v>238</v>
      </c>
      <c r="C50" s="38">
        <v>9</v>
      </c>
      <c r="D50" s="38">
        <v>119</v>
      </c>
      <c r="E50" s="38">
        <v>3</v>
      </c>
      <c r="F50" s="38">
        <v>0</v>
      </c>
      <c r="G50" s="38">
        <v>0</v>
      </c>
      <c r="H50" s="38">
        <v>0</v>
      </c>
      <c r="I50" s="38">
        <v>0</v>
      </c>
      <c r="J50" s="38">
        <v>11</v>
      </c>
      <c r="K50" s="38">
        <v>0</v>
      </c>
      <c r="L50" s="38">
        <v>2</v>
      </c>
      <c r="M50" s="38">
        <v>1</v>
      </c>
      <c r="N50" s="38">
        <v>3</v>
      </c>
      <c r="O50" s="38">
        <v>0</v>
      </c>
      <c r="P50" s="38">
        <v>2</v>
      </c>
      <c r="Q50" s="34">
        <f t="shared" si="0"/>
        <v>386</v>
      </c>
      <c r="R50" s="34">
        <v>0</v>
      </c>
      <c r="S50" s="34">
        <f t="shared" si="1"/>
        <v>388</v>
      </c>
      <c r="T50" s="34">
        <v>0</v>
      </c>
    </row>
    <row r="51" spans="1:20" s="3" customFormat="1" ht="24" customHeight="1">
      <c r="A51" s="46">
        <v>44</v>
      </c>
      <c r="B51" s="38">
        <v>319</v>
      </c>
      <c r="C51" s="38">
        <v>23</v>
      </c>
      <c r="D51" s="38">
        <v>265</v>
      </c>
      <c r="E51" s="38">
        <v>4</v>
      </c>
      <c r="F51" s="38">
        <v>0</v>
      </c>
      <c r="G51" s="38">
        <v>1</v>
      </c>
      <c r="H51" s="38">
        <v>2</v>
      </c>
      <c r="I51" s="38">
        <v>1</v>
      </c>
      <c r="J51" s="38">
        <v>4</v>
      </c>
      <c r="K51" s="38">
        <v>0</v>
      </c>
      <c r="L51" s="38">
        <v>0</v>
      </c>
      <c r="M51" s="38">
        <v>2</v>
      </c>
      <c r="N51" s="38">
        <v>2</v>
      </c>
      <c r="O51" s="38">
        <v>1</v>
      </c>
      <c r="P51" s="38">
        <v>8</v>
      </c>
      <c r="Q51" s="34">
        <f t="shared" si="0"/>
        <v>624</v>
      </c>
      <c r="R51" s="34">
        <v>0</v>
      </c>
      <c r="S51" s="34">
        <f t="shared" si="1"/>
        <v>632</v>
      </c>
      <c r="T51" s="34">
        <v>0</v>
      </c>
    </row>
    <row r="52" spans="1:20" s="3" customFormat="1" ht="24" customHeight="1">
      <c r="A52" s="46">
        <v>45</v>
      </c>
      <c r="B52" s="38">
        <v>324</v>
      </c>
      <c r="C52" s="38">
        <v>17</v>
      </c>
      <c r="D52" s="38">
        <v>104</v>
      </c>
      <c r="E52" s="38">
        <v>0</v>
      </c>
      <c r="F52" s="38">
        <v>0</v>
      </c>
      <c r="G52" s="38">
        <v>1</v>
      </c>
      <c r="H52" s="38">
        <v>0</v>
      </c>
      <c r="I52" s="38">
        <v>0</v>
      </c>
      <c r="J52" s="38">
        <v>1</v>
      </c>
      <c r="K52" s="38">
        <v>0</v>
      </c>
      <c r="L52" s="38">
        <v>0</v>
      </c>
      <c r="M52" s="38">
        <v>1</v>
      </c>
      <c r="N52" s="38">
        <v>3</v>
      </c>
      <c r="O52" s="38">
        <v>0</v>
      </c>
      <c r="P52" s="38">
        <v>6</v>
      </c>
      <c r="Q52" s="34">
        <f t="shared" si="0"/>
        <v>451</v>
      </c>
      <c r="R52" s="34">
        <v>0</v>
      </c>
      <c r="S52" s="34">
        <f t="shared" si="1"/>
        <v>457</v>
      </c>
      <c r="T52" s="34">
        <v>0</v>
      </c>
    </row>
    <row r="53" spans="1:20" s="3" customFormat="1" ht="24" customHeight="1">
      <c r="A53" s="46">
        <v>46</v>
      </c>
      <c r="B53" s="38">
        <v>112</v>
      </c>
      <c r="C53" s="38">
        <v>15</v>
      </c>
      <c r="D53" s="38">
        <v>143</v>
      </c>
      <c r="E53" s="38">
        <v>2</v>
      </c>
      <c r="F53" s="38">
        <v>0</v>
      </c>
      <c r="G53" s="38">
        <v>0</v>
      </c>
      <c r="H53" s="38">
        <v>0</v>
      </c>
      <c r="I53" s="38">
        <v>0</v>
      </c>
      <c r="J53" s="38">
        <v>1</v>
      </c>
      <c r="K53" s="38">
        <v>0</v>
      </c>
      <c r="L53" s="38">
        <v>0</v>
      </c>
      <c r="M53" s="38">
        <v>1</v>
      </c>
      <c r="N53" s="38">
        <v>3</v>
      </c>
      <c r="O53" s="38">
        <v>2</v>
      </c>
      <c r="P53" s="38">
        <v>2</v>
      </c>
      <c r="Q53" s="34">
        <f t="shared" si="0"/>
        <v>279</v>
      </c>
      <c r="R53" s="34">
        <v>0</v>
      </c>
      <c r="S53" s="34">
        <f t="shared" si="1"/>
        <v>281</v>
      </c>
      <c r="T53" s="34">
        <v>0</v>
      </c>
    </row>
    <row r="54" spans="1:20" s="3" customFormat="1" ht="24" customHeight="1">
      <c r="A54" s="46">
        <v>47</v>
      </c>
      <c r="B54" s="38">
        <v>251</v>
      </c>
      <c r="C54" s="38">
        <v>58</v>
      </c>
      <c r="D54" s="38">
        <v>275</v>
      </c>
      <c r="E54" s="38">
        <v>3</v>
      </c>
      <c r="F54" s="38">
        <v>0</v>
      </c>
      <c r="G54" s="38">
        <v>0</v>
      </c>
      <c r="H54" s="38">
        <v>0</v>
      </c>
      <c r="I54" s="38">
        <v>0</v>
      </c>
      <c r="J54" s="38">
        <v>1</v>
      </c>
      <c r="K54" s="38">
        <v>1</v>
      </c>
      <c r="L54" s="38">
        <v>2</v>
      </c>
      <c r="M54" s="38">
        <v>1</v>
      </c>
      <c r="N54" s="38">
        <v>8</v>
      </c>
      <c r="O54" s="38">
        <v>4</v>
      </c>
      <c r="P54" s="38">
        <v>19</v>
      </c>
      <c r="Q54" s="34">
        <f t="shared" si="0"/>
        <v>604</v>
      </c>
      <c r="R54" s="34">
        <v>0</v>
      </c>
      <c r="S54" s="34">
        <f t="shared" si="1"/>
        <v>623</v>
      </c>
      <c r="T54" s="34">
        <v>0</v>
      </c>
    </row>
    <row r="55" spans="1:20" s="3" customFormat="1" ht="24" customHeight="1">
      <c r="A55" s="46">
        <v>48</v>
      </c>
      <c r="B55" s="38">
        <v>265</v>
      </c>
      <c r="C55" s="38">
        <v>31</v>
      </c>
      <c r="D55" s="38">
        <v>341</v>
      </c>
      <c r="E55" s="38">
        <v>2</v>
      </c>
      <c r="F55" s="38">
        <v>2</v>
      </c>
      <c r="G55" s="38">
        <v>0</v>
      </c>
      <c r="H55" s="38">
        <v>0</v>
      </c>
      <c r="I55" s="38">
        <v>2</v>
      </c>
      <c r="J55" s="38">
        <v>27</v>
      </c>
      <c r="K55" s="38">
        <v>0</v>
      </c>
      <c r="L55" s="38">
        <v>2</v>
      </c>
      <c r="M55" s="38">
        <v>2</v>
      </c>
      <c r="N55" s="38">
        <v>3</v>
      </c>
      <c r="O55" s="38">
        <v>4</v>
      </c>
      <c r="P55" s="38">
        <v>10</v>
      </c>
      <c r="Q55" s="34">
        <f t="shared" si="0"/>
        <v>681</v>
      </c>
      <c r="R55" s="34">
        <v>0</v>
      </c>
      <c r="S55" s="34">
        <f t="shared" si="1"/>
        <v>691</v>
      </c>
      <c r="T55" s="34">
        <v>0</v>
      </c>
    </row>
    <row r="56" spans="1:20" s="3" customFormat="1" ht="24" customHeight="1">
      <c r="A56" s="46">
        <v>49</v>
      </c>
      <c r="B56" s="38">
        <v>261</v>
      </c>
      <c r="C56" s="38">
        <v>13</v>
      </c>
      <c r="D56" s="38">
        <v>131</v>
      </c>
      <c r="E56" s="38">
        <v>1</v>
      </c>
      <c r="F56" s="38">
        <v>0</v>
      </c>
      <c r="G56" s="38">
        <v>0</v>
      </c>
      <c r="H56" s="38">
        <v>0</v>
      </c>
      <c r="I56" s="38">
        <v>0</v>
      </c>
      <c r="J56" s="38">
        <v>5</v>
      </c>
      <c r="K56" s="38">
        <v>0</v>
      </c>
      <c r="L56" s="38">
        <v>0</v>
      </c>
      <c r="M56" s="38">
        <v>1</v>
      </c>
      <c r="N56" s="38">
        <v>0</v>
      </c>
      <c r="O56" s="38">
        <v>1</v>
      </c>
      <c r="P56" s="38">
        <v>1</v>
      </c>
      <c r="Q56" s="34">
        <f t="shared" si="0"/>
        <v>413</v>
      </c>
      <c r="R56" s="34">
        <v>0</v>
      </c>
      <c r="S56" s="34">
        <f t="shared" si="1"/>
        <v>414</v>
      </c>
      <c r="T56" s="34">
        <v>0</v>
      </c>
    </row>
    <row r="57" spans="1:20" s="3" customFormat="1" ht="24" customHeight="1">
      <c r="A57" s="46">
        <v>50</v>
      </c>
      <c r="B57" s="38">
        <v>224</v>
      </c>
      <c r="C57" s="38">
        <v>106</v>
      </c>
      <c r="D57" s="38">
        <v>219</v>
      </c>
      <c r="E57" s="38">
        <v>2</v>
      </c>
      <c r="F57" s="38">
        <v>0</v>
      </c>
      <c r="G57" s="38">
        <v>0</v>
      </c>
      <c r="H57" s="38">
        <v>0</v>
      </c>
      <c r="I57" s="38">
        <v>0</v>
      </c>
      <c r="J57" s="38">
        <v>5</v>
      </c>
      <c r="K57" s="38">
        <v>0</v>
      </c>
      <c r="L57" s="38">
        <v>1</v>
      </c>
      <c r="M57" s="38">
        <v>2</v>
      </c>
      <c r="N57" s="38">
        <v>3</v>
      </c>
      <c r="O57" s="38">
        <v>3</v>
      </c>
      <c r="P57" s="38">
        <v>3</v>
      </c>
      <c r="Q57" s="34">
        <f t="shared" si="0"/>
        <v>565</v>
      </c>
      <c r="R57" s="34">
        <v>0</v>
      </c>
      <c r="S57" s="34">
        <f t="shared" si="1"/>
        <v>568</v>
      </c>
      <c r="T57" s="34">
        <v>0</v>
      </c>
    </row>
    <row r="58" spans="1:20" s="3" customFormat="1" ht="24" customHeight="1">
      <c r="A58" s="46">
        <v>51</v>
      </c>
      <c r="B58" s="38">
        <v>200</v>
      </c>
      <c r="C58" s="38">
        <v>99</v>
      </c>
      <c r="D58" s="38">
        <v>175</v>
      </c>
      <c r="E58" s="38">
        <v>4</v>
      </c>
      <c r="F58" s="38">
        <v>0</v>
      </c>
      <c r="G58" s="38">
        <v>1</v>
      </c>
      <c r="H58" s="38">
        <v>1</v>
      </c>
      <c r="I58" s="38">
        <v>0</v>
      </c>
      <c r="J58" s="38">
        <v>14</v>
      </c>
      <c r="K58" s="38">
        <v>0</v>
      </c>
      <c r="L58" s="38">
        <v>1</v>
      </c>
      <c r="M58" s="38">
        <v>1</v>
      </c>
      <c r="N58" s="38">
        <v>2</v>
      </c>
      <c r="O58" s="38">
        <v>2</v>
      </c>
      <c r="P58" s="38">
        <v>3</v>
      </c>
      <c r="Q58" s="34">
        <f t="shared" si="0"/>
        <v>500</v>
      </c>
      <c r="R58" s="34">
        <v>0</v>
      </c>
      <c r="S58" s="34">
        <f t="shared" si="1"/>
        <v>503</v>
      </c>
      <c r="T58" s="34">
        <v>0</v>
      </c>
    </row>
    <row r="59" spans="1:20" s="3" customFormat="1" ht="24" customHeight="1">
      <c r="A59" s="46">
        <v>52</v>
      </c>
      <c r="B59" s="38">
        <v>177</v>
      </c>
      <c r="C59" s="38">
        <v>8</v>
      </c>
      <c r="D59" s="38">
        <v>233</v>
      </c>
      <c r="E59" s="38">
        <v>2</v>
      </c>
      <c r="F59" s="38">
        <v>1</v>
      </c>
      <c r="G59" s="38">
        <v>1</v>
      </c>
      <c r="H59" s="38">
        <v>0</v>
      </c>
      <c r="I59" s="38">
        <v>0</v>
      </c>
      <c r="J59" s="38">
        <v>14</v>
      </c>
      <c r="K59" s="38">
        <v>0</v>
      </c>
      <c r="L59" s="38">
        <v>1</v>
      </c>
      <c r="M59" s="38">
        <v>1</v>
      </c>
      <c r="N59" s="38">
        <v>0</v>
      </c>
      <c r="O59" s="38">
        <v>1</v>
      </c>
      <c r="P59" s="38">
        <v>1</v>
      </c>
      <c r="Q59" s="34">
        <f t="shared" si="0"/>
        <v>439</v>
      </c>
      <c r="R59" s="34">
        <v>0</v>
      </c>
      <c r="S59" s="34">
        <f t="shared" si="1"/>
        <v>440</v>
      </c>
      <c r="T59" s="34">
        <v>0</v>
      </c>
    </row>
    <row r="60" spans="1:20" s="3" customFormat="1" ht="24" customHeight="1">
      <c r="A60" s="46">
        <v>53</v>
      </c>
      <c r="B60" s="38">
        <v>87</v>
      </c>
      <c r="C60" s="38">
        <v>85</v>
      </c>
      <c r="D60" s="38">
        <v>326</v>
      </c>
      <c r="E60" s="38">
        <v>4</v>
      </c>
      <c r="F60" s="38">
        <v>0</v>
      </c>
      <c r="G60" s="38">
        <v>0</v>
      </c>
      <c r="H60" s="38">
        <v>0</v>
      </c>
      <c r="I60" s="38">
        <v>0</v>
      </c>
      <c r="J60" s="38">
        <v>37</v>
      </c>
      <c r="K60" s="38">
        <v>1</v>
      </c>
      <c r="L60" s="38">
        <v>0</v>
      </c>
      <c r="M60" s="38">
        <v>2</v>
      </c>
      <c r="N60" s="38">
        <v>1</v>
      </c>
      <c r="O60" s="38">
        <v>2</v>
      </c>
      <c r="P60" s="38">
        <v>6</v>
      </c>
      <c r="Q60" s="34">
        <f t="shared" si="0"/>
        <v>545</v>
      </c>
      <c r="R60" s="34">
        <v>0</v>
      </c>
      <c r="S60" s="34">
        <f t="shared" si="1"/>
        <v>551</v>
      </c>
      <c r="T60" s="34">
        <v>0</v>
      </c>
    </row>
    <row r="61" spans="1:20" s="3" customFormat="1" ht="24" customHeight="1">
      <c r="A61" s="46">
        <v>54</v>
      </c>
      <c r="B61" s="38">
        <v>143</v>
      </c>
      <c r="C61" s="38">
        <v>6</v>
      </c>
      <c r="D61" s="38">
        <v>383</v>
      </c>
      <c r="E61" s="38">
        <v>0</v>
      </c>
      <c r="F61" s="38">
        <v>1</v>
      </c>
      <c r="G61" s="38">
        <v>0</v>
      </c>
      <c r="H61" s="38">
        <v>0</v>
      </c>
      <c r="I61" s="38">
        <v>0</v>
      </c>
      <c r="J61" s="38">
        <v>23</v>
      </c>
      <c r="K61" s="38">
        <v>1</v>
      </c>
      <c r="L61" s="38">
        <v>1</v>
      </c>
      <c r="M61" s="38">
        <v>1</v>
      </c>
      <c r="N61" s="38">
        <v>1</v>
      </c>
      <c r="O61" s="38">
        <v>3</v>
      </c>
      <c r="P61" s="38">
        <v>0</v>
      </c>
      <c r="Q61" s="34">
        <f t="shared" si="0"/>
        <v>563</v>
      </c>
      <c r="R61" s="34">
        <v>0</v>
      </c>
      <c r="S61" s="34">
        <f t="shared" si="1"/>
        <v>563</v>
      </c>
      <c r="T61" s="34">
        <v>0</v>
      </c>
    </row>
    <row r="62" spans="1:20" s="3" customFormat="1" ht="24" customHeight="1">
      <c r="A62" s="46">
        <v>55</v>
      </c>
      <c r="B62" s="38">
        <v>140</v>
      </c>
      <c r="C62" s="38">
        <v>8</v>
      </c>
      <c r="D62" s="38">
        <v>383</v>
      </c>
      <c r="E62" s="38">
        <v>1</v>
      </c>
      <c r="F62" s="38">
        <v>0</v>
      </c>
      <c r="G62" s="38">
        <v>0</v>
      </c>
      <c r="H62" s="38">
        <v>0</v>
      </c>
      <c r="I62" s="38">
        <v>0</v>
      </c>
      <c r="J62" s="38">
        <v>36</v>
      </c>
      <c r="K62" s="38">
        <v>0</v>
      </c>
      <c r="L62" s="38">
        <v>1</v>
      </c>
      <c r="M62" s="38">
        <v>3</v>
      </c>
      <c r="N62" s="38">
        <v>3</v>
      </c>
      <c r="O62" s="38">
        <v>0</v>
      </c>
      <c r="P62" s="38">
        <v>3</v>
      </c>
      <c r="Q62" s="34">
        <f t="shared" si="0"/>
        <v>575</v>
      </c>
      <c r="R62" s="34">
        <v>0</v>
      </c>
      <c r="S62" s="34">
        <f t="shared" si="1"/>
        <v>578</v>
      </c>
      <c r="T62" s="34">
        <v>0</v>
      </c>
    </row>
    <row r="63" spans="1:20" s="3" customFormat="1" ht="24" customHeight="1">
      <c r="A63" s="46">
        <v>56</v>
      </c>
      <c r="B63" s="38">
        <v>264</v>
      </c>
      <c r="C63" s="38">
        <v>2</v>
      </c>
      <c r="D63" s="38">
        <v>82</v>
      </c>
      <c r="E63" s="38">
        <v>0</v>
      </c>
      <c r="F63" s="38">
        <v>0</v>
      </c>
      <c r="G63" s="38">
        <v>0</v>
      </c>
      <c r="H63" s="38">
        <v>0</v>
      </c>
      <c r="I63" s="38">
        <v>0</v>
      </c>
      <c r="J63" s="38">
        <v>0</v>
      </c>
      <c r="K63" s="38">
        <v>3</v>
      </c>
      <c r="L63" s="38">
        <v>0</v>
      </c>
      <c r="M63" s="38">
        <v>1</v>
      </c>
      <c r="N63" s="38">
        <v>0</v>
      </c>
      <c r="O63" s="38">
        <v>0</v>
      </c>
      <c r="P63" s="38">
        <v>1</v>
      </c>
      <c r="Q63" s="34">
        <f t="shared" si="0"/>
        <v>352</v>
      </c>
      <c r="R63" s="34">
        <v>0</v>
      </c>
      <c r="S63" s="34">
        <f t="shared" si="1"/>
        <v>353</v>
      </c>
      <c r="T63" s="34">
        <v>0</v>
      </c>
    </row>
    <row r="64" spans="1:20" s="3" customFormat="1" ht="24" customHeight="1">
      <c r="A64" s="45">
        <v>57</v>
      </c>
      <c r="B64" s="38">
        <v>236</v>
      </c>
      <c r="C64" s="38">
        <v>65</v>
      </c>
      <c r="D64" s="38">
        <v>109</v>
      </c>
      <c r="E64" s="38">
        <v>3</v>
      </c>
      <c r="F64" s="38">
        <v>0</v>
      </c>
      <c r="G64" s="38">
        <v>0</v>
      </c>
      <c r="H64" s="38">
        <v>0</v>
      </c>
      <c r="I64" s="38">
        <v>0</v>
      </c>
      <c r="J64" s="38">
        <v>0</v>
      </c>
      <c r="K64" s="38">
        <v>1</v>
      </c>
      <c r="L64" s="38">
        <v>0</v>
      </c>
      <c r="M64" s="38">
        <v>0</v>
      </c>
      <c r="N64" s="38">
        <v>0</v>
      </c>
      <c r="O64" s="38">
        <v>2</v>
      </c>
      <c r="P64" s="38">
        <v>2</v>
      </c>
      <c r="Q64" s="34">
        <f t="shared" si="0"/>
        <v>416</v>
      </c>
      <c r="R64" s="34">
        <v>0</v>
      </c>
      <c r="S64" s="34">
        <f t="shared" si="1"/>
        <v>418</v>
      </c>
      <c r="T64" s="34">
        <v>0</v>
      </c>
    </row>
    <row r="65" spans="1:20" s="3" customFormat="1" ht="24" customHeight="1">
      <c r="A65" s="45">
        <v>58</v>
      </c>
      <c r="B65" s="38">
        <v>396</v>
      </c>
      <c r="C65" s="38">
        <v>5</v>
      </c>
      <c r="D65" s="38">
        <v>158</v>
      </c>
      <c r="E65" s="38">
        <v>12</v>
      </c>
      <c r="F65" s="38">
        <v>0</v>
      </c>
      <c r="G65" s="38">
        <v>0</v>
      </c>
      <c r="H65" s="38">
        <v>1</v>
      </c>
      <c r="I65" s="38">
        <v>0</v>
      </c>
      <c r="J65" s="38">
        <v>0</v>
      </c>
      <c r="K65" s="38">
        <v>0</v>
      </c>
      <c r="L65" s="38">
        <v>0</v>
      </c>
      <c r="M65" s="38">
        <v>1</v>
      </c>
      <c r="N65" s="38">
        <v>1</v>
      </c>
      <c r="O65" s="38">
        <v>0</v>
      </c>
      <c r="P65" s="38">
        <v>2</v>
      </c>
      <c r="Q65" s="34">
        <f t="shared" si="0"/>
        <v>574</v>
      </c>
      <c r="R65" s="34">
        <v>0</v>
      </c>
      <c r="S65" s="34">
        <f t="shared" si="1"/>
        <v>576</v>
      </c>
      <c r="T65" s="34">
        <v>0</v>
      </c>
    </row>
    <row r="66" spans="1:20" s="3" customFormat="1" ht="24" customHeight="1">
      <c r="A66" s="45">
        <v>59</v>
      </c>
      <c r="B66" s="38">
        <v>311</v>
      </c>
      <c r="C66" s="38">
        <v>62</v>
      </c>
      <c r="D66" s="38">
        <v>195</v>
      </c>
      <c r="E66" s="38">
        <v>36</v>
      </c>
      <c r="F66" s="38">
        <v>0</v>
      </c>
      <c r="G66" s="38">
        <v>0</v>
      </c>
      <c r="H66" s="38">
        <v>1</v>
      </c>
      <c r="I66" s="38">
        <v>1</v>
      </c>
      <c r="J66" s="38">
        <v>0</v>
      </c>
      <c r="K66" s="38">
        <v>0</v>
      </c>
      <c r="L66" s="38">
        <v>2</v>
      </c>
      <c r="M66" s="38">
        <v>3</v>
      </c>
      <c r="N66" s="38">
        <v>4</v>
      </c>
      <c r="O66" s="38">
        <v>2</v>
      </c>
      <c r="P66" s="38">
        <v>5</v>
      </c>
      <c r="Q66" s="34">
        <f t="shared" si="0"/>
        <v>617</v>
      </c>
      <c r="R66" s="34">
        <v>0</v>
      </c>
      <c r="S66" s="34">
        <f t="shared" si="1"/>
        <v>622</v>
      </c>
      <c r="T66" s="34">
        <v>0</v>
      </c>
    </row>
    <row r="67" spans="1:20" s="3" customFormat="1" ht="24" customHeight="1">
      <c r="A67" s="45">
        <v>60</v>
      </c>
      <c r="B67" s="38">
        <v>264</v>
      </c>
      <c r="C67" s="38">
        <v>25</v>
      </c>
      <c r="D67" s="38">
        <v>179</v>
      </c>
      <c r="E67" s="38">
        <v>2</v>
      </c>
      <c r="F67" s="38">
        <v>0</v>
      </c>
      <c r="G67" s="38">
        <v>0</v>
      </c>
      <c r="H67" s="38">
        <v>0</v>
      </c>
      <c r="I67" s="38">
        <v>1</v>
      </c>
      <c r="J67" s="38">
        <v>0</v>
      </c>
      <c r="K67" s="38">
        <v>1</v>
      </c>
      <c r="L67" s="38">
        <v>2</v>
      </c>
      <c r="M67" s="38">
        <v>2</v>
      </c>
      <c r="N67" s="38">
        <v>3</v>
      </c>
      <c r="O67" s="38">
        <v>0</v>
      </c>
      <c r="P67" s="38">
        <v>1</v>
      </c>
      <c r="Q67" s="34">
        <f t="shared" si="0"/>
        <v>479</v>
      </c>
      <c r="R67" s="34">
        <v>0</v>
      </c>
      <c r="S67" s="34">
        <f t="shared" si="1"/>
        <v>480</v>
      </c>
      <c r="T67" s="34">
        <v>0</v>
      </c>
    </row>
    <row r="68" spans="1:20" s="3" customFormat="1" ht="24" customHeight="1">
      <c r="A68" s="45">
        <v>61</v>
      </c>
      <c r="B68" s="38">
        <v>219</v>
      </c>
      <c r="C68" s="38">
        <v>21</v>
      </c>
      <c r="D68" s="38">
        <v>151</v>
      </c>
      <c r="E68" s="38">
        <v>2</v>
      </c>
      <c r="F68" s="38">
        <v>2</v>
      </c>
      <c r="G68" s="38">
        <v>0</v>
      </c>
      <c r="H68" s="38">
        <v>0</v>
      </c>
      <c r="I68" s="38">
        <v>0</v>
      </c>
      <c r="J68" s="38">
        <v>1</v>
      </c>
      <c r="K68" s="38">
        <v>2</v>
      </c>
      <c r="L68" s="38">
        <v>1</v>
      </c>
      <c r="M68" s="38">
        <v>0</v>
      </c>
      <c r="N68" s="38">
        <v>3</v>
      </c>
      <c r="O68" s="38">
        <v>0</v>
      </c>
      <c r="P68" s="38">
        <v>0</v>
      </c>
      <c r="Q68" s="34">
        <f t="shared" si="0"/>
        <v>402</v>
      </c>
      <c r="R68" s="34">
        <v>0</v>
      </c>
      <c r="S68" s="34">
        <f t="shared" si="1"/>
        <v>402</v>
      </c>
      <c r="T68" s="34">
        <v>0</v>
      </c>
    </row>
    <row r="69" spans="1:20" s="3" customFormat="1" ht="24" customHeight="1">
      <c r="A69" s="45">
        <v>62</v>
      </c>
      <c r="B69" s="38">
        <v>479</v>
      </c>
      <c r="C69" s="38">
        <v>30</v>
      </c>
      <c r="D69" s="38">
        <v>95</v>
      </c>
      <c r="E69" s="38">
        <v>7</v>
      </c>
      <c r="F69" s="38">
        <v>0</v>
      </c>
      <c r="G69" s="38">
        <v>0</v>
      </c>
      <c r="H69" s="38">
        <v>1</v>
      </c>
      <c r="I69" s="38">
        <v>1</v>
      </c>
      <c r="J69" s="38">
        <v>1</v>
      </c>
      <c r="K69" s="38">
        <v>1</v>
      </c>
      <c r="L69" s="38">
        <v>2</v>
      </c>
      <c r="M69" s="38">
        <v>2</v>
      </c>
      <c r="N69" s="38">
        <v>4</v>
      </c>
      <c r="O69" s="38">
        <v>1</v>
      </c>
      <c r="P69" s="38">
        <v>8</v>
      </c>
      <c r="Q69" s="34">
        <f t="shared" si="0"/>
        <v>624</v>
      </c>
      <c r="R69" s="34">
        <v>0</v>
      </c>
      <c r="S69" s="34">
        <f t="shared" si="1"/>
        <v>632</v>
      </c>
      <c r="T69" s="34">
        <v>0</v>
      </c>
    </row>
    <row r="70" spans="1:20" s="3" customFormat="1" ht="24" customHeight="1">
      <c r="A70" s="45">
        <v>63</v>
      </c>
      <c r="B70" s="38">
        <v>416</v>
      </c>
      <c r="C70" s="38">
        <v>11</v>
      </c>
      <c r="D70" s="38">
        <v>148</v>
      </c>
      <c r="E70" s="38">
        <v>3</v>
      </c>
      <c r="F70" s="38">
        <v>1</v>
      </c>
      <c r="G70" s="38">
        <v>1</v>
      </c>
      <c r="H70" s="38">
        <v>0</v>
      </c>
      <c r="I70" s="38">
        <v>0</v>
      </c>
      <c r="J70" s="38">
        <v>0</v>
      </c>
      <c r="K70" s="38">
        <v>1</v>
      </c>
      <c r="L70" s="38">
        <v>1</v>
      </c>
      <c r="M70" s="38">
        <v>1</v>
      </c>
      <c r="N70" s="38">
        <v>5</v>
      </c>
      <c r="O70" s="38">
        <v>2</v>
      </c>
      <c r="P70" s="38">
        <v>1</v>
      </c>
      <c r="Q70" s="34">
        <f t="shared" si="0"/>
        <v>590</v>
      </c>
      <c r="R70" s="34">
        <v>0</v>
      </c>
      <c r="S70" s="34">
        <f t="shared" si="1"/>
        <v>591</v>
      </c>
      <c r="T70" s="34">
        <v>0</v>
      </c>
    </row>
    <row r="71" spans="1:20" s="3" customFormat="1" ht="24" customHeight="1">
      <c r="A71" s="45">
        <v>64</v>
      </c>
      <c r="B71" s="38">
        <v>442</v>
      </c>
      <c r="C71" s="38">
        <v>33</v>
      </c>
      <c r="D71" s="38">
        <v>162</v>
      </c>
      <c r="E71" s="38">
        <v>7</v>
      </c>
      <c r="F71" s="38">
        <v>0</v>
      </c>
      <c r="G71" s="38">
        <v>0</v>
      </c>
      <c r="H71" s="38">
        <v>1</v>
      </c>
      <c r="I71" s="38">
        <v>3</v>
      </c>
      <c r="J71" s="38">
        <v>2</v>
      </c>
      <c r="K71" s="38">
        <v>0</v>
      </c>
      <c r="L71" s="38">
        <v>1</v>
      </c>
      <c r="M71" s="38">
        <v>5</v>
      </c>
      <c r="N71" s="38">
        <v>2</v>
      </c>
      <c r="O71" s="38">
        <v>4</v>
      </c>
      <c r="P71" s="38">
        <v>10</v>
      </c>
      <c r="Q71" s="34">
        <f t="shared" si="0"/>
        <v>662</v>
      </c>
      <c r="R71" s="34">
        <v>0</v>
      </c>
      <c r="S71" s="34">
        <f t="shared" si="1"/>
        <v>672</v>
      </c>
      <c r="T71" s="34">
        <v>0</v>
      </c>
    </row>
    <row r="72" spans="1:20" s="3" customFormat="1" ht="24" customHeight="1">
      <c r="A72" s="45">
        <v>65</v>
      </c>
      <c r="B72" s="38">
        <v>248</v>
      </c>
      <c r="C72" s="38">
        <v>72</v>
      </c>
      <c r="D72" s="38">
        <v>352</v>
      </c>
      <c r="E72" s="38">
        <v>3</v>
      </c>
      <c r="F72" s="38">
        <v>0</v>
      </c>
      <c r="G72" s="38">
        <v>0</v>
      </c>
      <c r="H72" s="38">
        <v>0</v>
      </c>
      <c r="I72" s="38">
        <v>0</v>
      </c>
      <c r="J72" s="38">
        <v>0</v>
      </c>
      <c r="K72" s="38">
        <v>1</v>
      </c>
      <c r="L72" s="38">
        <v>5</v>
      </c>
      <c r="M72" s="38">
        <v>2</v>
      </c>
      <c r="N72" s="38">
        <v>2</v>
      </c>
      <c r="O72" s="38">
        <v>1</v>
      </c>
      <c r="P72" s="38">
        <v>1</v>
      </c>
      <c r="Q72" s="34">
        <f t="shared" si="0"/>
        <v>686</v>
      </c>
      <c r="R72" s="34">
        <v>0</v>
      </c>
      <c r="S72" s="34">
        <f t="shared" si="1"/>
        <v>687</v>
      </c>
      <c r="T72" s="34">
        <v>0</v>
      </c>
    </row>
    <row r="73" spans="1:20" s="3" customFormat="1" ht="24" customHeight="1">
      <c r="A73" s="45">
        <v>66</v>
      </c>
      <c r="B73" s="38">
        <v>225</v>
      </c>
      <c r="C73" s="38">
        <v>28</v>
      </c>
      <c r="D73" s="38">
        <v>181</v>
      </c>
      <c r="E73" s="38">
        <v>1</v>
      </c>
      <c r="F73" s="38">
        <v>1</v>
      </c>
      <c r="G73" s="38">
        <v>0</v>
      </c>
      <c r="H73" s="38">
        <v>1</v>
      </c>
      <c r="I73" s="38">
        <v>0</v>
      </c>
      <c r="J73" s="38">
        <v>0</v>
      </c>
      <c r="K73" s="38">
        <v>0</v>
      </c>
      <c r="L73" s="38">
        <v>0</v>
      </c>
      <c r="M73" s="38">
        <v>1</v>
      </c>
      <c r="N73" s="38">
        <v>1</v>
      </c>
      <c r="O73" s="38">
        <v>1</v>
      </c>
      <c r="P73" s="38">
        <v>4</v>
      </c>
      <c r="Q73" s="34">
        <f t="shared" ref="Q73:Q136" si="2">SUM(B73:O73)</f>
        <v>440</v>
      </c>
      <c r="R73" s="34">
        <v>0</v>
      </c>
      <c r="S73" s="34">
        <f t="shared" ref="S73:S136" si="3">P73+Q73</f>
        <v>444</v>
      </c>
      <c r="T73" s="34">
        <v>0</v>
      </c>
    </row>
    <row r="74" spans="1:20" s="3" customFormat="1" ht="24" customHeight="1">
      <c r="A74" s="45">
        <v>67</v>
      </c>
      <c r="B74" s="38">
        <v>100</v>
      </c>
      <c r="C74" s="38">
        <v>29</v>
      </c>
      <c r="D74" s="38">
        <v>237</v>
      </c>
      <c r="E74" s="38">
        <v>3</v>
      </c>
      <c r="F74" s="38">
        <v>0</v>
      </c>
      <c r="G74" s="38">
        <v>0</v>
      </c>
      <c r="H74" s="38">
        <v>0</v>
      </c>
      <c r="I74" s="38">
        <v>0</v>
      </c>
      <c r="J74" s="38">
        <v>0</v>
      </c>
      <c r="K74" s="38">
        <v>0</v>
      </c>
      <c r="L74" s="38">
        <v>0</v>
      </c>
      <c r="M74" s="38">
        <v>1</v>
      </c>
      <c r="N74" s="38">
        <v>1</v>
      </c>
      <c r="O74" s="38">
        <v>0</v>
      </c>
      <c r="P74" s="38">
        <v>1</v>
      </c>
      <c r="Q74" s="34">
        <f t="shared" si="2"/>
        <v>371</v>
      </c>
      <c r="R74" s="34">
        <v>0</v>
      </c>
      <c r="S74" s="34">
        <f t="shared" si="3"/>
        <v>372</v>
      </c>
      <c r="T74" s="34">
        <v>0</v>
      </c>
    </row>
    <row r="75" spans="1:20" s="3" customFormat="1" ht="24" customHeight="1">
      <c r="A75" s="45">
        <v>68</v>
      </c>
      <c r="B75" s="38">
        <v>150</v>
      </c>
      <c r="C75" s="38">
        <v>77</v>
      </c>
      <c r="D75" s="38">
        <v>134</v>
      </c>
      <c r="E75" s="38">
        <v>1</v>
      </c>
      <c r="F75" s="38">
        <v>0</v>
      </c>
      <c r="G75" s="38">
        <v>0</v>
      </c>
      <c r="H75" s="38">
        <v>0</v>
      </c>
      <c r="I75" s="38">
        <v>0</v>
      </c>
      <c r="J75" s="38">
        <v>0</v>
      </c>
      <c r="K75" s="38">
        <v>1</v>
      </c>
      <c r="L75" s="38">
        <v>0</v>
      </c>
      <c r="M75" s="38">
        <v>0</v>
      </c>
      <c r="N75" s="38">
        <v>1</v>
      </c>
      <c r="O75" s="38">
        <v>1</v>
      </c>
      <c r="P75" s="38">
        <v>1</v>
      </c>
      <c r="Q75" s="34">
        <f t="shared" si="2"/>
        <v>365</v>
      </c>
      <c r="R75" s="34">
        <v>0</v>
      </c>
      <c r="S75" s="34">
        <f t="shared" si="3"/>
        <v>366</v>
      </c>
      <c r="T75" s="34">
        <v>0</v>
      </c>
    </row>
    <row r="76" spans="1:20" s="3" customFormat="1" ht="24" customHeight="1">
      <c r="A76" s="45">
        <v>69</v>
      </c>
      <c r="B76" s="38">
        <v>140</v>
      </c>
      <c r="C76" s="38">
        <v>21</v>
      </c>
      <c r="D76" s="38">
        <v>198</v>
      </c>
      <c r="E76" s="38">
        <v>6</v>
      </c>
      <c r="F76" s="38">
        <v>0</v>
      </c>
      <c r="G76" s="38">
        <v>0</v>
      </c>
      <c r="H76" s="38">
        <v>2</v>
      </c>
      <c r="I76" s="38">
        <v>0</v>
      </c>
      <c r="J76" s="38">
        <v>2</v>
      </c>
      <c r="K76" s="38">
        <v>1</v>
      </c>
      <c r="L76" s="38">
        <v>1</v>
      </c>
      <c r="M76" s="38">
        <v>1</v>
      </c>
      <c r="N76" s="38">
        <v>1</v>
      </c>
      <c r="O76" s="38">
        <v>0</v>
      </c>
      <c r="P76" s="38">
        <v>3</v>
      </c>
      <c r="Q76" s="34">
        <f t="shared" si="2"/>
        <v>373</v>
      </c>
      <c r="R76" s="34">
        <v>0</v>
      </c>
      <c r="S76" s="34">
        <f t="shared" si="3"/>
        <v>376</v>
      </c>
      <c r="T76" s="34">
        <v>0</v>
      </c>
    </row>
    <row r="77" spans="1:20" s="3" customFormat="1" ht="24" customHeight="1">
      <c r="A77" s="45">
        <v>70</v>
      </c>
      <c r="B77" s="38">
        <v>278</v>
      </c>
      <c r="C77" s="38">
        <v>6</v>
      </c>
      <c r="D77" s="38">
        <v>166</v>
      </c>
      <c r="E77" s="38">
        <v>1</v>
      </c>
      <c r="F77" s="38">
        <v>0</v>
      </c>
      <c r="G77" s="38">
        <v>0</v>
      </c>
      <c r="H77" s="38">
        <v>0</v>
      </c>
      <c r="I77" s="38">
        <v>0</v>
      </c>
      <c r="J77" s="38">
        <v>0</v>
      </c>
      <c r="K77" s="38">
        <v>0</v>
      </c>
      <c r="L77" s="38">
        <v>0</v>
      </c>
      <c r="M77" s="38">
        <v>0</v>
      </c>
      <c r="N77" s="38">
        <v>0</v>
      </c>
      <c r="O77" s="38">
        <v>2</v>
      </c>
      <c r="P77" s="38">
        <v>3</v>
      </c>
      <c r="Q77" s="34">
        <f t="shared" si="2"/>
        <v>453</v>
      </c>
      <c r="R77" s="34">
        <v>0</v>
      </c>
      <c r="S77" s="34">
        <f t="shared" si="3"/>
        <v>456</v>
      </c>
      <c r="T77" s="34">
        <v>0</v>
      </c>
    </row>
    <row r="78" spans="1:20" s="3" customFormat="1" ht="24" customHeight="1">
      <c r="A78" s="47">
        <v>71</v>
      </c>
      <c r="B78" s="38">
        <v>389</v>
      </c>
      <c r="C78" s="38">
        <v>13</v>
      </c>
      <c r="D78" s="38">
        <v>194</v>
      </c>
      <c r="E78" s="38">
        <v>1</v>
      </c>
      <c r="F78" s="38">
        <v>0</v>
      </c>
      <c r="G78" s="38">
        <v>0</v>
      </c>
      <c r="H78" s="38">
        <v>0</v>
      </c>
      <c r="I78" s="38">
        <v>0</v>
      </c>
      <c r="J78" s="38">
        <v>0</v>
      </c>
      <c r="K78" s="38">
        <v>0</v>
      </c>
      <c r="L78" s="38">
        <v>0</v>
      </c>
      <c r="M78" s="38">
        <v>0</v>
      </c>
      <c r="N78" s="38">
        <v>1</v>
      </c>
      <c r="O78" s="38">
        <v>1</v>
      </c>
      <c r="P78" s="38">
        <v>1</v>
      </c>
      <c r="Q78" s="34">
        <f t="shared" si="2"/>
        <v>599</v>
      </c>
      <c r="R78" s="34">
        <v>0</v>
      </c>
      <c r="S78" s="34">
        <f t="shared" si="3"/>
        <v>600</v>
      </c>
      <c r="T78" s="34">
        <v>0</v>
      </c>
    </row>
    <row r="79" spans="1:20" s="3" customFormat="1" ht="24" customHeight="1">
      <c r="A79" s="47">
        <v>72</v>
      </c>
      <c r="B79" s="38">
        <v>189</v>
      </c>
      <c r="C79" s="38">
        <v>50</v>
      </c>
      <c r="D79" s="38">
        <v>327</v>
      </c>
      <c r="E79" s="38">
        <v>2</v>
      </c>
      <c r="F79" s="38">
        <v>0</v>
      </c>
      <c r="G79" s="38">
        <v>0</v>
      </c>
      <c r="H79" s="38">
        <v>0</v>
      </c>
      <c r="I79" s="38">
        <v>2</v>
      </c>
      <c r="J79" s="38">
        <v>2</v>
      </c>
      <c r="K79" s="38">
        <v>0</v>
      </c>
      <c r="L79" s="38">
        <v>0</v>
      </c>
      <c r="M79" s="38">
        <v>3</v>
      </c>
      <c r="N79" s="38">
        <v>0</v>
      </c>
      <c r="O79" s="38">
        <v>2</v>
      </c>
      <c r="P79" s="38">
        <v>4</v>
      </c>
      <c r="Q79" s="34">
        <f t="shared" si="2"/>
        <v>577</v>
      </c>
      <c r="R79" s="34">
        <v>0</v>
      </c>
      <c r="S79" s="34">
        <f t="shared" si="3"/>
        <v>581</v>
      </c>
      <c r="T79" s="34">
        <v>0</v>
      </c>
    </row>
    <row r="80" spans="1:20" s="3" customFormat="1" ht="24" customHeight="1">
      <c r="A80" s="47">
        <v>73</v>
      </c>
      <c r="B80" s="38">
        <v>90</v>
      </c>
      <c r="C80" s="38">
        <v>32</v>
      </c>
      <c r="D80" s="38">
        <v>199</v>
      </c>
      <c r="E80" s="38">
        <v>3</v>
      </c>
      <c r="F80" s="38">
        <v>0</v>
      </c>
      <c r="G80" s="38">
        <v>0</v>
      </c>
      <c r="H80" s="38">
        <v>0</v>
      </c>
      <c r="I80" s="38">
        <v>0</v>
      </c>
      <c r="J80" s="38">
        <v>1</v>
      </c>
      <c r="K80" s="38">
        <v>0</v>
      </c>
      <c r="L80" s="38">
        <v>0</v>
      </c>
      <c r="M80" s="38">
        <v>2</v>
      </c>
      <c r="N80" s="38">
        <v>1</v>
      </c>
      <c r="O80" s="38">
        <v>1</v>
      </c>
      <c r="P80" s="38">
        <v>3</v>
      </c>
      <c r="Q80" s="34">
        <f t="shared" si="2"/>
        <v>329</v>
      </c>
      <c r="R80" s="34">
        <v>0</v>
      </c>
      <c r="S80" s="34">
        <f t="shared" si="3"/>
        <v>332</v>
      </c>
      <c r="T80" s="34">
        <v>0</v>
      </c>
    </row>
    <row r="81" spans="1:20" s="3" customFormat="1" ht="24" customHeight="1">
      <c r="A81" s="47">
        <v>74</v>
      </c>
      <c r="B81" s="38">
        <v>191</v>
      </c>
      <c r="C81" s="38">
        <v>39</v>
      </c>
      <c r="D81" s="38">
        <v>197</v>
      </c>
      <c r="E81" s="38">
        <v>1</v>
      </c>
      <c r="F81" s="38">
        <v>0</v>
      </c>
      <c r="G81" s="38">
        <v>0</v>
      </c>
      <c r="H81" s="38">
        <v>0</v>
      </c>
      <c r="I81" s="38">
        <v>0</v>
      </c>
      <c r="J81" s="38">
        <v>25</v>
      </c>
      <c r="K81" s="38">
        <v>0</v>
      </c>
      <c r="L81" s="38">
        <v>0</v>
      </c>
      <c r="M81" s="38">
        <v>0</v>
      </c>
      <c r="N81" s="38">
        <v>0</v>
      </c>
      <c r="O81" s="38">
        <v>1</v>
      </c>
      <c r="P81" s="38">
        <v>0</v>
      </c>
      <c r="Q81" s="34">
        <f t="shared" si="2"/>
        <v>454</v>
      </c>
      <c r="R81" s="34">
        <v>0</v>
      </c>
      <c r="S81" s="34">
        <f t="shared" si="3"/>
        <v>454</v>
      </c>
      <c r="T81" s="34">
        <v>0</v>
      </c>
    </row>
    <row r="82" spans="1:20" s="3" customFormat="1" ht="24" customHeight="1">
      <c r="A82" s="47">
        <v>75</v>
      </c>
      <c r="B82" s="38">
        <v>147</v>
      </c>
      <c r="C82" s="38">
        <v>3</v>
      </c>
      <c r="D82" s="38">
        <v>231</v>
      </c>
      <c r="E82" s="38">
        <v>1</v>
      </c>
      <c r="F82" s="38">
        <v>0</v>
      </c>
      <c r="G82" s="38">
        <v>0</v>
      </c>
      <c r="H82" s="38">
        <v>0</v>
      </c>
      <c r="I82" s="38">
        <v>0</v>
      </c>
      <c r="J82" s="38">
        <v>11</v>
      </c>
      <c r="K82" s="38">
        <v>0</v>
      </c>
      <c r="L82" s="38">
        <v>0</v>
      </c>
      <c r="M82" s="38">
        <v>1</v>
      </c>
      <c r="N82" s="38">
        <v>2</v>
      </c>
      <c r="O82" s="38">
        <v>1</v>
      </c>
      <c r="P82" s="38">
        <v>0</v>
      </c>
      <c r="Q82" s="34">
        <f t="shared" si="2"/>
        <v>397</v>
      </c>
      <c r="R82" s="34">
        <v>0</v>
      </c>
      <c r="S82" s="34">
        <f t="shared" si="3"/>
        <v>397</v>
      </c>
      <c r="T82" s="34">
        <v>0</v>
      </c>
    </row>
    <row r="83" spans="1:20" s="3" customFormat="1" ht="24" customHeight="1">
      <c r="A83" s="47">
        <v>76</v>
      </c>
      <c r="B83" s="38">
        <v>227</v>
      </c>
      <c r="C83" s="38">
        <v>3</v>
      </c>
      <c r="D83" s="38">
        <v>131</v>
      </c>
      <c r="E83" s="38">
        <v>0</v>
      </c>
      <c r="F83" s="38">
        <v>0</v>
      </c>
      <c r="G83" s="38">
        <v>0</v>
      </c>
      <c r="H83" s="38">
        <v>1</v>
      </c>
      <c r="I83" s="38">
        <v>0</v>
      </c>
      <c r="J83" s="38">
        <v>3</v>
      </c>
      <c r="K83" s="38">
        <v>0</v>
      </c>
      <c r="L83" s="38">
        <v>1</v>
      </c>
      <c r="M83" s="38">
        <v>0</v>
      </c>
      <c r="N83" s="38">
        <v>1</v>
      </c>
      <c r="O83" s="38">
        <v>0</v>
      </c>
      <c r="P83" s="38">
        <v>2</v>
      </c>
      <c r="Q83" s="34">
        <f t="shared" si="2"/>
        <v>367</v>
      </c>
      <c r="R83" s="34">
        <v>0</v>
      </c>
      <c r="S83" s="34">
        <f t="shared" si="3"/>
        <v>369</v>
      </c>
      <c r="T83" s="34">
        <v>0</v>
      </c>
    </row>
    <row r="84" spans="1:20" s="3" customFormat="1" ht="24" customHeight="1">
      <c r="A84" s="47">
        <v>77</v>
      </c>
      <c r="B84" s="38">
        <v>273</v>
      </c>
      <c r="C84" s="38">
        <v>17</v>
      </c>
      <c r="D84" s="38">
        <v>77</v>
      </c>
      <c r="E84" s="38">
        <v>7</v>
      </c>
      <c r="F84" s="38">
        <v>0</v>
      </c>
      <c r="G84" s="38">
        <v>0</v>
      </c>
      <c r="H84" s="38">
        <v>0</v>
      </c>
      <c r="I84" s="38">
        <v>0</v>
      </c>
      <c r="J84" s="38">
        <v>1</v>
      </c>
      <c r="K84" s="38">
        <v>0</v>
      </c>
      <c r="L84" s="38">
        <v>1</v>
      </c>
      <c r="M84" s="38">
        <v>2</v>
      </c>
      <c r="N84" s="38">
        <v>1</v>
      </c>
      <c r="O84" s="38">
        <v>0</v>
      </c>
      <c r="P84" s="38">
        <v>2</v>
      </c>
      <c r="Q84" s="34">
        <f t="shared" si="2"/>
        <v>379</v>
      </c>
      <c r="R84" s="34">
        <v>0</v>
      </c>
      <c r="S84" s="34">
        <f t="shared" si="3"/>
        <v>381</v>
      </c>
      <c r="T84" s="34">
        <v>0</v>
      </c>
    </row>
    <row r="85" spans="1:20" s="3" customFormat="1" ht="24" customHeight="1">
      <c r="A85" s="47">
        <v>78</v>
      </c>
      <c r="B85" s="38">
        <v>255</v>
      </c>
      <c r="C85" s="38">
        <v>33</v>
      </c>
      <c r="D85" s="38">
        <v>86</v>
      </c>
      <c r="E85" s="38">
        <v>9</v>
      </c>
      <c r="F85" s="38">
        <v>0</v>
      </c>
      <c r="G85" s="38">
        <v>1</v>
      </c>
      <c r="H85" s="38">
        <v>0</v>
      </c>
      <c r="I85" s="38">
        <v>0</v>
      </c>
      <c r="J85" s="38">
        <v>1</v>
      </c>
      <c r="K85" s="38">
        <v>0</v>
      </c>
      <c r="L85" s="38">
        <v>0</v>
      </c>
      <c r="M85" s="38">
        <v>2</v>
      </c>
      <c r="N85" s="38">
        <v>1</v>
      </c>
      <c r="O85" s="38">
        <v>1</v>
      </c>
      <c r="P85" s="38">
        <v>2</v>
      </c>
      <c r="Q85" s="34">
        <f t="shared" si="2"/>
        <v>389</v>
      </c>
      <c r="R85" s="34">
        <v>0</v>
      </c>
      <c r="S85" s="34">
        <f t="shared" si="3"/>
        <v>391</v>
      </c>
      <c r="T85" s="34">
        <v>0</v>
      </c>
    </row>
    <row r="86" spans="1:20" s="3" customFormat="1" ht="24" customHeight="1">
      <c r="A86" s="47">
        <v>79</v>
      </c>
      <c r="B86" s="38">
        <v>128</v>
      </c>
      <c r="C86" s="38">
        <v>14</v>
      </c>
      <c r="D86" s="38">
        <v>327</v>
      </c>
      <c r="E86" s="38">
        <v>2</v>
      </c>
      <c r="F86" s="38">
        <v>0</v>
      </c>
      <c r="G86" s="38">
        <v>1</v>
      </c>
      <c r="H86" s="38">
        <v>0</v>
      </c>
      <c r="I86" s="38">
        <v>0</v>
      </c>
      <c r="J86" s="38">
        <v>11</v>
      </c>
      <c r="K86" s="38">
        <v>0</v>
      </c>
      <c r="L86" s="38">
        <v>0</v>
      </c>
      <c r="M86" s="38">
        <v>1</v>
      </c>
      <c r="N86" s="38">
        <v>4</v>
      </c>
      <c r="O86" s="38">
        <v>1</v>
      </c>
      <c r="P86" s="38">
        <v>0</v>
      </c>
      <c r="Q86" s="34">
        <f t="shared" si="2"/>
        <v>489</v>
      </c>
      <c r="R86" s="34">
        <v>0</v>
      </c>
      <c r="S86" s="34">
        <f t="shared" si="3"/>
        <v>489</v>
      </c>
      <c r="T86" s="34">
        <v>0</v>
      </c>
    </row>
    <row r="87" spans="1:20" s="3" customFormat="1" ht="24" customHeight="1">
      <c r="A87" s="47">
        <v>80</v>
      </c>
      <c r="B87" s="38">
        <v>289</v>
      </c>
      <c r="C87" s="38">
        <v>20</v>
      </c>
      <c r="D87" s="38">
        <v>125</v>
      </c>
      <c r="E87" s="38">
        <v>17</v>
      </c>
      <c r="F87" s="38">
        <v>1</v>
      </c>
      <c r="G87" s="38">
        <v>0</v>
      </c>
      <c r="H87" s="38">
        <v>0</v>
      </c>
      <c r="I87" s="38">
        <v>0</v>
      </c>
      <c r="J87" s="38">
        <v>1</v>
      </c>
      <c r="K87" s="38">
        <v>2</v>
      </c>
      <c r="L87" s="38">
        <v>0</v>
      </c>
      <c r="M87" s="38">
        <v>0</v>
      </c>
      <c r="N87" s="38">
        <v>2</v>
      </c>
      <c r="O87" s="38">
        <v>2</v>
      </c>
      <c r="P87" s="38">
        <v>5</v>
      </c>
      <c r="Q87" s="34">
        <f t="shared" si="2"/>
        <v>459</v>
      </c>
      <c r="R87" s="34">
        <v>0</v>
      </c>
      <c r="S87" s="34">
        <f t="shared" si="3"/>
        <v>464</v>
      </c>
      <c r="T87" s="34">
        <v>0</v>
      </c>
    </row>
    <row r="88" spans="1:20" s="3" customFormat="1" ht="24" customHeight="1">
      <c r="A88" s="47">
        <v>81</v>
      </c>
      <c r="B88" s="38">
        <v>297</v>
      </c>
      <c r="C88" s="38">
        <v>17</v>
      </c>
      <c r="D88" s="38">
        <v>80</v>
      </c>
      <c r="E88" s="38">
        <v>0</v>
      </c>
      <c r="F88" s="38">
        <v>0</v>
      </c>
      <c r="G88" s="38">
        <v>1</v>
      </c>
      <c r="H88" s="38">
        <v>1</v>
      </c>
      <c r="I88" s="38">
        <v>0</v>
      </c>
      <c r="J88" s="38">
        <v>3</v>
      </c>
      <c r="K88" s="38">
        <v>1</v>
      </c>
      <c r="L88" s="38">
        <v>0</v>
      </c>
      <c r="M88" s="38">
        <v>1</v>
      </c>
      <c r="N88" s="38">
        <v>1</v>
      </c>
      <c r="O88" s="38">
        <v>1</v>
      </c>
      <c r="P88" s="38">
        <v>5</v>
      </c>
      <c r="Q88" s="34">
        <f t="shared" si="2"/>
        <v>403</v>
      </c>
      <c r="R88" s="34">
        <v>0</v>
      </c>
      <c r="S88" s="34">
        <f t="shared" si="3"/>
        <v>408</v>
      </c>
      <c r="T88" s="34">
        <v>0</v>
      </c>
    </row>
    <row r="89" spans="1:20" s="3" customFormat="1" ht="24" customHeight="1">
      <c r="A89" s="47">
        <v>82</v>
      </c>
      <c r="B89" s="38">
        <v>261</v>
      </c>
      <c r="C89" s="38">
        <v>32</v>
      </c>
      <c r="D89" s="38">
        <v>168</v>
      </c>
      <c r="E89" s="38">
        <v>6</v>
      </c>
      <c r="F89" s="38">
        <v>0</v>
      </c>
      <c r="G89" s="38">
        <v>3</v>
      </c>
      <c r="H89" s="38">
        <v>0</v>
      </c>
      <c r="I89" s="38">
        <v>2</v>
      </c>
      <c r="J89" s="38">
        <v>0</v>
      </c>
      <c r="K89" s="38">
        <v>0</v>
      </c>
      <c r="L89" s="38">
        <v>0</v>
      </c>
      <c r="M89" s="38">
        <v>0</v>
      </c>
      <c r="N89" s="38">
        <v>2</v>
      </c>
      <c r="O89" s="38">
        <v>3</v>
      </c>
      <c r="P89" s="38">
        <v>7</v>
      </c>
      <c r="Q89" s="34">
        <f t="shared" si="2"/>
        <v>477</v>
      </c>
      <c r="R89" s="34">
        <v>0</v>
      </c>
      <c r="S89" s="34">
        <f t="shared" si="3"/>
        <v>484</v>
      </c>
      <c r="T89" s="34">
        <v>0</v>
      </c>
    </row>
    <row r="90" spans="1:20" s="3" customFormat="1" ht="24" customHeight="1">
      <c r="A90" s="47">
        <v>83</v>
      </c>
      <c r="B90" s="38">
        <v>269</v>
      </c>
      <c r="C90" s="38">
        <v>65</v>
      </c>
      <c r="D90" s="38">
        <v>82</v>
      </c>
      <c r="E90" s="38">
        <v>1</v>
      </c>
      <c r="F90" s="38">
        <v>0</v>
      </c>
      <c r="G90" s="38">
        <v>1</v>
      </c>
      <c r="H90" s="38">
        <v>0</v>
      </c>
      <c r="I90" s="38">
        <v>1</v>
      </c>
      <c r="J90" s="38">
        <v>7</v>
      </c>
      <c r="K90" s="38">
        <v>0</v>
      </c>
      <c r="L90" s="38">
        <v>0</v>
      </c>
      <c r="M90" s="38">
        <v>1</v>
      </c>
      <c r="N90" s="38">
        <v>0</v>
      </c>
      <c r="O90" s="38">
        <v>1</v>
      </c>
      <c r="P90" s="38">
        <v>7</v>
      </c>
      <c r="Q90" s="34">
        <f t="shared" si="2"/>
        <v>428</v>
      </c>
      <c r="R90" s="34">
        <v>0</v>
      </c>
      <c r="S90" s="34">
        <f t="shared" si="3"/>
        <v>435</v>
      </c>
      <c r="T90" s="34">
        <v>0</v>
      </c>
    </row>
    <row r="91" spans="1:20" s="3" customFormat="1" ht="24" customHeight="1">
      <c r="A91" s="47">
        <v>84</v>
      </c>
      <c r="B91" s="38">
        <v>305</v>
      </c>
      <c r="C91" s="38">
        <v>67</v>
      </c>
      <c r="D91" s="38">
        <v>118</v>
      </c>
      <c r="E91" s="38">
        <v>1</v>
      </c>
      <c r="F91" s="38">
        <v>0</v>
      </c>
      <c r="G91" s="38">
        <v>0</v>
      </c>
      <c r="H91" s="38">
        <v>0</v>
      </c>
      <c r="I91" s="38">
        <v>0</v>
      </c>
      <c r="J91" s="38">
        <v>1</v>
      </c>
      <c r="K91" s="38">
        <v>0</v>
      </c>
      <c r="L91" s="38">
        <v>0</v>
      </c>
      <c r="M91" s="38">
        <v>1</v>
      </c>
      <c r="N91" s="38">
        <v>0</v>
      </c>
      <c r="O91" s="38">
        <v>0</v>
      </c>
      <c r="P91" s="38">
        <v>2</v>
      </c>
      <c r="Q91" s="34">
        <f t="shared" si="2"/>
        <v>493</v>
      </c>
      <c r="R91" s="34">
        <v>0</v>
      </c>
      <c r="S91" s="34">
        <f t="shared" si="3"/>
        <v>495</v>
      </c>
      <c r="T91" s="34">
        <v>0</v>
      </c>
    </row>
    <row r="92" spans="1:20" s="3" customFormat="1" ht="24" customHeight="1">
      <c r="A92" s="48">
        <v>85</v>
      </c>
      <c r="B92" s="38">
        <v>345</v>
      </c>
      <c r="C92" s="38">
        <v>23</v>
      </c>
      <c r="D92" s="38">
        <v>207</v>
      </c>
      <c r="E92" s="38">
        <v>3</v>
      </c>
      <c r="F92" s="38">
        <v>0</v>
      </c>
      <c r="G92" s="38">
        <v>0</v>
      </c>
      <c r="H92" s="38">
        <v>0</v>
      </c>
      <c r="I92" s="38">
        <v>0</v>
      </c>
      <c r="J92" s="38">
        <v>1</v>
      </c>
      <c r="K92" s="38">
        <v>1</v>
      </c>
      <c r="L92" s="38">
        <v>1</v>
      </c>
      <c r="M92" s="38">
        <v>0</v>
      </c>
      <c r="N92" s="38">
        <v>1</v>
      </c>
      <c r="O92" s="38">
        <v>1</v>
      </c>
      <c r="P92" s="38">
        <v>4</v>
      </c>
      <c r="Q92" s="34">
        <f t="shared" si="2"/>
        <v>583</v>
      </c>
      <c r="R92" s="34">
        <v>0</v>
      </c>
      <c r="S92" s="34">
        <f t="shared" si="3"/>
        <v>587</v>
      </c>
      <c r="T92" s="34">
        <v>0</v>
      </c>
    </row>
    <row r="93" spans="1:20" s="3" customFormat="1" ht="24" customHeight="1">
      <c r="A93" s="48">
        <v>86</v>
      </c>
      <c r="B93" s="38">
        <v>222</v>
      </c>
      <c r="C93" s="38">
        <v>41</v>
      </c>
      <c r="D93" s="38">
        <v>266</v>
      </c>
      <c r="E93" s="38">
        <v>5</v>
      </c>
      <c r="F93" s="38">
        <v>1</v>
      </c>
      <c r="G93" s="38">
        <v>0</v>
      </c>
      <c r="H93" s="38">
        <v>1</v>
      </c>
      <c r="I93" s="38">
        <v>0</v>
      </c>
      <c r="J93" s="38">
        <v>3</v>
      </c>
      <c r="K93" s="38">
        <v>0</v>
      </c>
      <c r="L93" s="38">
        <v>0</v>
      </c>
      <c r="M93" s="38">
        <v>0</v>
      </c>
      <c r="N93" s="38">
        <v>2</v>
      </c>
      <c r="O93" s="38">
        <v>0</v>
      </c>
      <c r="P93" s="38">
        <v>2</v>
      </c>
      <c r="Q93" s="34">
        <f t="shared" si="2"/>
        <v>541</v>
      </c>
      <c r="R93" s="34">
        <v>0</v>
      </c>
      <c r="S93" s="34">
        <f t="shared" si="3"/>
        <v>543</v>
      </c>
      <c r="T93" s="34">
        <v>0</v>
      </c>
    </row>
    <row r="94" spans="1:20" s="3" customFormat="1" ht="24" customHeight="1">
      <c r="A94" s="48">
        <v>87</v>
      </c>
      <c r="B94" s="38">
        <v>284</v>
      </c>
      <c r="C94" s="38">
        <v>54</v>
      </c>
      <c r="D94" s="38">
        <v>284</v>
      </c>
      <c r="E94" s="38">
        <v>3</v>
      </c>
      <c r="F94" s="38">
        <v>0</v>
      </c>
      <c r="G94" s="38">
        <v>0</v>
      </c>
      <c r="H94" s="38">
        <v>1</v>
      </c>
      <c r="I94" s="38">
        <v>3</v>
      </c>
      <c r="J94" s="38">
        <v>21</v>
      </c>
      <c r="K94" s="38">
        <v>2</v>
      </c>
      <c r="L94" s="38">
        <v>3</v>
      </c>
      <c r="M94" s="38">
        <v>0</v>
      </c>
      <c r="N94" s="38">
        <v>0</v>
      </c>
      <c r="O94" s="38">
        <v>0</v>
      </c>
      <c r="P94" s="38">
        <v>2</v>
      </c>
      <c r="Q94" s="34">
        <f t="shared" si="2"/>
        <v>655</v>
      </c>
      <c r="R94" s="34">
        <v>0</v>
      </c>
      <c r="S94" s="34">
        <f t="shared" si="3"/>
        <v>657</v>
      </c>
      <c r="T94" s="34">
        <v>0</v>
      </c>
    </row>
    <row r="95" spans="1:20" s="3" customFormat="1" ht="24" customHeight="1">
      <c r="A95" s="48">
        <v>88</v>
      </c>
      <c r="B95" s="38">
        <v>141</v>
      </c>
      <c r="C95" s="38">
        <v>53</v>
      </c>
      <c r="D95" s="38">
        <v>350</v>
      </c>
      <c r="E95" s="38">
        <v>4</v>
      </c>
      <c r="F95" s="38">
        <v>1</v>
      </c>
      <c r="G95" s="38">
        <v>0</v>
      </c>
      <c r="H95" s="38">
        <v>0</v>
      </c>
      <c r="I95" s="38">
        <v>2</v>
      </c>
      <c r="J95" s="38">
        <v>55</v>
      </c>
      <c r="K95" s="38">
        <v>0</v>
      </c>
      <c r="L95" s="38">
        <v>3</v>
      </c>
      <c r="M95" s="38">
        <v>3</v>
      </c>
      <c r="N95" s="38">
        <v>2</v>
      </c>
      <c r="O95" s="38">
        <v>1</v>
      </c>
      <c r="P95" s="38">
        <v>4</v>
      </c>
      <c r="Q95" s="34">
        <f t="shared" si="2"/>
        <v>615</v>
      </c>
      <c r="R95" s="34">
        <v>0</v>
      </c>
      <c r="S95" s="34">
        <f t="shared" si="3"/>
        <v>619</v>
      </c>
      <c r="T95" s="34">
        <v>0</v>
      </c>
    </row>
    <row r="96" spans="1:20" s="3" customFormat="1" ht="24" customHeight="1">
      <c r="A96" s="48">
        <v>89</v>
      </c>
      <c r="B96" s="38">
        <v>54</v>
      </c>
      <c r="C96" s="38">
        <v>19</v>
      </c>
      <c r="D96" s="38">
        <v>381</v>
      </c>
      <c r="E96" s="38">
        <v>3</v>
      </c>
      <c r="F96" s="38">
        <v>1</v>
      </c>
      <c r="G96" s="38">
        <v>0</v>
      </c>
      <c r="H96" s="38">
        <v>0</v>
      </c>
      <c r="I96" s="38">
        <v>1</v>
      </c>
      <c r="J96" s="38">
        <v>51</v>
      </c>
      <c r="K96" s="38">
        <v>1</v>
      </c>
      <c r="L96" s="38">
        <v>1</v>
      </c>
      <c r="M96" s="38">
        <v>0</v>
      </c>
      <c r="N96" s="38">
        <v>0</v>
      </c>
      <c r="O96" s="38">
        <v>2</v>
      </c>
      <c r="P96" s="38">
        <v>3</v>
      </c>
      <c r="Q96" s="34">
        <f t="shared" si="2"/>
        <v>514</v>
      </c>
      <c r="R96" s="34">
        <v>0</v>
      </c>
      <c r="S96" s="34">
        <f t="shared" si="3"/>
        <v>517</v>
      </c>
      <c r="T96" s="34">
        <v>0</v>
      </c>
    </row>
    <row r="97" spans="1:20" s="3" customFormat="1" ht="24" customHeight="1">
      <c r="A97" s="48">
        <v>90</v>
      </c>
      <c r="B97" s="38">
        <v>316</v>
      </c>
      <c r="C97" s="38">
        <v>31</v>
      </c>
      <c r="D97" s="38">
        <v>222</v>
      </c>
      <c r="E97" s="38">
        <v>2</v>
      </c>
      <c r="F97" s="38">
        <v>0</v>
      </c>
      <c r="G97" s="38">
        <v>0</v>
      </c>
      <c r="H97" s="38">
        <v>0</v>
      </c>
      <c r="I97" s="38">
        <v>1</v>
      </c>
      <c r="J97" s="38">
        <v>1</v>
      </c>
      <c r="K97" s="38">
        <v>0</v>
      </c>
      <c r="L97" s="38">
        <v>0</v>
      </c>
      <c r="M97" s="38">
        <v>0</v>
      </c>
      <c r="N97" s="38">
        <v>1</v>
      </c>
      <c r="O97" s="38">
        <v>1</v>
      </c>
      <c r="P97" s="38">
        <v>1</v>
      </c>
      <c r="Q97" s="34">
        <f t="shared" si="2"/>
        <v>575</v>
      </c>
      <c r="R97" s="34">
        <v>0</v>
      </c>
      <c r="S97" s="34">
        <f t="shared" si="3"/>
        <v>576</v>
      </c>
      <c r="T97" s="34">
        <v>0</v>
      </c>
    </row>
    <row r="98" spans="1:20" s="3" customFormat="1" ht="24" customHeight="1">
      <c r="A98" s="48">
        <v>91</v>
      </c>
      <c r="B98" s="38">
        <v>213</v>
      </c>
      <c r="C98" s="38">
        <v>57</v>
      </c>
      <c r="D98" s="38">
        <v>135</v>
      </c>
      <c r="E98" s="38">
        <v>3</v>
      </c>
      <c r="F98" s="38">
        <v>0</v>
      </c>
      <c r="G98" s="38">
        <v>0</v>
      </c>
      <c r="H98" s="38">
        <v>0</v>
      </c>
      <c r="I98" s="38">
        <v>0</v>
      </c>
      <c r="J98" s="38">
        <v>4</v>
      </c>
      <c r="K98" s="38">
        <v>1</v>
      </c>
      <c r="L98" s="38">
        <v>2</v>
      </c>
      <c r="M98" s="38">
        <v>1</v>
      </c>
      <c r="N98" s="38">
        <v>2</v>
      </c>
      <c r="O98" s="38">
        <v>0</v>
      </c>
      <c r="P98" s="38">
        <v>2</v>
      </c>
      <c r="Q98" s="34">
        <f t="shared" si="2"/>
        <v>418</v>
      </c>
      <c r="R98" s="34">
        <v>0</v>
      </c>
      <c r="S98" s="34">
        <f t="shared" si="3"/>
        <v>420</v>
      </c>
      <c r="T98" s="34">
        <v>0</v>
      </c>
    </row>
    <row r="99" spans="1:20" s="3" customFormat="1" ht="24" customHeight="1">
      <c r="A99" s="48">
        <v>92</v>
      </c>
      <c r="B99" s="38">
        <v>131</v>
      </c>
      <c r="C99" s="38">
        <v>61</v>
      </c>
      <c r="D99" s="38">
        <v>179</v>
      </c>
      <c r="E99" s="38">
        <v>0</v>
      </c>
      <c r="F99" s="38">
        <v>0</v>
      </c>
      <c r="G99" s="38">
        <v>0</v>
      </c>
      <c r="H99" s="38">
        <v>0</v>
      </c>
      <c r="I99" s="38">
        <v>0</v>
      </c>
      <c r="J99" s="38">
        <v>49</v>
      </c>
      <c r="K99" s="38">
        <v>0</v>
      </c>
      <c r="L99" s="38">
        <v>1</v>
      </c>
      <c r="M99" s="38">
        <v>0</v>
      </c>
      <c r="N99" s="38">
        <v>2</v>
      </c>
      <c r="O99" s="38">
        <v>2</v>
      </c>
      <c r="P99" s="38">
        <v>6</v>
      </c>
      <c r="Q99" s="34">
        <f t="shared" si="2"/>
        <v>425</v>
      </c>
      <c r="R99" s="34">
        <v>0</v>
      </c>
      <c r="S99" s="34">
        <f t="shared" si="3"/>
        <v>431</v>
      </c>
      <c r="T99" s="34">
        <v>0</v>
      </c>
    </row>
    <row r="100" spans="1:20" s="3" customFormat="1" ht="24" customHeight="1">
      <c r="A100" s="48">
        <v>93</v>
      </c>
      <c r="B100" s="38">
        <v>204</v>
      </c>
      <c r="C100" s="38">
        <v>19</v>
      </c>
      <c r="D100" s="38">
        <v>148</v>
      </c>
      <c r="E100" s="38">
        <v>4</v>
      </c>
      <c r="F100" s="38">
        <v>1</v>
      </c>
      <c r="G100" s="38">
        <v>1</v>
      </c>
      <c r="H100" s="38">
        <v>0</v>
      </c>
      <c r="I100" s="38">
        <v>2</v>
      </c>
      <c r="J100" s="38">
        <v>17</v>
      </c>
      <c r="K100" s="38">
        <v>1</v>
      </c>
      <c r="L100" s="38">
        <v>0</v>
      </c>
      <c r="M100" s="38">
        <v>1</v>
      </c>
      <c r="N100" s="38">
        <v>0</v>
      </c>
      <c r="O100" s="38">
        <v>0</v>
      </c>
      <c r="P100" s="38">
        <v>1</v>
      </c>
      <c r="Q100" s="34">
        <f t="shared" si="2"/>
        <v>398</v>
      </c>
      <c r="R100" s="34">
        <v>0</v>
      </c>
      <c r="S100" s="34">
        <f t="shared" si="3"/>
        <v>399</v>
      </c>
      <c r="T100" s="34">
        <v>0</v>
      </c>
    </row>
    <row r="101" spans="1:20" s="3" customFormat="1" ht="24" customHeight="1">
      <c r="A101" s="48">
        <v>94</v>
      </c>
      <c r="B101" s="38">
        <v>221</v>
      </c>
      <c r="C101" s="38">
        <v>25</v>
      </c>
      <c r="D101" s="38">
        <v>149</v>
      </c>
      <c r="E101" s="38">
        <v>1</v>
      </c>
      <c r="F101" s="38">
        <v>0</v>
      </c>
      <c r="G101" s="38">
        <v>0</v>
      </c>
      <c r="H101" s="38">
        <v>0</v>
      </c>
      <c r="I101" s="38">
        <v>1</v>
      </c>
      <c r="J101" s="38">
        <v>19</v>
      </c>
      <c r="K101" s="38">
        <v>1</v>
      </c>
      <c r="L101" s="38">
        <v>0</v>
      </c>
      <c r="M101" s="38">
        <v>0</v>
      </c>
      <c r="N101" s="38">
        <v>0</v>
      </c>
      <c r="O101" s="38">
        <v>1</v>
      </c>
      <c r="P101" s="38">
        <v>0</v>
      </c>
      <c r="Q101" s="34">
        <f t="shared" si="2"/>
        <v>418</v>
      </c>
      <c r="R101" s="34">
        <v>0</v>
      </c>
      <c r="S101" s="34">
        <f t="shared" si="3"/>
        <v>418</v>
      </c>
      <c r="T101" s="34">
        <v>0</v>
      </c>
    </row>
    <row r="102" spans="1:20" s="3" customFormat="1" ht="24" customHeight="1">
      <c r="A102" s="48">
        <v>95</v>
      </c>
      <c r="B102" s="38">
        <v>334</v>
      </c>
      <c r="C102" s="38">
        <v>40</v>
      </c>
      <c r="D102" s="38">
        <v>49</v>
      </c>
      <c r="E102" s="38">
        <v>8</v>
      </c>
      <c r="F102" s="38">
        <v>0</v>
      </c>
      <c r="G102" s="38">
        <v>0</v>
      </c>
      <c r="H102" s="38">
        <v>0</v>
      </c>
      <c r="I102" s="38">
        <v>0</v>
      </c>
      <c r="J102" s="38">
        <v>0</v>
      </c>
      <c r="K102" s="38">
        <v>0</v>
      </c>
      <c r="L102" s="38">
        <v>1</v>
      </c>
      <c r="M102" s="38">
        <v>0</v>
      </c>
      <c r="N102" s="38">
        <v>0</v>
      </c>
      <c r="O102" s="38">
        <v>0</v>
      </c>
      <c r="P102" s="38">
        <v>1</v>
      </c>
      <c r="Q102" s="34">
        <f t="shared" si="2"/>
        <v>432</v>
      </c>
      <c r="R102" s="34">
        <v>0</v>
      </c>
      <c r="S102" s="34">
        <f t="shared" si="3"/>
        <v>433</v>
      </c>
      <c r="T102" s="34">
        <v>0</v>
      </c>
    </row>
    <row r="103" spans="1:20" s="3" customFormat="1" ht="24" customHeight="1">
      <c r="A103" s="48">
        <v>96</v>
      </c>
      <c r="B103" s="38">
        <v>316</v>
      </c>
      <c r="C103" s="38">
        <v>36</v>
      </c>
      <c r="D103" s="38">
        <v>134</v>
      </c>
      <c r="E103" s="38">
        <v>1</v>
      </c>
      <c r="F103" s="38">
        <v>0</v>
      </c>
      <c r="G103" s="38">
        <v>0</v>
      </c>
      <c r="H103" s="38">
        <v>0</v>
      </c>
      <c r="I103" s="38">
        <v>0</v>
      </c>
      <c r="J103" s="38">
        <v>0</v>
      </c>
      <c r="K103" s="38">
        <v>0</v>
      </c>
      <c r="L103" s="38">
        <v>1</v>
      </c>
      <c r="M103" s="38">
        <v>2</v>
      </c>
      <c r="N103" s="38">
        <v>4</v>
      </c>
      <c r="O103" s="38">
        <v>1</v>
      </c>
      <c r="P103" s="38">
        <v>2</v>
      </c>
      <c r="Q103" s="34">
        <f t="shared" si="2"/>
        <v>495</v>
      </c>
      <c r="R103" s="34">
        <v>0</v>
      </c>
      <c r="S103" s="34">
        <f t="shared" si="3"/>
        <v>497</v>
      </c>
      <c r="T103" s="34">
        <v>0</v>
      </c>
    </row>
    <row r="104" spans="1:20" s="3" customFormat="1" ht="24" customHeight="1">
      <c r="A104" s="48">
        <v>97</v>
      </c>
      <c r="B104" s="38">
        <v>213</v>
      </c>
      <c r="C104" s="38">
        <v>19</v>
      </c>
      <c r="D104" s="38">
        <v>131</v>
      </c>
      <c r="E104" s="38">
        <v>3</v>
      </c>
      <c r="F104" s="38">
        <v>0</v>
      </c>
      <c r="G104" s="38">
        <v>0</v>
      </c>
      <c r="H104" s="38">
        <v>0</v>
      </c>
      <c r="I104" s="38">
        <v>0</v>
      </c>
      <c r="J104" s="38">
        <v>0</v>
      </c>
      <c r="K104" s="38">
        <v>0</v>
      </c>
      <c r="L104" s="38">
        <v>0</v>
      </c>
      <c r="M104" s="38">
        <v>2</v>
      </c>
      <c r="N104" s="38">
        <v>0</v>
      </c>
      <c r="O104" s="38">
        <v>0</v>
      </c>
      <c r="P104" s="38">
        <v>1</v>
      </c>
      <c r="Q104" s="34">
        <f t="shared" si="2"/>
        <v>368</v>
      </c>
      <c r="R104" s="34">
        <v>0</v>
      </c>
      <c r="S104" s="34">
        <f t="shared" si="3"/>
        <v>369</v>
      </c>
      <c r="T104" s="34">
        <v>0</v>
      </c>
    </row>
    <row r="105" spans="1:20" s="3" customFormat="1" ht="24" customHeight="1">
      <c r="A105" s="48">
        <v>98</v>
      </c>
      <c r="B105" s="38">
        <v>153</v>
      </c>
      <c r="C105" s="38">
        <v>19</v>
      </c>
      <c r="D105" s="38">
        <v>231</v>
      </c>
      <c r="E105" s="38">
        <v>6</v>
      </c>
      <c r="F105" s="38">
        <v>1</v>
      </c>
      <c r="G105" s="38">
        <v>0</v>
      </c>
      <c r="H105" s="38">
        <v>0</v>
      </c>
      <c r="I105" s="38">
        <v>0</v>
      </c>
      <c r="J105" s="38">
        <v>0</v>
      </c>
      <c r="K105" s="38">
        <v>0</v>
      </c>
      <c r="L105" s="38">
        <v>0</v>
      </c>
      <c r="M105" s="38">
        <v>0</v>
      </c>
      <c r="N105" s="38">
        <v>3</v>
      </c>
      <c r="O105" s="38">
        <v>0</v>
      </c>
      <c r="P105" s="38">
        <v>0</v>
      </c>
      <c r="Q105" s="34">
        <f t="shared" si="2"/>
        <v>413</v>
      </c>
      <c r="R105" s="34">
        <v>0</v>
      </c>
      <c r="S105" s="34">
        <f t="shared" si="3"/>
        <v>413</v>
      </c>
      <c r="T105" s="34">
        <v>0</v>
      </c>
    </row>
    <row r="106" spans="1:20" s="3" customFormat="1" ht="24" customHeight="1">
      <c r="A106" s="46">
        <v>99</v>
      </c>
      <c r="B106" s="38">
        <v>158</v>
      </c>
      <c r="C106" s="38">
        <v>62</v>
      </c>
      <c r="D106" s="38">
        <v>364</v>
      </c>
      <c r="E106" s="38">
        <v>3</v>
      </c>
      <c r="F106" s="38">
        <v>0</v>
      </c>
      <c r="G106" s="38">
        <v>0</v>
      </c>
      <c r="H106" s="38">
        <v>0</v>
      </c>
      <c r="I106" s="38">
        <v>1</v>
      </c>
      <c r="J106" s="38">
        <v>6</v>
      </c>
      <c r="K106" s="38">
        <v>0</v>
      </c>
      <c r="L106" s="38">
        <v>0</v>
      </c>
      <c r="M106" s="38">
        <v>1</v>
      </c>
      <c r="N106" s="38">
        <v>0</v>
      </c>
      <c r="O106" s="38">
        <v>0</v>
      </c>
      <c r="P106" s="38">
        <v>0</v>
      </c>
      <c r="Q106" s="34">
        <f t="shared" si="2"/>
        <v>595</v>
      </c>
      <c r="R106" s="34">
        <v>0</v>
      </c>
      <c r="S106" s="34">
        <f t="shared" si="3"/>
        <v>595</v>
      </c>
      <c r="T106" s="34">
        <v>0</v>
      </c>
    </row>
    <row r="107" spans="1:20" s="3" customFormat="1" ht="24" customHeight="1">
      <c r="A107" s="46">
        <v>100</v>
      </c>
      <c r="B107" s="38">
        <v>162</v>
      </c>
      <c r="C107" s="38">
        <v>28</v>
      </c>
      <c r="D107" s="38">
        <v>190</v>
      </c>
      <c r="E107" s="38">
        <v>0</v>
      </c>
      <c r="F107" s="38">
        <v>0</v>
      </c>
      <c r="G107" s="38">
        <v>0</v>
      </c>
      <c r="H107" s="38">
        <v>1</v>
      </c>
      <c r="I107" s="38">
        <v>0</v>
      </c>
      <c r="J107" s="38">
        <v>0</v>
      </c>
      <c r="K107" s="38">
        <v>0</v>
      </c>
      <c r="L107" s="38">
        <v>0</v>
      </c>
      <c r="M107" s="38">
        <v>0</v>
      </c>
      <c r="N107" s="38">
        <v>0</v>
      </c>
      <c r="O107" s="38">
        <v>0</v>
      </c>
      <c r="P107" s="38">
        <v>0</v>
      </c>
      <c r="Q107" s="34">
        <f t="shared" si="2"/>
        <v>381</v>
      </c>
      <c r="R107" s="34">
        <v>0</v>
      </c>
      <c r="S107" s="34">
        <f t="shared" si="3"/>
        <v>381</v>
      </c>
      <c r="T107" s="34">
        <v>0</v>
      </c>
    </row>
    <row r="108" spans="1:20" s="3" customFormat="1" ht="24" customHeight="1">
      <c r="A108" s="46">
        <v>101</v>
      </c>
      <c r="B108" s="38">
        <v>251</v>
      </c>
      <c r="C108" s="38">
        <v>11</v>
      </c>
      <c r="D108" s="38">
        <v>217</v>
      </c>
      <c r="E108" s="38">
        <v>2</v>
      </c>
      <c r="F108" s="38">
        <v>0</v>
      </c>
      <c r="G108" s="38">
        <v>0</v>
      </c>
      <c r="H108" s="38">
        <v>0</v>
      </c>
      <c r="I108" s="38">
        <v>1</v>
      </c>
      <c r="J108" s="38">
        <v>0</v>
      </c>
      <c r="K108" s="38">
        <v>0</v>
      </c>
      <c r="L108" s="38">
        <v>2</v>
      </c>
      <c r="M108" s="38">
        <v>2</v>
      </c>
      <c r="N108" s="38">
        <v>1</v>
      </c>
      <c r="O108" s="38">
        <v>2</v>
      </c>
      <c r="P108" s="38">
        <v>3</v>
      </c>
      <c r="Q108" s="34">
        <f t="shared" si="2"/>
        <v>489</v>
      </c>
      <c r="R108" s="34">
        <v>0</v>
      </c>
      <c r="S108" s="34">
        <f t="shared" si="3"/>
        <v>492</v>
      </c>
      <c r="T108" s="34">
        <v>0</v>
      </c>
    </row>
    <row r="109" spans="1:20" s="3" customFormat="1" ht="24" customHeight="1">
      <c r="A109" s="46">
        <v>102</v>
      </c>
      <c r="B109" s="38">
        <v>233</v>
      </c>
      <c r="C109" s="38">
        <v>36</v>
      </c>
      <c r="D109" s="38">
        <v>175</v>
      </c>
      <c r="E109" s="38">
        <v>2</v>
      </c>
      <c r="F109" s="38">
        <v>0</v>
      </c>
      <c r="G109" s="38">
        <v>1</v>
      </c>
      <c r="H109" s="38">
        <v>1</v>
      </c>
      <c r="I109" s="38">
        <v>0</v>
      </c>
      <c r="J109" s="38">
        <v>1</v>
      </c>
      <c r="K109" s="38">
        <v>1</v>
      </c>
      <c r="L109" s="38">
        <v>0</v>
      </c>
      <c r="M109" s="38">
        <v>0</v>
      </c>
      <c r="N109" s="38">
        <v>0</v>
      </c>
      <c r="O109" s="38">
        <v>0</v>
      </c>
      <c r="P109" s="38">
        <v>1</v>
      </c>
      <c r="Q109" s="34">
        <f t="shared" si="2"/>
        <v>450</v>
      </c>
      <c r="R109" s="34">
        <v>0</v>
      </c>
      <c r="S109" s="34">
        <f t="shared" si="3"/>
        <v>451</v>
      </c>
      <c r="T109" s="34">
        <v>0</v>
      </c>
    </row>
    <row r="110" spans="1:20" s="3" customFormat="1" ht="24" customHeight="1">
      <c r="A110" s="46">
        <v>103</v>
      </c>
      <c r="B110" s="38">
        <v>202</v>
      </c>
      <c r="C110" s="38">
        <v>71</v>
      </c>
      <c r="D110" s="38">
        <v>112</v>
      </c>
      <c r="E110" s="38">
        <v>6</v>
      </c>
      <c r="F110" s="38">
        <v>0</v>
      </c>
      <c r="G110" s="38">
        <v>0</v>
      </c>
      <c r="H110" s="38">
        <v>0</v>
      </c>
      <c r="I110" s="38">
        <v>1</v>
      </c>
      <c r="J110" s="38">
        <v>0</v>
      </c>
      <c r="K110" s="38">
        <v>0</v>
      </c>
      <c r="L110" s="38">
        <v>0</v>
      </c>
      <c r="M110" s="38">
        <v>1</v>
      </c>
      <c r="N110" s="38">
        <v>0</v>
      </c>
      <c r="O110" s="38">
        <v>2</v>
      </c>
      <c r="P110" s="38">
        <v>1</v>
      </c>
      <c r="Q110" s="34">
        <f t="shared" si="2"/>
        <v>395</v>
      </c>
      <c r="R110" s="34">
        <v>0</v>
      </c>
      <c r="S110" s="34">
        <f t="shared" si="3"/>
        <v>396</v>
      </c>
      <c r="T110" s="34">
        <v>0</v>
      </c>
    </row>
    <row r="111" spans="1:20" s="3" customFormat="1" ht="24" customHeight="1">
      <c r="A111" s="46">
        <v>104</v>
      </c>
      <c r="B111" s="38">
        <v>76</v>
      </c>
      <c r="C111" s="38">
        <v>61</v>
      </c>
      <c r="D111" s="38">
        <v>243</v>
      </c>
      <c r="E111" s="38">
        <v>5</v>
      </c>
      <c r="F111" s="38">
        <v>0</v>
      </c>
      <c r="G111" s="38">
        <v>1</v>
      </c>
      <c r="H111" s="38">
        <v>1</v>
      </c>
      <c r="I111" s="38">
        <v>0</v>
      </c>
      <c r="J111" s="38">
        <v>2</v>
      </c>
      <c r="K111" s="38">
        <v>0</v>
      </c>
      <c r="L111" s="38">
        <v>2</v>
      </c>
      <c r="M111" s="38">
        <v>1</v>
      </c>
      <c r="N111" s="38">
        <v>1</v>
      </c>
      <c r="O111" s="38">
        <v>1</v>
      </c>
      <c r="P111" s="38">
        <v>0</v>
      </c>
      <c r="Q111" s="34">
        <f t="shared" si="2"/>
        <v>394</v>
      </c>
      <c r="R111" s="34">
        <v>0</v>
      </c>
      <c r="S111" s="34">
        <f t="shared" si="3"/>
        <v>394</v>
      </c>
      <c r="T111" s="34">
        <v>0</v>
      </c>
    </row>
    <row r="112" spans="1:20" s="3" customFormat="1" ht="24" customHeight="1">
      <c r="A112" s="46">
        <v>105</v>
      </c>
      <c r="B112" s="38">
        <v>194</v>
      </c>
      <c r="C112" s="38">
        <v>171</v>
      </c>
      <c r="D112" s="38">
        <v>324</v>
      </c>
      <c r="E112" s="38">
        <v>6</v>
      </c>
      <c r="F112" s="38">
        <v>1</v>
      </c>
      <c r="G112" s="38">
        <v>0</v>
      </c>
      <c r="H112" s="38">
        <v>0</v>
      </c>
      <c r="I112" s="38">
        <v>2</v>
      </c>
      <c r="J112" s="38">
        <v>9</v>
      </c>
      <c r="K112" s="38">
        <v>2</v>
      </c>
      <c r="L112" s="38">
        <v>0</v>
      </c>
      <c r="M112" s="38">
        <v>4</v>
      </c>
      <c r="N112" s="38">
        <v>2</v>
      </c>
      <c r="O112" s="38">
        <v>3</v>
      </c>
      <c r="P112" s="38">
        <v>4</v>
      </c>
      <c r="Q112" s="34">
        <f t="shared" si="2"/>
        <v>718</v>
      </c>
      <c r="R112" s="34">
        <v>0</v>
      </c>
      <c r="S112" s="34">
        <f t="shared" si="3"/>
        <v>722</v>
      </c>
      <c r="T112" s="34">
        <v>0</v>
      </c>
    </row>
    <row r="113" spans="1:20" s="3" customFormat="1" ht="24" customHeight="1">
      <c r="A113" s="46">
        <v>106</v>
      </c>
      <c r="B113" s="38">
        <v>270</v>
      </c>
      <c r="C113" s="38">
        <v>35</v>
      </c>
      <c r="D113" s="38">
        <v>197</v>
      </c>
      <c r="E113" s="38">
        <v>0</v>
      </c>
      <c r="F113" s="38">
        <v>0</v>
      </c>
      <c r="G113" s="38">
        <v>0</v>
      </c>
      <c r="H113" s="38">
        <v>1</v>
      </c>
      <c r="I113" s="38">
        <v>1</v>
      </c>
      <c r="J113" s="38">
        <v>0</v>
      </c>
      <c r="K113" s="38">
        <v>0</v>
      </c>
      <c r="L113" s="38">
        <v>0</v>
      </c>
      <c r="M113" s="38">
        <v>2</v>
      </c>
      <c r="N113" s="38">
        <v>1</v>
      </c>
      <c r="O113" s="38">
        <v>1</v>
      </c>
      <c r="P113" s="38">
        <v>3</v>
      </c>
      <c r="Q113" s="34">
        <f t="shared" si="2"/>
        <v>508</v>
      </c>
      <c r="R113" s="34">
        <v>0</v>
      </c>
      <c r="S113" s="34">
        <f t="shared" si="3"/>
        <v>511</v>
      </c>
      <c r="T113" s="34">
        <v>0</v>
      </c>
    </row>
    <row r="114" spans="1:20" s="3" customFormat="1" ht="24" customHeight="1">
      <c r="A114" s="46">
        <v>107</v>
      </c>
      <c r="B114" s="38">
        <v>287</v>
      </c>
      <c r="C114" s="38">
        <v>6</v>
      </c>
      <c r="D114" s="38">
        <v>189</v>
      </c>
      <c r="E114" s="38">
        <v>3</v>
      </c>
      <c r="F114" s="38">
        <v>1</v>
      </c>
      <c r="G114" s="38">
        <v>0</v>
      </c>
      <c r="H114" s="38">
        <v>0</v>
      </c>
      <c r="I114" s="38">
        <v>0</v>
      </c>
      <c r="J114" s="38">
        <v>1</v>
      </c>
      <c r="K114" s="38">
        <v>0</v>
      </c>
      <c r="L114" s="38">
        <v>0</v>
      </c>
      <c r="M114" s="38">
        <v>0</v>
      </c>
      <c r="N114" s="38">
        <v>2</v>
      </c>
      <c r="O114" s="38">
        <v>0</v>
      </c>
      <c r="P114" s="38">
        <v>5</v>
      </c>
      <c r="Q114" s="34">
        <f t="shared" si="2"/>
        <v>489</v>
      </c>
      <c r="R114" s="34">
        <v>0</v>
      </c>
      <c r="S114" s="34">
        <f t="shared" si="3"/>
        <v>494</v>
      </c>
      <c r="T114" s="34">
        <v>0</v>
      </c>
    </row>
    <row r="115" spans="1:20" s="3" customFormat="1" ht="24" customHeight="1">
      <c r="A115" s="46">
        <v>108</v>
      </c>
      <c r="B115" s="38">
        <v>272</v>
      </c>
      <c r="C115" s="38">
        <v>2</v>
      </c>
      <c r="D115" s="38">
        <v>210</v>
      </c>
      <c r="E115" s="38">
        <v>6</v>
      </c>
      <c r="F115" s="38">
        <v>0</v>
      </c>
      <c r="G115" s="38">
        <v>0</v>
      </c>
      <c r="H115" s="38">
        <v>0</v>
      </c>
      <c r="I115" s="38">
        <v>4</v>
      </c>
      <c r="J115" s="38">
        <v>6</v>
      </c>
      <c r="K115" s="38">
        <v>0</v>
      </c>
      <c r="L115" s="38">
        <v>1</v>
      </c>
      <c r="M115" s="38">
        <v>1</v>
      </c>
      <c r="N115" s="38">
        <v>1</v>
      </c>
      <c r="O115" s="38">
        <v>0</v>
      </c>
      <c r="P115" s="38">
        <v>0</v>
      </c>
      <c r="Q115" s="34">
        <f t="shared" si="2"/>
        <v>503</v>
      </c>
      <c r="R115" s="34">
        <v>0</v>
      </c>
      <c r="S115" s="34">
        <f t="shared" si="3"/>
        <v>503</v>
      </c>
      <c r="T115" s="34">
        <v>0</v>
      </c>
    </row>
    <row r="116" spans="1:20" s="3" customFormat="1" ht="24" customHeight="1">
      <c r="A116" s="46">
        <v>109</v>
      </c>
      <c r="B116" s="38">
        <v>171</v>
      </c>
      <c r="C116" s="38">
        <v>82</v>
      </c>
      <c r="D116" s="38">
        <v>145</v>
      </c>
      <c r="E116" s="38">
        <v>1</v>
      </c>
      <c r="F116" s="38">
        <v>1</v>
      </c>
      <c r="G116" s="38">
        <v>0</v>
      </c>
      <c r="H116" s="38">
        <v>0</v>
      </c>
      <c r="I116" s="38">
        <v>1</v>
      </c>
      <c r="J116" s="38">
        <v>0</v>
      </c>
      <c r="K116" s="38">
        <v>0</v>
      </c>
      <c r="L116" s="38">
        <v>1</v>
      </c>
      <c r="M116" s="38">
        <v>0</v>
      </c>
      <c r="N116" s="38">
        <v>2</v>
      </c>
      <c r="O116" s="38">
        <v>2</v>
      </c>
      <c r="P116" s="38">
        <v>2</v>
      </c>
      <c r="Q116" s="34">
        <f t="shared" si="2"/>
        <v>406</v>
      </c>
      <c r="R116" s="34">
        <v>0</v>
      </c>
      <c r="S116" s="34">
        <f t="shared" si="3"/>
        <v>408</v>
      </c>
      <c r="T116" s="34">
        <v>0</v>
      </c>
    </row>
    <row r="117" spans="1:20" s="3" customFormat="1" ht="24" customHeight="1">
      <c r="A117" s="46">
        <v>110</v>
      </c>
      <c r="B117" s="38">
        <v>235</v>
      </c>
      <c r="C117" s="38">
        <v>20</v>
      </c>
      <c r="D117" s="38">
        <v>339</v>
      </c>
      <c r="E117" s="38">
        <v>8</v>
      </c>
      <c r="F117" s="38">
        <v>0</v>
      </c>
      <c r="G117" s="38">
        <v>0</v>
      </c>
      <c r="H117" s="38">
        <v>0</v>
      </c>
      <c r="I117" s="38">
        <v>0</v>
      </c>
      <c r="J117" s="38">
        <v>5</v>
      </c>
      <c r="K117" s="38">
        <v>0</v>
      </c>
      <c r="L117" s="38">
        <v>0</v>
      </c>
      <c r="M117" s="38">
        <v>0</v>
      </c>
      <c r="N117" s="38">
        <v>0</v>
      </c>
      <c r="O117" s="38">
        <v>1</v>
      </c>
      <c r="P117" s="38">
        <v>8</v>
      </c>
      <c r="Q117" s="34">
        <f t="shared" si="2"/>
        <v>608</v>
      </c>
      <c r="R117" s="34">
        <v>0</v>
      </c>
      <c r="S117" s="34">
        <f t="shared" si="3"/>
        <v>616</v>
      </c>
      <c r="T117" s="34">
        <v>0</v>
      </c>
    </row>
    <row r="118" spans="1:20" s="3" customFormat="1" ht="24" customHeight="1">
      <c r="A118" s="46">
        <v>111</v>
      </c>
      <c r="B118" s="38">
        <v>244</v>
      </c>
      <c r="C118" s="38">
        <v>58</v>
      </c>
      <c r="D118" s="38">
        <v>281</v>
      </c>
      <c r="E118" s="38">
        <v>2</v>
      </c>
      <c r="F118" s="38">
        <v>1</v>
      </c>
      <c r="G118" s="38">
        <v>2</v>
      </c>
      <c r="H118" s="38">
        <v>1</v>
      </c>
      <c r="I118" s="38">
        <v>1</v>
      </c>
      <c r="J118" s="38">
        <v>49</v>
      </c>
      <c r="K118" s="38">
        <v>1</v>
      </c>
      <c r="L118" s="38">
        <v>1</v>
      </c>
      <c r="M118" s="38">
        <v>3</v>
      </c>
      <c r="N118" s="38">
        <v>0</v>
      </c>
      <c r="O118" s="38">
        <v>0</v>
      </c>
      <c r="P118" s="38">
        <v>5</v>
      </c>
      <c r="Q118" s="34">
        <f t="shared" si="2"/>
        <v>644</v>
      </c>
      <c r="R118" s="34">
        <v>0</v>
      </c>
      <c r="S118" s="34">
        <f t="shared" si="3"/>
        <v>649</v>
      </c>
      <c r="T118" s="34">
        <v>0</v>
      </c>
    </row>
    <row r="119" spans="1:20" s="3" customFormat="1" ht="24" customHeight="1">
      <c r="A119" s="46">
        <v>112</v>
      </c>
      <c r="B119" s="38">
        <v>242</v>
      </c>
      <c r="C119" s="38">
        <v>4</v>
      </c>
      <c r="D119" s="38">
        <v>78</v>
      </c>
      <c r="E119" s="38">
        <v>0</v>
      </c>
      <c r="F119" s="38">
        <v>1</v>
      </c>
      <c r="G119" s="38">
        <v>0</v>
      </c>
      <c r="H119" s="38">
        <v>0</v>
      </c>
      <c r="I119" s="38">
        <v>0</v>
      </c>
      <c r="J119" s="38">
        <v>64</v>
      </c>
      <c r="K119" s="38">
        <v>0</v>
      </c>
      <c r="L119" s="38">
        <v>0</v>
      </c>
      <c r="M119" s="38">
        <v>2</v>
      </c>
      <c r="N119" s="38">
        <v>2</v>
      </c>
      <c r="O119" s="38">
        <v>1</v>
      </c>
      <c r="P119" s="38">
        <v>6</v>
      </c>
      <c r="Q119" s="34">
        <f t="shared" si="2"/>
        <v>394</v>
      </c>
      <c r="R119" s="34">
        <v>0</v>
      </c>
      <c r="S119" s="34">
        <f t="shared" si="3"/>
        <v>400</v>
      </c>
      <c r="T119" s="34">
        <v>0</v>
      </c>
    </row>
    <row r="120" spans="1:20" s="3" customFormat="1" ht="24" customHeight="1">
      <c r="A120" s="50">
        <v>113</v>
      </c>
      <c r="B120" s="38">
        <v>168</v>
      </c>
      <c r="C120" s="38">
        <v>80</v>
      </c>
      <c r="D120" s="38">
        <v>122</v>
      </c>
      <c r="E120" s="38">
        <v>4</v>
      </c>
      <c r="F120" s="38">
        <v>0</v>
      </c>
      <c r="G120" s="38">
        <v>0</v>
      </c>
      <c r="H120" s="38">
        <v>1</v>
      </c>
      <c r="I120" s="38">
        <v>0</v>
      </c>
      <c r="J120" s="38">
        <v>28</v>
      </c>
      <c r="K120" s="38">
        <v>1</v>
      </c>
      <c r="L120" s="38">
        <v>0</v>
      </c>
      <c r="M120" s="38">
        <v>1</v>
      </c>
      <c r="N120" s="38">
        <v>3</v>
      </c>
      <c r="O120" s="38">
        <v>1</v>
      </c>
      <c r="P120" s="38">
        <v>2</v>
      </c>
      <c r="Q120" s="34">
        <f t="shared" si="2"/>
        <v>409</v>
      </c>
      <c r="R120" s="34">
        <v>0</v>
      </c>
      <c r="S120" s="34">
        <f t="shared" si="3"/>
        <v>411</v>
      </c>
      <c r="T120" s="34">
        <v>0</v>
      </c>
    </row>
    <row r="121" spans="1:20" s="3" customFormat="1" ht="24" customHeight="1">
      <c r="A121" s="50">
        <v>114</v>
      </c>
      <c r="B121" s="38">
        <v>345</v>
      </c>
      <c r="C121" s="38">
        <v>55</v>
      </c>
      <c r="D121" s="38">
        <v>131</v>
      </c>
      <c r="E121" s="38">
        <v>0</v>
      </c>
      <c r="F121" s="38">
        <v>0</v>
      </c>
      <c r="G121" s="38">
        <v>0</v>
      </c>
      <c r="H121" s="38">
        <v>1</v>
      </c>
      <c r="I121" s="38">
        <v>0</v>
      </c>
      <c r="J121" s="38">
        <v>3</v>
      </c>
      <c r="K121" s="38">
        <v>0</v>
      </c>
      <c r="L121" s="38">
        <v>1</v>
      </c>
      <c r="M121" s="38">
        <v>0</v>
      </c>
      <c r="N121" s="38">
        <v>3</v>
      </c>
      <c r="O121" s="38">
        <v>0</v>
      </c>
      <c r="P121" s="38">
        <v>5</v>
      </c>
      <c r="Q121" s="34">
        <f t="shared" si="2"/>
        <v>539</v>
      </c>
      <c r="R121" s="34">
        <v>0</v>
      </c>
      <c r="S121" s="34">
        <f t="shared" si="3"/>
        <v>544</v>
      </c>
      <c r="T121" s="34">
        <v>0</v>
      </c>
    </row>
    <row r="122" spans="1:20" s="3" customFormat="1" ht="24" customHeight="1">
      <c r="A122" s="50">
        <v>115</v>
      </c>
      <c r="B122" s="38">
        <v>178</v>
      </c>
      <c r="C122" s="38">
        <v>5</v>
      </c>
      <c r="D122" s="38">
        <v>325</v>
      </c>
      <c r="E122" s="38">
        <v>6</v>
      </c>
      <c r="F122" s="38">
        <v>1</v>
      </c>
      <c r="G122" s="38">
        <v>1</v>
      </c>
      <c r="H122" s="38">
        <v>2</v>
      </c>
      <c r="I122" s="38">
        <v>0</v>
      </c>
      <c r="J122" s="38">
        <v>4</v>
      </c>
      <c r="K122" s="38">
        <v>1</v>
      </c>
      <c r="L122" s="38">
        <v>1</v>
      </c>
      <c r="M122" s="38">
        <v>1</v>
      </c>
      <c r="N122" s="38">
        <v>2</v>
      </c>
      <c r="O122" s="38">
        <v>0</v>
      </c>
      <c r="P122" s="38">
        <v>8</v>
      </c>
      <c r="Q122" s="34">
        <f t="shared" si="2"/>
        <v>527</v>
      </c>
      <c r="R122" s="34">
        <v>0</v>
      </c>
      <c r="S122" s="34">
        <f t="shared" si="3"/>
        <v>535</v>
      </c>
      <c r="T122" s="34">
        <v>0</v>
      </c>
    </row>
    <row r="123" spans="1:20" s="3" customFormat="1" ht="24" customHeight="1">
      <c r="A123" s="50">
        <v>116</v>
      </c>
      <c r="B123" s="38">
        <v>227</v>
      </c>
      <c r="C123" s="38">
        <v>58</v>
      </c>
      <c r="D123" s="38">
        <v>290</v>
      </c>
      <c r="E123" s="38">
        <v>2</v>
      </c>
      <c r="F123" s="38">
        <v>0</v>
      </c>
      <c r="G123" s="38">
        <v>0</v>
      </c>
      <c r="H123" s="38">
        <v>0</v>
      </c>
      <c r="I123" s="38">
        <v>1</v>
      </c>
      <c r="J123" s="38">
        <v>0</v>
      </c>
      <c r="K123" s="38">
        <v>1</v>
      </c>
      <c r="L123" s="38">
        <v>2</v>
      </c>
      <c r="M123" s="38">
        <v>2</v>
      </c>
      <c r="N123" s="38">
        <v>5</v>
      </c>
      <c r="O123" s="38">
        <v>3</v>
      </c>
      <c r="P123" s="38">
        <v>5</v>
      </c>
      <c r="Q123" s="34">
        <f t="shared" si="2"/>
        <v>591</v>
      </c>
      <c r="R123" s="34">
        <v>0</v>
      </c>
      <c r="S123" s="34">
        <f t="shared" si="3"/>
        <v>596</v>
      </c>
      <c r="T123" s="34">
        <v>0</v>
      </c>
    </row>
    <row r="124" spans="1:20" s="3" customFormat="1" ht="24" customHeight="1">
      <c r="A124" s="50">
        <v>117</v>
      </c>
      <c r="B124" s="38">
        <v>361</v>
      </c>
      <c r="C124" s="38">
        <v>36</v>
      </c>
      <c r="D124" s="38">
        <v>68</v>
      </c>
      <c r="E124" s="38">
        <v>7</v>
      </c>
      <c r="F124" s="38">
        <v>0</v>
      </c>
      <c r="G124" s="38">
        <v>2</v>
      </c>
      <c r="H124" s="38">
        <v>1</v>
      </c>
      <c r="I124" s="38">
        <v>0</v>
      </c>
      <c r="J124" s="38">
        <v>0</v>
      </c>
      <c r="K124" s="38">
        <v>1</v>
      </c>
      <c r="L124" s="38">
        <v>0</v>
      </c>
      <c r="M124" s="38">
        <v>0</v>
      </c>
      <c r="N124" s="38">
        <v>0</v>
      </c>
      <c r="O124" s="38">
        <v>1</v>
      </c>
      <c r="P124" s="38">
        <v>8</v>
      </c>
      <c r="Q124" s="34">
        <f t="shared" si="2"/>
        <v>477</v>
      </c>
      <c r="R124" s="34">
        <v>0</v>
      </c>
      <c r="S124" s="34">
        <f t="shared" si="3"/>
        <v>485</v>
      </c>
      <c r="T124" s="34">
        <v>0</v>
      </c>
    </row>
    <row r="125" spans="1:20" s="3" customFormat="1" ht="24" customHeight="1">
      <c r="A125" s="50">
        <v>118</v>
      </c>
      <c r="B125" s="38">
        <v>467</v>
      </c>
      <c r="C125" s="38">
        <v>24</v>
      </c>
      <c r="D125" s="38">
        <v>138</v>
      </c>
      <c r="E125" s="38">
        <v>9</v>
      </c>
      <c r="F125" s="38">
        <v>0</v>
      </c>
      <c r="G125" s="38">
        <v>0</v>
      </c>
      <c r="H125" s="38">
        <v>1</v>
      </c>
      <c r="I125" s="38">
        <v>1</v>
      </c>
      <c r="J125" s="38">
        <v>0</v>
      </c>
      <c r="K125" s="38">
        <v>1</v>
      </c>
      <c r="L125" s="38">
        <v>0</v>
      </c>
      <c r="M125" s="38">
        <v>0</v>
      </c>
      <c r="N125" s="38">
        <v>2</v>
      </c>
      <c r="O125" s="38">
        <v>2</v>
      </c>
      <c r="P125" s="38">
        <v>8</v>
      </c>
      <c r="Q125" s="34">
        <f t="shared" si="2"/>
        <v>645</v>
      </c>
      <c r="R125" s="34">
        <v>0</v>
      </c>
      <c r="S125" s="34">
        <f t="shared" si="3"/>
        <v>653</v>
      </c>
      <c r="T125" s="34">
        <v>0</v>
      </c>
    </row>
    <row r="126" spans="1:20" s="3" customFormat="1" ht="24" customHeight="1">
      <c r="A126" s="50">
        <v>119</v>
      </c>
      <c r="B126" s="38">
        <v>404</v>
      </c>
      <c r="C126" s="38">
        <v>91</v>
      </c>
      <c r="D126" s="38">
        <v>95</v>
      </c>
      <c r="E126" s="38">
        <v>2</v>
      </c>
      <c r="F126" s="38">
        <v>0</v>
      </c>
      <c r="G126" s="38">
        <v>0</v>
      </c>
      <c r="H126" s="38">
        <v>0</v>
      </c>
      <c r="I126" s="38">
        <v>1</v>
      </c>
      <c r="J126" s="38">
        <v>8</v>
      </c>
      <c r="K126" s="38">
        <v>3</v>
      </c>
      <c r="L126" s="38">
        <v>2</v>
      </c>
      <c r="M126" s="38">
        <v>1</v>
      </c>
      <c r="N126" s="38">
        <v>4</v>
      </c>
      <c r="O126" s="38">
        <v>3</v>
      </c>
      <c r="P126" s="38">
        <v>10</v>
      </c>
      <c r="Q126" s="34">
        <f t="shared" si="2"/>
        <v>614</v>
      </c>
      <c r="R126" s="34">
        <v>0</v>
      </c>
      <c r="S126" s="34">
        <f t="shared" si="3"/>
        <v>624</v>
      </c>
      <c r="T126" s="34">
        <v>0</v>
      </c>
    </row>
    <row r="127" spans="1:20" s="3" customFormat="1" ht="24" customHeight="1">
      <c r="A127" s="50">
        <v>120</v>
      </c>
      <c r="B127" s="38">
        <v>285</v>
      </c>
      <c r="C127" s="38">
        <v>20</v>
      </c>
      <c r="D127" s="38">
        <v>188</v>
      </c>
      <c r="E127" s="38">
        <v>4</v>
      </c>
      <c r="F127" s="38">
        <v>0</v>
      </c>
      <c r="G127" s="38">
        <v>0</v>
      </c>
      <c r="H127" s="38">
        <v>0</v>
      </c>
      <c r="I127" s="38">
        <v>4</v>
      </c>
      <c r="J127" s="38">
        <v>0</v>
      </c>
      <c r="K127" s="38">
        <v>0</v>
      </c>
      <c r="L127" s="38">
        <v>1</v>
      </c>
      <c r="M127" s="38">
        <v>1</v>
      </c>
      <c r="N127" s="38">
        <v>3</v>
      </c>
      <c r="O127" s="38">
        <v>1</v>
      </c>
      <c r="P127" s="38">
        <v>5</v>
      </c>
      <c r="Q127" s="34">
        <f t="shared" si="2"/>
        <v>507</v>
      </c>
      <c r="R127" s="34">
        <v>0</v>
      </c>
      <c r="S127" s="34">
        <f t="shared" si="3"/>
        <v>512</v>
      </c>
      <c r="T127" s="34">
        <v>0</v>
      </c>
    </row>
    <row r="128" spans="1:20" s="3" customFormat="1" ht="24" customHeight="1">
      <c r="A128" s="50">
        <v>121</v>
      </c>
      <c r="B128" s="38">
        <v>125</v>
      </c>
      <c r="C128" s="38">
        <v>66</v>
      </c>
      <c r="D128" s="38">
        <v>225</v>
      </c>
      <c r="E128" s="38">
        <v>3</v>
      </c>
      <c r="F128" s="38">
        <v>0</v>
      </c>
      <c r="G128" s="38">
        <v>0</v>
      </c>
      <c r="H128" s="38">
        <v>0</v>
      </c>
      <c r="I128" s="38">
        <v>0</v>
      </c>
      <c r="J128" s="38">
        <v>3</v>
      </c>
      <c r="K128" s="38">
        <v>0</v>
      </c>
      <c r="L128" s="38">
        <v>0</v>
      </c>
      <c r="M128" s="38">
        <v>2</v>
      </c>
      <c r="N128" s="38">
        <v>2</v>
      </c>
      <c r="O128" s="38">
        <v>0</v>
      </c>
      <c r="P128" s="38">
        <v>3</v>
      </c>
      <c r="Q128" s="34">
        <f t="shared" si="2"/>
        <v>426</v>
      </c>
      <c r="R128" s="34">
        <v>0</v>
      </c>
      <c r="S128" s="34">
        <f t="shared" si="3"/>
        <v>429</v>
      </c>
      <c r="T128" s="34">
        <v>0</v>
      </c>
    </row>
    <row r="129" spans="1:20" s="3" customFormat="1" ht="24" customHeight="1">
      <c r="A129" s="50">
        <v>122</v>
      </c>
      <c r="B129" s="38">
        <v>176</v>
      </c>
      <c r="C129" s="38">
        <v>114</v>
      </c>
      <c r="D129" s="38">
        <v>87</v>
      </c>
      <c r="E129" s="38">
        <v>4</v>
      </c>
      <c r="F129" s="38">
        <v>0</v>
      </c>
      <c r="G129" s="38">
        <v>0</v>
      </c>
      <c r="H129" s="38">
        <v>2</v>
      </c>
      <c r="I129" s="38">
        <v>0</v>
      </c>
      <c r="J129" s="38">
        <v>3</v>
      </c>
      <c r="K129" s="38">
        <v>1</v>
      </c>
      <c r="L129" s="38">
        <v>2</v>
      </c>
      <c r="M129" s="38">
        <v>0</v>
      </c>
      <c r="N129" s="38">
        <v>1</v>
      </c>
      <c r="O129" s="38">
        <v>5</v>
      </c>
      <c r="P129" s="38">
        <v>2</v>
      </c>
      <c r="Q129" s="34">
        <f t="shared" si="2"/>
        <v>395</v>
      </c>
      <c r="R129" s="34">
        <v>0</v>
      </c>
      <c r="S129" s="34">
        <f t="shared" si="3"/>
        <v>397</v>
      </c>
      <c r="T129" s="34">
        <v>0</v>
      </c>
    </row>
    <row r="130" spans="1:20" s="3" customFormat="1" ht="24" customHeight="1">
      <c r="A130" s="50">
        <v>123</v>
      </c>
      <c r="B130" s="38">
        <v>212</v>
      </c>
      <c r="C130" s="38">
        <v>10</v>
      </c>
      <c r="D130" s="38">
        <v>290</v>
      </c>
      <c r="E130" s="38">
        <v>1</v>
      </c>
      <c r="F130" s="38">
        <v>2</v>
      </c>
      <c r="G130" s="38">
        <v>0</v>
      </c>
      <c r="H130" s="38">
        <v>0</v>
      </c>
      <c r="I130" s="38">
        <v>3</v>
      </c>
      <c r="J130" s="38">
        <v>48</v>
      </c>
      <c r="K130" s="38">
        <v>2</v>
      </c>
      <c r="L130" s="38">
        <v>2</v>
      </c>
      <c r="M130" s="38">
        <v>2</v>
      </c>
      <c r="N130" s="38">
        <v>2</v>
      </c>
      <c r="O130" s="38">
        <v>2</v>
      </c>
      <c r="P130" s="38">
        <v>4</v>
      </c>
      <c r="Q130" s="34">
        <f t="shared" si="2"/>
        <v>576</v>
      </c>
      <c r="R130" s="34">
        <v>0</v>
      </c>
      <c r="S130" s="34">
        <f t="shared" si="3"/>
        <v>580</v>
      </c>
      <c r="T130" s="34">
        <v>0</v>
      </c>
    </row>
    <row r="131" spans="1:20" s="3" customFormat="1" ht="24" customHeight="1">
      <c r="A131" s="50">
        <v>124</v>
      </c>
      <c r="B131" s="38">
        <v>265</v>
      </c>
      <c r="C131" s="38">
        <v>23</v>
      </c>
      <c r="D131" s="38">
        <v>352</v>
      </c>
      <c r="E131" s="38">
        <v>2</v>
      </c>
      <c r="F131" s="38">
        <v>2</v>
      </c>
      <c r="G131" s="38">
        <v>2</v>
      </c>
      <c r="H131" s="38">
        <v>0</v>
      </c>
      <c r="I131" s="38">
        <v>0</v>
      </c>
      <c r="J131" s="38">
        <v>14</v>
      </c>
      <c r="K131" s="38">
        <v>0</v>
      </c>
      <c r="L131" s="38">
        <v>0</v>
      </c>
      <c r="M131" s="38">
        <v>2</v>
      </c>
      <c r="N131" s="38">
        <v>1</v>
      </c>
      <c r="O131" s="38">
        <v>0</v>
      </c>
      <c r="P131" s="38">
        <v>8</v>
      </c>
      <c r="Q131" s="34">
        <f t="shared" si="2"/>
        <v>663</v>
      </c>
      <c r="R131" s="34">
        <v>0</v>
      </c>
      <c r="S131" s="34">
        <f t="shared" si="3"/>
        <v>671</v>
      </c>
      <c r="T131" s="34">
        <v>0</v>
      </c>
    </row>
    <row r="132" spans="1:20" s="3" customFormat="1" ht="24" customHeight="1">
      <c r="A132" s="50">
        <v>125</v>
      </c>
      <c r="B132" s="38">
        <v>315</v>
      </c>
      <c r="C132" s="38">
        <v>15</v>
      </c>
      <c r="D132" s="38">
        <v>212</v>
      </c>
      <c r="E132" s="38">
        <v>1</v>
      </c>
      <c r="F132" s="38">
        <v>0</v>
      </c>
      <c r="G132" s="38">
        <v>0</v>
      </c>
      <c r="H132" s="38">
        <v>0</v>
      </c>
      <c r="I132" s="38">
        <v>1</v>
      </c>
      <c r="J132" s="38">
        <v>2</v>
      </c>
      <c r="K132" s="38">
        <v>0</v>
      </c>
      <c r="L132" s="38">
        <v>1</v>
      </c>
      <c r="M132" s="38">
        <v>4</v>
      </c>
      <c r="N132" s="38">
        <v>2</v>
      </c>
      <c r="O132" s="38">
        <v>3</v>
      </c>
      <c r="P132" s="38">
        <v>7</v>
      </c>
      <c r="Q132" s="34">
        <f t="shared" si="2"/>
        <v>556</v>
      </c>
      <c r="R132" s="34">
        <v>0</v>
      </c>
      <c r="S132" s="34">
        <f t="shared" si="3"/>
        <v>563</v>
      </c>
      <c r="T132" s="34">
        <v>0</v>
      </c>
    </row>
    <row r="133" spans="1:20" s="3" customFormat="1" ht="24" customHeight="1">
      <c r="A133" s="50">
        <v>126</v>
      </c>
      <c r="B133" s="38">
        <v>301</v>
      </c>
      <c r="C133" s="38">
        <v>58</v>
      </c>
      <c r="D133" s="38">
        <v>113</v>
      </c>
      <c r="E133" s="38">
        <v>1</v>
      </c>
      <c r="F133" s="38">
        <v>0</v>
      </c>
      <c r="G133" s="38">
        <v>1</v>
      </c>
      <c r="H133" s="38">
        <v>1</v>
      </c>
      <c r="I133" s="38">
        <v>1</v>
      </c>
      <c r="J133" s="38">
        <v>2</v>
      </c>
      <c r="K133" s="38">
        <v>0</v>
      </c>
      <c r="L133" s="38">
        <v>0</v>
      </c>
      <c r="M133" s="38">
        <v>0</v>
      </c>
      <c r="N133" s="38">
        <v>2</v>
      </c>
      <c r="O133" s="38">
        <v>3</v>
      </c>
      <c r="P133" s="38">
        <v>7</v>
      </c>
      <c r="Q133" s="34">
        <f t="shared" si="2"/>
        <v>483</v>
      </c>
      <c r="R133" s="34">
        <v>0</v>
      </c>
      <c r="S133" s="34">
        <f t="shared" si="3"/>
        <v>490</v>
      </c>
      <c r="T133" s="34">
        <v>0</v>
      </c>
    </row>
    <row r="134" spans="1:20" s="3" customFormat="1" ht="24" customHeight="1">
      <c r="A134" s="46">
        <v>127</v>
      </c>
      <c r="B134" s="38">
        <v>204</v>
      </c>
      <c r="C134" s="38">
        <v>65</v>
      </c>
      <c r="D134" s="38">
        <v>234</v>
      </c>
      <c r="E134" s="38">
        <v>1</v>
      </c>
      <c r="F134" s="38">
        <v>0</v>
      </c>
      <c r="G134" s="38">
        <v>0</v>
      </c>
      <c r="H134" s="38">
        <v>1</v>
      </c>
      <c r="I134" s="38">
        <v>1</v>
      </c>
      <c r="J134" s="38">
        <v>44</v>
      </c>
      <c r="K134" s="38">
        <v>0</v>
      </c>
      <c r="L134" s="38">
        <v>2</v>
      </c>
      <c r="M134" s="38">
        <v>1</v>
      </c>
      <c r="N134" s="38">
        <v>0</v>
      </c>
      <c r="O134" s="38">
        <v>2</v>
      </c>
      <c r="P134" s="38">
        <v>4</v>
      </c>
      <c r="Q134" s="34">
        <f t="shared" si="2"/>
        <v>555</v>
      </c>
      <c r="R134" s="34">
        <v>0</v>
      </c>
      <c r="S134" s="34">
        <f t="shared" si="3"/>
        <v>559</v>
      </c>
      <c r="T134" s="34">
        <v>0</v>
      </c>
    </row>
    <row r="135" spans="1:20" s="3" customFormat="1" ht="24" customHeight="1">
      <c r="A135" s="46">
        <v>128</v>
      </c>
      <c r="B135" s="38">
        <v>131</v>
      </c>
      <c r="C135" s="38">
        <v>56</v>
      </c>
      <c r="D135" s="38">
        <v>171</v>
      </c>
      <c r="E135" s="38">
        <v>3</v>
      </c>
      <c r="F135" s="38">
        <v>0</v>
      </c>
      <c r="G135" s="38">
        <v>0</v>
      </c>
      <c r="H135" s="38">
        <v>1</v>
      </c>
      <c r="I135" s="38">
        <v>0</v>
      </c>
      <c r="J135" s="38">
        <v>49</v>
      </c>
      <c r="K135" s="38">
        <v>0</v>
      </c>
      <c r="L135" s="38">
        <v>0</v>
      </c>
      <c r="M135" s="38">
        <v>2</v>
      </c>
      <c r="N135" s="38">
        <v>1</v>
      </c>
      <c r="O135" s="38">
        <v>1</v>
      </c>
      <c r="P135" s="38">
        <v>1</v>
      </c>
      <c r="Q135" s="34">
        <f t="shared" si="2"/>
        <v>415</v>
      </c>
      <c r="R135" s="34">
        <v>0</v>
      </c>
      <c r="S135" s="34">
        <f t="shared" si="3"/>
        <v>416</v>
      </c>
      <c r="T135" s="34">
        <v>0</v>
      </c>
    </row>
    <row r="136" spans="1:20" s="3" customFormat="1" ht="24" customHeight="1">
      <c r="A136" s="46">
        <v>129</v>
      </c>
      <c r="B136" s="38">
        <v>345</v>
      </c>
      <c r="C136" s="38">
        <v>4</v>
      </c>
      <c r="D136" s="38">
        <v>222</v>
      </c>
      <c r="E136" s="38">
        <v>3</v>
      </c>
      <c r="F136" s="38">
        <v>0</v>
      </c>
      <c r="G136" s="38">
        <v>1</v>
      </c>
      <c r="H136" s="38">
        <v>0</v>
      </c>
      <c r="I136" s="38">
        <v>0</v>
      </c>
      <c r="J136" s="38">
        <v>2</v>
      </c>
      <c r="K136" s="38">
        <v>0</v>
      </c>
      <c r="L136" s="38">
        <v>1</v>
      </c>
      <c r="M136" s="38">
        <v>0</v>
      </c>
      <c r="N136" s="38">
        <v>0</v>
      </c>
      <c r="O136" s="38">
        <v>2</v>
      </c>
      <c r="P136" s="38">
        <v>5</v>
      </c>
      <c r="Q136" s="34">
        <f t="shared" si="2"/>
        <v>580</v>
      </c>
      <c r="R136" s="34">
        <v>0</v>
      </c>
      <c r="S136" s="34">
        <f t="shared" si="3"/>
        <v>585</v>
      </c>
      <c r="T136" s="34">
        <v>0</v>
      </c>
    </row>
    <row r="137" spans="1:20" s="3" customFormat="1" ht="24" customHeight="1">
      <c r="A137" s="46">
        <v>130</v>
      </c>
      <c r="B137" s="38">
        <v>200</v>
      </c>
      <c r="C137" s="38">
        <v>27</v>
      </c>
      <c r="D137" s="38">
        <v>191</v>
      </c>
      <c r="E137" s="38">
        <v>3</v>
      </c>
      <c r="F137" s="38">
        <v>0</v>
      </c>
      <c r="G137" s="38">
        <v>1</v>
      </c>
      <c r="H137" s="38">
        <v>1</v>
      </c>
      <c r="I137" s="38">
        <v>0</v>
      </c>
      <c r="J137" s="38">
        <v>12</v>
      </c>
      <c r="K137" s="38">
        <v>0</v>
      </c>
      <c r="L137" s="38">
        <v>1</v>
      </c>
      <c r="M137" s="38">
        <v>1</v>
      </c>
      <c r="N137" s="38">
        <v>1</v>
      </c>
      <c r="O137" s="38">
        <v>1</v>
      </c>
      <c r="P137" s="38">
        <v>1</v>
      </c>
      <c r="Q137" s="34">
        <f t="shared" ref="Q137:Q200" si="4">SUM(B137:O137)</f>
        <v>439</v>
      </c>
      <c r="R137" s="34">
        <v>0</v>
      </c>
      <c r="S137" s="34">
        <f t="shared" ref="S137:S200" si="5">P137+Q137</f>
        <v>440</v>
      </c>
      <c r="T137" s="34">
        <v>0</v>
      </c>
    </row>
    <row r="138" spans="1:20" s="3" customFormat="1" ht="24" customHeight="1">
      <c r="A138" s="46">
        <v>131</v>
      </c>
      <c r="B138" s="38">
        <v>166</v>
      </c>
      <c r="C138" s="38">
        <v>129</v>
      </c>
      <c r="D138" s="38">
        <v>102</v>
      </c>
      <c r="E138" s="38">
        <v>0</v>
      </c>
      <c r="F138" s="38">
        <v>1</v>
      </c>
      <c r="G138" s="38">
        <v>0</v>
      </c>
      <c r="H138" s="38">
        <v>1</v>
      </c>
      <c r="I138" s="38">
        <v>0</v>
      </c>
      <c r="J138" s="38">
        <v>2</v>
      </c>
      <c r="K138" s="38">
        <v>0</v>
      </c>
      <c r="L138" s="38">
        <v>0</v>
      </c>
      <c r="M138" s="38">
        <v>1</v>
      </c>
      <c r="N138" s="38">
        <v>0</v>
      </c>
      <c r="O138" s="38">
        <v>2</v>
      </c>
      <c r="P138" s="38">
        <v>0</v>
      </c>
      <c r="Q138" s="34">
        <f t="shared" si="4"/>
        <v>404</v>
      </c>
      <c r="R138" s="34">
        <v>0</v>
      </c>
      <c r="S138" s="34">
        <f t="shared" si="5"/>
        <v>404</v>
      </c>
      <c r="T138" s="34">
        <v>0</v>
      </c>
    </row>
    <row r="139" spans="1:20" s="3" customFormat="1" ht="24" customHeight="1">
      <c r="A139" s="46">
        <v>132</v>
      </c>
      <c r="B139" s="38">
        <v>458</v>
      </c>
      <c r="C139" s="38">
        <v>31</v>
      </c>
      <c r="D139" s="38">
        <v>245</v>
      </c>
      <c r="E139" s="38">
        <v>0</v>
      </c>
      <c r="F139" s="38">
        <v>0</v>
      </c>
      <c r="G139" s="38">
        <v>0</v>
      </c>
      <c r="H139" s="38">
        <v>0</v>
      </c>
      <c r="I139" s="38">
        <v>0</v>
      </c>
      <c r="J139" s="38">
        <v>0</v>
      </c>
      <c r="K139" s="38">
        <v>0</v>
      </c>
      <c r="L139" s="38">
        <v>0</v>
      </c>
      <c r="M139" s="38">
        <v>1</v>
      </c>
      <c r="N139" s="38">
        <v>2</v>
      </c>
      <c r="O139" s="38">
        <v>1</v>
      </c>
      <c r="P139" s="38">
        <v>8</v>
      </c>
      <c r="Q139" s="34">
        <f t="shared" si="4"/>
        <v>738</v>
      </c>
      <c r="R139" s="34">
        <v>0</v>
      </c>
      <c r="S139" s="34">
        <f t="shared" si="5"/>
        <v>746</v>
      </c>
      <c r="T139" s="34">
        <v>0</v>
      </c>
    </row>
    <row r="140" spans="1:20" s="3" customFormat="1" ht="24" customHeight="1">
      <c r="A140" s="46">
        <v>133</v>
      </c>
      <c r="B140" s="38">
        <v>311</v>
      </c>
      <c r="C140" s="38">
        <v>6</v>
      </c>
      <c r="D140" s="38">
        <v>382</v>
      </c>
      <c r="E140" s="38">
        <v>3</v>
      </c>
      <c r="F140" s="38">
        <v>0</v>
      </c>
      <c r="G140" s="38">
        <v>0</v>
      </c>
      <c r="H140" s="38">
        <v>0</v>
      </c>
      <c r="I140" s="38">
        <v>1</v>
      </c>
      <c r="J140" s="38">
        <v>30</v>
      </c>
      <c r="K140" s="38">
        <v>0</v>
      </c>
      <c r="L140" s="38">
        <v>0</v>
      </c>
      <c r="M140" s="38">
        <v>1</v>
      </c>
      <c r="N140" s="38">
        <v>0</v>
      </c>
      <c r="O140" s="38">
        <v>1</v>
      </c>
      <c r="P140" s="38">
        <v>4</v>
      </c>
      <c r="Q140" s="34">
        <f t="shared" si="4"/>
        <v>735</v>
      </c>
      <c r="R140" s="34">
        <v>0</v>
      </c>
      <c r="S140" s="34">
        <f t="shared" si="5"/>
        <v>739</v>
      </c>
      <c r="T140" s="34">
        <v>0</v>
      </c>
    </row>
    <row r="141" spans="1:20" s="3" customFormat="1" ht="24" customHeight="1">
      <c r="A141" s="46">
        <v>134</v>
      </c>
      <c r="B141" s="38">
        <v>264</v>
      </c>
      <c r="C141" s="38">
        <v>16</v>
      </c>
      <c r="D141" s="38">
        <v>110</v>
      </c>
      <c r="E141" s="38">
        <v>1</v>
      </c>
      <c r="F141" s="38">
        <v>0</v>
      </c>
      <c r="G141" s="38">
        <v>0</v>
      </c>
      <c r="H141" s="38">
        <v>0</v>
      </c>
      <c r="I141" s="38">
        <v>0</v>
      </c>
      <c r="J141" s="38">
        <v>1</v>
      </c>
      <c r="K141" s="38">
        <v>0</v>
      </c>
      <c r="L141" s="38">
        <v>0</v>
      </c>
      <c r="M141" s="38">
        <v>0</v>
      </c>
      <c r="N141" s="38">
        <v>1</v>
      </c>
      <c r="O141" s="38">
        <v>0</v>
      </c>
      <c r="P141" s="38">
        <v>0</v>
      </c>
      <c r="Q141" s="34">
        <f t="shared" si="4"/>
        <v>393</v>
      </c>
      <c r="R141" s="34">
        <v>0</v>
      </c>
      <c r="S141" s="34">
        <f t="shared" si="5"/>
        <v>393</v>
      </c>
      <c r="T141" s="34">
        <v>0</v>
      </c>
    </row>
    <row r="142" spans="1:20" s="3" customFormat="1" ht="24" customHeight="1">
      <c r="A142" s="46">
        <v>135</v>
      </c>
      <c r="B142" s="38">
        <v>301</v>
      </c>
      <c r="C142" s="38">
        <v>26</v>
      </c>
      <c r="D142" s="38">
        <v>104</v>
      </c>
      <c r="E142" s="38">
        <v>1</v>
      </c>
      <c r="F142" s="38">
        <v>0</v>
      </c>
      <c r="G142" s="38">
        <v>1</v>
      </c>
      <c r="H142" s="38">
        <v>0</v>
      </c>
      <c r="I142" s="38">
        <v>0</v>
      </c>
      <c r="J142" s="38">
        <v>1</v>
      </c>
      <c r="K142" s="38">
        <v>0</v>
      </c>
      <c r="L142" s="38">
        <v>0</v>
      </c>
      <c r="M142" s="38">
        <v>0</v>
      </c>
      <c r="N142" s="38">
        <v>0</v>
      </c>
      <c r="O142" s="38">
        <v>0</v>
      </c>
      <c r="P142" s="38">
        <v>6</v>
      </c>
      <c r="Q142" s="34">
        <f t="shared" si="4"/>
        <v>434</v>
      </c>
      <c r="R142" s="34">
        <v>0</v>
      </c>
      <c r="S142" s="34">
        <f t="shared" si="5"/>
        <v>440</v>
      </c>
      <c r="T142" s="34">
        <v>0</v>
      </c>
    </row>
    <row r="143" spans="1:20" s="3" customFormat="1" ht="24" customHeight="1">
      <c r="A143" s="46">
        <v>136</v>
      </c>
      <c r="B143" s="38">
        <v>458</v>
      </c>
      <c r="C143" s="38">
        <v>85</v>
      </c>
      <c r="D143" s="38">
        <v>86</v>
      </c>
      <c r="E143" s="38">
        <v>3</v>
      </c>
      <c r="F143" s="38">
        <v>2</v>
      </c>
      <c r="G143" s="38">
        <v>3</v>
      </c>
      <c r="H143" s="38">
        <v>0</v>
      </c>
      <c r="I143" s="38">
        <v>2</v>
      </c>
      <c r="J143" s="38">
        <v>0</v>
      </c>
      <c r="K143" s="38">
        <v>0</v>
      </c>
      <c r="L143" s="38">
        <v>3</v>
      </c>
      <c r="M143" s="38">
        <v>0</v>
      </c>
      <c r="N143" s="38">
        <v>4</v>
      </c>
      <c r="O143" s="38">
        <v>2</v>
      </c>
      <c r="P143" s="38">
        <v>9</v>
      </c>
      <c r="Q143" s="34">
        <f t="shared" si="4"/>
        <v>648</v>
      </c>
      <c r="R143" s="34">
        <v>0</v>
      </c>
      <c r="S143" s="34">
        <f t="shared" si="5"/>
        <v>657</v>
      </c>
      <c r="T143" s="34">
        <v>0</v>
      </c>
    </row>
    <row r="144" spans="1:20" s="3" customFormat="1" ht="24" customHeight="1">
      <c r="A144" s="46">
        <v>137</v>
      </c>
      <c r="B144" s="38">
        <v>332</v>
      </c>
      <c r="C144" s="38">
        <v>65</v>
      </c>
      <c r="D144" s="38">
        <v>51</v>
      </c>
      <c r="E144" s="38">
        <v>4</v>
      </c>
      <c r="F144" s="38">
        <v>0</v>
      </c>
      <c r="G144" s="38">
        <v>1</v>
      </c>
      <c r="H144" s="38">
        <v>0</v>
      </c>
      <c r="I144" s="38">
        <v>2</v>
      </c>
      <c r="J144" s="38">
        <v>1</v>
      </c>
      <c r="K144" s="38">
        <v>0</v>
      </c>
      <c r="L144" s="38">
        <v>0</v>
      </c>
      <c r="M144" s="38">
        <v>1</v>
      </c>
      <c r="N144" s="38">
        <v>1</v>
      </c>
      <c r="O144" s="38">
        <v>2</v>
      </c>
      <c r="P144" s="38">
        <v>6</v>
      </c>
      <c r="Q144" s="34">
        <f t="shared" si="4"/>
        <v>460</v>
      </c>
      <c r="R144" s="34">
        <v>0</v>
      </c>
      <c r="S144" s="34">
        <f t="shared" si="5"/>
        <v>466</v>
      </c>
      <c r="T144" s="34">
        <v>0</v>
      </c>
    </row>
    <row r="145" spans="1:20" s="3" customFormat="1" ht="24" customHeight="1">
      <c r="A145" s="46">
        <v>138</v>
      </c>
      <c r="B145" s="38">
        <v>28</v>
      </c>
      <c r="C145" s="38">
        <v>9</v>
      </c>
      <c r="D145" s="38">
        <v>224</v>
      </c>
      <c r="E145" s="38">
        <v>1</v>
      </c>
      <c r="F145" s="38">
        <v>0</v>
      </c>
      <c r="G145" s="38">
        <v>0</v>
      </c>
      <c r="H145" s="38">
        <v>0</v>
      </c>
      <c r="I145" s="38">
        <v>0</v>
      </c>
      <c r="J145" s="38">
        <v>4</v>
      </c>
      <c r="K145" s="38">
        <v>0</v>
      </c>
      <c r="L145" s="38">
        <v>0</v>
      </c>
      <c r="M145" s="38">
        <v>1</v>
      </c>
      <c r="N145" s="38">
        <v>0</v>
      </c>
      <c r="O145" s="38">
        <v>0</v>
      </c>
      <c r="P145" s="38">
        <v>3</v>
      </c>
      <c r="Q145" s="34">
        <f t="shared" si="4"/>
        <v>267</v>
      </c>
      <c r="R145" s="34">
        <v>0</v>
      </c>
      <c r="S145" s="34">
        <f t="shared" si="5"/>
        <v>270</v>
      </c>
      <c r="T145" s="34">
        <v>0</v>
      </c>
    </row>
    <row r="146" spans="1:20" s="3" customFormat="1" ht="24" customHeight="1">
      <c r="A146" s="46">
        <v>139</v>
      </c>
      <c r="B146" s="38">
        <v>211</v>
      </c>
      <c r="C146" s="38">
        <v>94</v>
      </c>
      <c r="D146" s="38">
        <v>261</v>
      </c>
      <c r="E146" s="38">
        <v>3</v>
      </c>
      <c r="F146" s="38">
        <v>0</v>
      </c>
      <c r="G146" s="38">
        <v>1</v>
      </c>
      <c r="H146" s="38">
        <v>0</v>
      </c>
      <c r="I146" s="38">
        <v>0</v>
      </c>
      <c r="J146" s="38">
        <v>8</v>
      </c>
      <c r="K146" s="38">
        <v>0</v>
      </c>
      <c r="L146" s="38">
        <v>0</v>
      </c>
      <c r="M146" s="38">
        <v>2</v>
      </c>
      <c r="N146" s="38">
        <v>4</v>
      </c>
      <c r="O146" s="38">
        <v>1</v>
      </c>
      <c r="P146" s="38">
        <v>0</v>
      </c>
      <c r="Q146" s="34">
        <f t="shared" si="4"/>
        <v>585</v>
      </c>
      <c r="R146" s="34">
        <v>0</v>
      </c>
      <c r="S146" s="34">
        <f t="shared" si="5"/>
        <v>585</v>
      </c>
      <c r="T146" s="34">
        <v>0</v>
      </c>
    </row>
    <row r="147" spans="1:20" s="3" customFormat="1" ht="24" customHeight="1">
      <c r="A147" s="46">
        <v>140</v>
      </c>
      <c r="B147" s="38">
        <v>334</v>
      </c>
      <c r="C147" s="38">
        <v>33</v>
      </c>
      <c r="D147" s="38">
        <v>67</v>
      </c>
      <c r="E147" s="38">
        <v>1</v>
      </c>
      <c r="F147" s="38">
        <v>0</v>
      </c>
      <c r="G147" s="38">
        <v>0</v>
      </c>
      <c r="H147" s="38">
        <v>0</v>
      </c>
      <c r="I147" s="38">
        <v>0</v>
      </c>
      <c r="J147" s="38">
        <v>5</v>
      </c>
      <c r="K147" s="38">
        <v>0</v>
      </c>
      <c r="L147" s="38">
        <v>1</v>
      </c>
      <c r="M147" s="38">
        <v>0</v>
      </c>
      <c r="N147" s="38">
        <v>1</v>
      </c>
      <c r="O147" s="38">
        <v>1</v>
      </c>
      <c r="P147" s="38">
        <v>2</v>
      </c>
      <c r="Q147" s="34">
        <f t="shared" si="4"/>
        <v>443</v>
      </c>
      <c r="R147" s="34">
        <v>0</v>
      </c>
      <c r="S147" s="34">
        <f t="shared" si="5"/>
        <v>445</v>
      </c>
      <c r="T147" s="34">
        <v>0</v>
      </c>
    </row>
    <row r="148" spans="1:20" s="3" customFormat="1" ht="24" customHeight="1">
      <c r="A148" s="51">
        <v>141</v>
      </c>
      <c r="B148" s="38">
        <v>328</v>
      </c>
      <c r="C148" s="38">
        <v>4</v>
      </c>
      <c r="D148" s="38">
        <v>135</v>
      </c>
      <c r="E148" s="38">
        <v>2</v>
      </c>
      <c r="F148" s="38">
        <v>0</v>
      </c>
      <c r="G148" s="38">
        <v>0</v>
      </c>
      <c r="H148" s="38">
        <v>0</v>
      </c>
      <c r="I148" s="38">
        <v>2</v>
      </c>
      <c r="J148" s="38">
        <v>2</v>
      </c>
      <c r="K148" s="38">
        <v>0</v>
      </c>
      <c r="L148" s="38">
        <v>1</v>
      </c>
      <c r="M148" s="38">
        <v>0</v>
      </c>
      <c r="N148" s="38">
        <v>3</v>
      </c>
      <c r="O148" s="38">
        <v>3</v>
      </c>
      <c r="P148" s="38">
        <v>3</v>
      </c>
      <c r="Q148" s="34">
        <f t="shared" si="4"/>
        <v>480</v>
      </c>
      <c r="R148" s="34">
        <v>0</v>
      </c>
      <c r="S148" s="34">
        <f t="shared" si="5"/>
        <v>483</v>
      </c>
      <c r="T148" s="34">
        <v>0</v>
      </c>
    </row>
    <row r="149" spans="1:20" s="3" customFormat="1" ht="24" customHeight="1">
      <c r="A149" s="51">
        <v>142</v>
      </c>
      <c r="B149" s="38">
        <v>319</v>
      </c>
      <c r="C149" s="38">
        <v>15</v>
      </c>
      <c r="D149" s="38">
        <v>133</v>
      </c>
      <c r="E149" s="38">
        <v>3</v>
      </c>
      <c r="F149" s="38">
        <v>0</v>
      </c>
      <c r="G149" s="38">
        <v>0</v>
      </c>
      <c r="H149" s="38">
        <v>0</v>
      </c>
      <c r="I149" s="38">
        <v>0</v>
      </c>
      <c r="J149" s="38">
        <v>1</v>
      </c>
      <c r="K149" s="38">
        <v>0</v>
      </c>
      <c r="L149" s="38">
        <v>1</v>
      </c>
      <c r="M149" s="38">
        <v>0</v>
      </c>
      <c r="N149" s="38">
        <v>1</v>
      </c>
      <c r="O149" s="38">
        <v>1</v>
      </c>
      <c r="P149" s="38">
        <v>1</v>
      </c>
      <c r="Q149" s="34">
        <f t="shared" si="4"/>
        <v>474</v>
      </c>
      <c r="R149" s="34">
        <v>0</v>
      </c>
      <c r="S149" s="34">
        <f t="shared" si="5"/>
        <v>475</v>
      </c>
      <c r="T149" s="34">
        <v>0</v>
      </c>
    </row>
    <row r="150" spans="1:20" s="3" customFormat="1" ht="24" customHeight="1">
      <c r="A150" s="51">
        <v>143</v>
      </c>
      <c r="B150" s="38">
        <v>98</v>
      </c>
      <c r="C150" s="38">
        <v>83</v>
      </c>
      <c r="D150" s="38">
        <v>210</v>
      </c>
      <c r="E150" s="38">
        <v>1</v>
      </c>
      <c r="F150" s="38">
        <v>1</v>
      </c>
      <c r="G150" s="38">
        <v>0</v>
      </c>
      <c r="H150" s="38">
        <v>0</v>
      </c>
      <c r="I150" s="38">
        <v>1</v>
      </c>
      <c r="J150" s="38">
        <v>3</v>
      </c>
      <c r="K150" s="38">
        <v>1</v>
      </c>
      <c r="L150" s="38">
        <v>2</v>
      </c>
      <c r="M150" s="38">
        <v>1</v>
      </c>
      <c r="N150" s="38">
        <v>3</v>
      </c>
      <c r="O150" s="38">
        <v>1</v>
      </c>
      <c r="P150" s="38">
        <v>1</v>
      </c>
      <c r="Q150" s="34">
        <f t="shared" si="4"/>
        <v>405</v>
      </c>
      <c r="R150" s="34">
        <v>0</v>
      </c>
      <c r="S150" s="34">
        <f t="shared" si="5"/>
        <v>406</v>
      </c>
      <c r="T150" s="34">
        <v>0</v>
      </c>
    </row>
    <row r="151" spans="1:20" s="3" customFormat="1" ht="24" customHeight="1">
      <c r="A151" s="51">
        <v>144</v>
      </c>
      <c r="B151" s="38">
        <v>348</v>
      </c>
      <c r="C151" s="38">
        <v>25</v>
      </c>
      <c r="D151" s="38">
        <v>187</v>
      </c>
      <c r="E151" s="38">
        <v>2</v>
      </c>
      <c r="F151" s="38">
        <v>0</v>
      </c>
      <c r="G151" s="38">
        <v>0</v>
      </c>
      <c r="H151" s="38">
        <v>0</v>
      </c>
      <c r="I151" s="38">
        <v>0</v>
      </c>
      <c r="J151" s="38">
        <v>11</v>
      </c>
      <c r="K151" s="38">
        <v>3</v>
      </c>
      <c r="L151" s="38">
        <v>2</v>
      </c>
      <c r="M151" s="38">
        <v>1</v>
      </c>
      <c r="N151" s="38">
        <v>1</v>
      </c>
      <c r="O151" s="38">
        <v>0</v>
      </c>
      <c r="P151" s="38">
        <v>3</v>
      </c>
      <c r="Q151" s="34">
        <f t="shared" si="4"/>
        <v>580</v>
      </c>
      <c r="R151" s="34">
        <v>0</v>
      </c>
      <c r="S151" s="34">
        <f t="shared" si="5"/>
        <v>583</v>
      </c>
      <c r="T151" s="34">
        <v>0</v>
      </c>
    </row>
    <row r="152" spans="1:20" s="3" customFormat="1" ht="24" customHeight="1">
      <c r="A152" s="51">
        <v>145</v>
      </c>
      <c r="B152" s="38">
        <v>310</v>
      </c>
      <c r="C152" s="38">
        <v>44</v>
      </c>
      <c r="D152" s="38">
        <v>243</v>
      </c>
      <c r="E152" s="38">
        <v>2</v>
      </c>
      <c r="F152" s="38">
        <v>1</v>
      </c>
      <c r="G152" s="38">
        <v>0</v>
      </c>
      <c r="H152" s="38">
        <v>2</v>
      </c>
      <c r="I152" s="38">
        <v>1</v>
      </c>
      <c r="J152" s="38">
        <v>3</v>
      </c>
      <c r="K152" s="38">
        <v>2</v>
      </c>
      <c r="L152" s="38">
        <v>2</v>
      </c>
      <c r="M152" s="38">
        <v>2</v>
      </c>
      <c r="N152" s="38">
        <v>0</v>
      </c>
      <c r="O152" s="38">
        <v>1</v>
      </c>
      <c r="P152" s="38">
        <v>9</v>
      </c>
      <c r="Q152" s="34">
        <f t="shared" si="4"/>
        <v>613</v>
      </c>
      <c r="R152" s="34">
        <v>0</v>
      </c>
      <c r="S152" s="34">
        <f t="shared" si="5"/>
        <v>622</v>
      </c>
      <c r="T152" s="34">
        <v>0</v>
      </c>
    </row>
    <row r="153" spans="1:20" s="3" customFormat="1" ht="24" customHeight="1">
      <c r="A153" s="51">
        <v>146</v>
      </c>
      <c r="B153" s="38">
        <v>427</v>
      </c>
      <c r="C153" s="38">
        <v>7</v>
      </c>
      <c r="D153" s="38">
        <v>104</v>
      </c>
      <c r="E153" s="38">
        <v>1</v>
      </c>
      <c r="F153" s="38">
        <v>0</v>
      </c>
      <c r="G153" s="38">
        <v>1</v>
      </c>
      <c r="H153" s="38">
        <v>0</v>
      </c>
      <c r="I153" s="38">
        <v>1</v>
      </c>
      <c r="J153" s="38">
        <v>8</v>
      </c>
      <c r="K153" s="38">
        <v>1</v>
      </c>
      <c r="L153" s="38">
        <v>1</v>
      </c>
      <c r="M153" s="38">
        <v>2</v>
      </c>
      <c r="N153" s="38">
        <v>0</v>
      </c>
      <c r="O153" s="38">
        <v>2</v>
      </c>
      <c r="P153" s="38">
        <v>2</v>
      </c>
      <c r="Q153" s="34">
        <f t="shared" si="4"/>
        <v>555</v>
      </c>
      <c r="R153" s="34">
        <v>0</v>
      </c>
      <c r="S153" s="34">
        <f t="shared" si="5"/>
        <v>557</v>
      </c>
      <c r="T153" s="34">
        <v>0</v>
      </c>
    </row>
    <row r="154" spans="1:20" s="3" customFormat="1" ht="24" customHeight="1">
      <c r="A154" s="51">
        <v>147</v>
      </c>
      <c r="B154" s="38">
        <v>209</v>
      </c>
      <c r="C154" s="38">
        <v>11</v>
      </c>
      <c r="D154" s="38">
        <v>264</v>
      </c>
      <c r="E154" s="38">
        <v>1</v>
      </c>
      <c r="F154" s="38">
        <v>0</v>
      </c>
      <c r="G154" s="38">
        <v>0</v>
      </c>
      <c r="H154" s="38">
        <v>0</v>
      </c>
      <c r="I154" s="38">
        <v>1</v>
      </c>
      <c r="J154" s="38">
        <v>4</v>
      </c>
      <c r="K154" s="38">
        <v>0</v>
      </c>
      <c r="L154" s="38">
        <v>0</v>
      </c>
      <c r="M154" s="38">
        <v>1</v>
      </c>
      <c r="N154" s="38">
        <v>3</v>
      </c>
      <c r="O154" s="38">
        <v>3</v>
      </c>
      <c r="P154" s="38">
        <v>1</v>
      </c>
      <c r="Q154" s="34">
        <f t="shared" si="4"/>
        <v>497</v>
      </c>
      <c r="R154" s="34">
        <v>0</v>
      </c>
      <c r="S154" s="34">
        <f t="shared" si="5"/>
        <v>498</v>
      </c>
      <c r="T154" s="34">
        <v>0</v>
      </c>
    </row>
    <row r="155" spans="1:20" s="3" customFormat="1" ht="24" customHeight="1">
      <c r="A155" s="51">
        <v>148</v>
      </c>
      <c r="B155" s="38">
        <v>239</v>
      </c>
      <c r="C155" s="38">
        <v>45</v>
      </c>
      <c r="D155" s="38">
        <v>187</v>
      </c>
      <c r="E155" s="38">
        <v>1</v>
      </c>
      <c r="F155" s="38">
        <v>0</v>
      </c>
      <c r="G155" s="38">
        <v>0</v>
      </c>
      <c r="H155" s="38">
        <v>1</v>
      </c>
      <c r="I155" s="38">
        <v>1</v>
      </c>
      <c r="J155" s="38">
        <v>15</v>
      </c>
      <c r="K155" s="38">
        <v>1</v>
      </c>
      <c r="L155" s="38">
        <v>2</v>
      </c>
      <c r="M155" s="38">
        <v>1</v>
      </c>
      <c r="N155" s="38">
        <v>2</v>
      </c>
      <c r="O155" s="38">
        <v>1</v>
      </c>
      <c r="P155" s="38">
        <v>2</v>
      </c>
      <c r="Q155" s="34">
        <f t="shared" si="4"/>
        <v>496</v>
      </c>
      <c r="R155" s="34">
        <v>0</v>
      </c>
      <c r="S155" s="34">
        <f t="shared" si="5"/>
        <v>498</v>
      </c>
      <c r="T155" s="34">
        <v>0</v>
      </c>
    </row>
    <row r="156" spans="1:20" s="3" customFormat="1" ht="24" customHeight="1">
      <c r="A156" s="51">
        <v>149</v>
      </c>
      <c r="B156" s="38">
        <v>179</v>
      </c>
      <c r="C156" s="38">
        <v>32</v>
      </c>
      <c r="D156" s="38">
        <v>132</v>
      </c>
      <c r="E156" s="38">
        <v>2</v>
      </c>
      <c r="F156" s="38">
        <v>1</v>
      </c>
      <c r="G156" s="38">
        <v>0</v>
      </c>
      <c r="H156" s="38">
        <v>0</v>
      </c>
      <c r="I156" s="38">
        <v>1</v>
      </c>
      <c r="J156" s="38">
        <v>13</v>
      </c>
      <c r="K156" s="38">
        <v>2</v>
      </c>
      <c r="L156" s="38">
        <v>1</v>
      </c>
      <c r="M156" s="38">
        <v>2</v>
      </c>
      <c r="N156" s="38">
        <v>1</v>
      </c>
      <c r="O156" s="38">
        <v>3</v>
      </c>
      <c r="P156" s="38">
        <v>5</v>
      </c>
      <c r="Q156" s="34">
        <f t="shared" si="4"/>
        <v>369</v>
      </c>
      <c r="R156" s="34">
        <v>0</v>
      </c>
      <c r="S156" s="34">
        <f t="shared" si="5"/>
        <v>374</v>
      </c>
      <c r="T156" s="34">
        <v>0</v>
      </c>
    </row>
    <row r="157" spans="1:20" s="3" customFormat="1" ht="24" customHeight="1">
      <c r="A157" s="51">
        <v>150</v>
      </c>
      <c r="B157" s="38">
        <v>203</v>
      </c>
      <c r="C157" s="38">
        <v>21</v>
      </c>
      <c r="D157" s="38">
        <v>167</v>
      </c>
      <c r="E157" s="38">
        <v>1</v>
      </c>
      <c r="F157" s="38">
        <v>0</v>
      </c>
      <c r="G157" s="38">
        <v>0</v>
      </c>
      <c r="H157" s="38">
        <v>1</v>
      </c>
      <c r="I157" s="38">
        <v>0</v>
      </c>
      <c r="J157" s="38">
        <v>23</v>
      </c>
      <c r="K157" s="38">
        <v>0</v>
      </c>
      <c r="L157" s="38">
        <v>1</v>
      </c>
      <c r="M157" s="38">
        <v>2</v>
      </c>
      <c r="N157" s="38">
        <v>2</v>
      </c>
      <c r="O157" s="38">
        <v>1</v>
      </c>
      <c r="P157" s="38">
        <v>9</v>
      </c>
      <c r="Q157" s="34">
        <f t="shared" si="4"/>
        <v>422</v>
      </c>
      <c r="R157" s="34">
        <v>0</v>
      </c>
      <c r="S157" s="34">
        <f t="shared" si="5"/>
        <v>431</v>
      </c>
      <c r="T157" s="34">
        <v>0</v>
      </c>
    </row>
    <row r="158" spans="1:20" s="3" customFormat="1" ht="24" customHeight="1">
      <c r="A158" s="51">
        <v>151</v>
      </c>
      <c r="B158" s="38">
        <v>221</v>
      </c>
      <c r="C158" s="38">
        <v>21</v>
      </c>
      <c r="D158" s="38">
        <v>156</v>
      </c>
      <c r="E158" s="38">
        <v>2</v>
      </c>
      <c r="F158" s="38">
        <v>0</v>
      </c>
      <c r="G158" s="38">
        <v>0</v>
      </c>
      <c r="H158" s="38">
        <v>1</v>
      </c>
      <c r="I158" s="38">
        <v>0</v>
      </c>
      <c r="J158" s="38">
        <v>8</v>
      </c>
      <c r="K158" s="38">
        <v>0</v>
      </c>
      <c r="L158" s="38">
        <v>0</v>
      </c>
      <c r="M158" s="38">
        <v>1</v>
      </c>
      <c r="N158" s="38">
        <v>2</v>
      </c>
      <c r="O158" s="38">
        <v>1</v>
      </c>
      <c r="P158" s="38">
        <v>0</v>
      </c>
      <c r="Q158" s="34">
        <f t="shared" si="4"/>
        <v>413</v>
      </c>
      <c r="R158" s="34">
        <v>0</v>
      </c>
      <c r="S158" s="34">
        <f t="shared" si="5"/>
        <v>413</v>
      </c>
      <c r="T158" s="34">
        <v>0</v>
      </c>
    </row>
    <row r="159" spans="1:20" s="3" customFormat="1" ht="24" customHeight="1">
      <c r="A159" s="51">
        <v>152</v>
      </c>
      <c r="B159" s="38">
        <v>125</v>
      </c>
      <c r="C159" s="38">
        <v>72</v>
      </c>
      <c r="D159" s="38">
        <v>170</v>
      </c>
      <c r="E159" s="38">
        <v>0</v>
      </c>
      <c r="F159" s="38">
        <v>0</v>
      </c>
      <c r="G159" s="38">
        <v>0</v>
      </c>
      <c r="H159" s="38">
        <v>1</v>
      </c>
      <c r="I159" s="38">
        <v>0</v>
      </c>
      <c r="J159" s="38">
        <v>16</v>
      </c>
      <c r="K159" s="38">
        <v>0</v>
      </c>
      <c r="L159" s="38">
        <v>0</v>
      </c>
      <c r="M159" s="38">
        <v>1</v>
      </c>
      <c r="N159" s="38">
        <v>2</v>
      </c>
      <c r="O159" s="38">
        <v>0</v>
      </c>
      <c r="P159" s="38">
        <v>3</v>
      </c>
      <c r="Q159" s="34">
        <f t="shared" si="4"/>
        <v>387</v>
      </c>
      <c r="R159" s="34">
        <v>0</v>
      </c>
      <c r="S159" s="34">
        <f t="shared" si="5"/>
        <v>390</v>
      </c>
      <c r="T159" s="34">
        <v>0</v>
      </c>
    </row>
    <row r="160" spans="1:20" s="3" customFormat="1" ht="24" customHeight="1">
      <c r="A160" s="51">
        <v>153</v>
      </c>
      <c r="B160" s="38">
        <v>317</v>
      </c>
      <c r="C160" s="38">
        <v>3</v>
      </c>
      <c r="D160" s="38">
        <v>176</v>
      </c>
      <c r="E160" s="38">
        <v>6</v>
      </c>
      <c r="F160" s="38">
        <v>0</v>
      </c>
      <c r="G160" s="38">
        <v>0</v>
      </c>
      <c r="H160" s="38">
        <v>0</v>
      </c>
      <c r="I160" s="38">
        <v>0</v>
      </c>
      <c r="J160" s="38">
        <v>9</v>
      </c>
      <c r="K160" s="38">
        <v>0</v>
      </c>
      <c r="L160" s="38">
        <v>0</v>
      </c>
      <c r="M160" s="38">
        <v>0</v>
      </c>
      <c r="N160" s="38">
        <v>1</v>
      </c>
      <c r="O160" s="38">
        <v>0</v>
      </c>
      <c r="P160" s="38">
        <v>4</v>
      </c>
      <c r="Q160" s="34">
        <f t="shared" si="4"/>
        <v>512</v>
      </c>
      <c r="R160" s="34">
        <v>0</v>
      </c>
      <c r="S160" s="34">
        <f t="shared" si="5"/>
        <v>516</v>
      </c>
      <c r="T160" s="34">
        <v>0</v>
      </c>
    </row>
    <row r="161" spans="1:20" s="3" customFormat="1" ht="24" customHeight="1">
      <c r="A161" s="51">
        <v>154</v>
      </c>
      <c r="B161" s="38">
        <v>242</v>
      </c>
      <c r="C161" s="38">
        <v>5</v>
      </c>
      <c r="D161" s="38">
        <v>178</v>
      </c>
      <c r="E161" s="38">
        <v>1</v>
      </c>
      <c r="F161" s="38">
        <v>0</v>
      </c>
      <c r="G161" s="38">
        <v>0</v>
      </c>
      <c r="H161" s="38">
        <v>0</v>
      </c>
      <c r="I161" s="38">
        <v>0</v>
      </c>
      <c r="J161" s="38">
        <v>8</v>
      </c>
      <c r="K161" s="38">
        <v>0</v>
      </c>
      <c r="L161" s="38">
        <v>1</v>
      </c>
      <c r="M161" s="38">
        <v>0</v>
      </c>
      <c r="N161" s="38">
        <v>1</v>
      </c>
      <c r="O161" s="38">
        <v>0</v>
      </c>
      <c r="P161" s="38">
        <v>2</v>
      </c>
      <c r="Q161" s="34">
        <f t="shared" si="4"/>
        <v>436</v>
      </c>
      <c r="R161" s="34">
        <v>0</v>
      </c>
      <c r="S161" s="34">
        <f t="shared" si="5"/>
        <v>438</v>
      </c>
      <c r="T161" s="34">
        <v>0</v>
      </c>
    </row>
    <row r="162" spans="1:20" s="3" customFormat="1" ht="24" customHeight="1">
      <c r="A162" s="46">
        <v>155</v>
      </c>
      <c r="B162" s="38">
        <v>289</v>
      </c>
      <c r="C162" s="38">
        <v>49</v>
      </c>
      <c r="D162" s="38">
        <v>67</v>
      </c>
      <c r="E162" s="38">
        <v>6</v>
      </c>
      <c r="F162" s="38">
        <v>1</v>
      </c>
      <c r="G162" s="38">
        <v>0</v>
      </c>
      <c r="H162" s="38">
        <v>0</v>
      </c>
      <c r="I162" s="38">
        <v>2</v>
      </c>
      <c r="J162" s="38">
        <v>1</v>
      </c>
      <c r="K162" s="38">
        <v>0</v>
      </c>
      <c r="L162" s="38">
        <v>1</v>
      </c>
      <c r="M162" s="38">
        <v>3</v>
      </c>
      <c r="N162" s="38">
        <v>6</v>
      </c>
      <c r="O162" s="38">
        <v>0</v>
      </c>
      <c r="P162" s="38">
        <v>7</v>
      </c>
      <c r="Q162" s="34">
        <f t="shared" si="4"/>
        <v>425</v>
      </c>
      <c r="R162" s="34">
        <v>0</v>
      </c>
      <c r="S162" s="34">
        <f t="shared" si="5"/>
        <v>432</v>
      </c>
      <c r="T162" s="34">
        <v>0</v>
      </c>
    </row>
    <row r="163" spans="1:20" s="3" customFormat="1" ht="24" customHeight="1">
      <c r="A163" s="46">
        <v>156</v>
      </c>
      <c r="B163" s="38">
        <v>357</v>
      </c>
      <c r="C163" s="38">
        <v>10</v>
      </c>
      <c r="D163" s="38">
        <v>46</v>
      </c>
      <c r="E163" s="38">
        <v>7</v>
      </c>
      <c r="F163" s="38">
        <v>0</v>
      </c>
      <c r="G163" s="38">
        <v>0</v>
      </c>
      <c r="H163" s="38">
        <v>0</v>
      </c>
      <c r="I163" s="38">
        <v>1</v>
      </c>
      <c r="J163" s="38">
        <v>3</v>
      </c>
      <c r="K163" s="38">
        <v>0</v>
      </c>
      <c r="L163" s="38">
        <v>2</v>
      </c>
      <c r="M163" s="38">
        <v>3</v>
      </c>
      <c r="N163" s="38">
        <v>1</v>
      </c>
      <c r="O163" s="38">
        <v>1</v>
      </c>
      <c r="P163" s="38">
        <v>2</v>
      </c>
      <c r="Q163" s="34">
        <f t="shared" si="4"/>
        <v>431</v>
      </c>
      <c r="R163" s="34">
        <v>0</v>
      </c>
      <c r="S163" s="34">
        <f t="shared" si="5"/>
        <v>433</v>
      </c>
      <c r="T163" s="34">
        <v>0</v>
      </c>
    </row>
    <row r="164" spans="1:20" s="3" customFormat="1" ht="24" customHeight="1">
      <c r="A164" s="46">
        <v>157</v>
      </c>
      <c r="B164" s="38">
        <v>30</v>
      </c>
      <c r="C164" s="38">
        <v>32</v>
      </c>
      <c r="D164" s="38">
        <v>154</v>
      </c>
      <c r="E164" s="38">
        <v>1</v>
      </c>
      <c r="F164" s="38">
        <v>0</v>
      </c>
      <c r="G164" s="38">
        <v>0</v>
      </c>
      <c r="H164" s="38">
        <v>0</v>
      </c>
      <c r="I164" s="38">
        <v>0</v>
      </c>
      <c r="J164" s="38">
        <v>0</v>
      </c>
      <c r="K164" s="38">
        <v>0</v>
      </c>
      <c r="L164" s="38">
        <v>0</v>
      </c>
      <c r="M164" s="38">
        <v>0</v>
      </c>
      <c r="N164" s="38">
        <v>1</v>
      </c>
      <c r="O164" s="38">
        <v>0</v>
      </c>
      <c r="P164" s="38">
        <v>1</v>
      </c>
      <c r="Q164" s="34">
        <f t="shared" si="4"/>
        <v>218</v>
      </c>
      <c r="R164" s="34">
        <v>0</v>
      </c>
      <c r="S164" s="34">
        <f t="shared" si="5"/>
        <v>219</v>
      </c>
      <c r="T164" s="34">
        <v>0</v>
      </c>
    </row>
    <row r="165" spans="1:20" s="3" customFormat="1" ht="24" customHeight="1">
      <c r="A165" s="46">
        <v>158</v>
      </c>
      <c r="B165" s="38">
        <v>470</v>
      </c>
      <c r="C165" s="38">
        <v>17</v>
      </c>
      <c r="D165" s="38">
        <v>34</v>
      </c>
      <c r="E165" s="38">
        <v>2</v>
      </c>
      <c r="F165" s="38">
        <v>0</v>
      </c>
      <c r="G165" s="38">
        <v>0</v>
      </c>
      <c r="H165" s="38">
        <v>0</v>
      </c>
      <c r="I165" s="38">
        <v>0</v>
      </c>
      <c r="J165" s="38">
        <v>0</v>
      </c>
      <c r="K165" s="38">
        <v>1</v>
      </c>
      <c r="L165" s="38">
        <v>0</v>
      </c>
      <c r="M165" s="38">
        <v>2</v>
      </c>
      <c r="N165" s="38">
        <v>2</v>
      </c>
      <c r="O165" s="38">
        <v>1</v>
      </c>
      <c r="P165" s="38">
        <v>2</v>
      </c>
      <c r="Q165" s="34">
        <f t="shared" si="4"/>
        <v>529</v>
      </c>
      <c r="R165" s="34">
        <v>0</v>
      </c>
      <c r="S165" s="34">
        <f t="shared" si="5"/>
        <v>531</v>
      </c>
      <c r="T165" s="34">
        <v>0</v>
      </c>
    </row>
    <row r="166" spans="1:20" s="3" customFormat="1" ht="24" customHeight="1">
      <c r="A166" s="46">
        <v>159</v>
      </c>
      <c r="B166" s="38">
        <v>376</v>
      </c>
      <c r="C166" s="38">
        <v>11</v>
      </c>
      <c r="D166" s="38">
        <v>231</v>
      </c>
      <c r="E166" s="38">
        <v>3</v>
      </c>
      <c r="F166" s="38">
        <v>1</v>
      </c>
      <c r="G166" s="38">
        <v>1</v>
      </c>
      <c r="H166" s="38">
        <v>0</v>
      </c>
      <c r="I166" s="38">
        <v>1</v>
      </c>
      <c r="J166" s="38">
        <v>3</v>
      </c>
      <c r="K166" s="38">
        <v>2</v>
      </c>
      <c r="L166" s="38">
        <v>1</v>
      </c>
      <c r="M166" s="38">
        <v>2</v>
      </c>
      <c r="N166" s="38">
        <v>3</v>
      </c>
      <c r="O166" s="38">
        <v>0</v>
      </c>
      <c r="P166" s="38">
        <v>5</v>
      </c>
      <c r="Q166" s="34">
        <f t="shared" si="4"/>
        <v>635</v>
      </c>
      <c r="R166" s="34">
        <v>0</v>
      </c>
      <c r="S166" s="34">
        <f t="shared" si="5"/>
        <v>640</v>
      </c>
      <c r="T166" s="34">
        <v>0</v>
      </c>
    </row>
    <row r="167" spans="1:20" s="3" customFormat="1" ht="24" customHeight="1">
      <c r="A167" s="46">
        <v>160</v>
      </c>
      <c r="B167" s="38">
        <v>362</v>
      </c>
      <c r="C167" s="38">
        <v>58</v>
      </c>
      <c r="D167" s="38">
        <v>157</v>
      </c>
      <c r="E167" s="38">
        <v>6</v>
      </c>
      <c r="F167" s="38">
        <v>1</v>
      </c>
      <c r="G167" s="38">
        <v>0</v>
      </c>
      <c r="H167" s="38">
        <v>0</v>
      </c>
      <c r="I167" s="38">
        <v>2</v>
      </c>
      <c r="J167" s="38">
        <v>23</v>
      </c>
      <c r="K167" s="38">
        <v>1</v>
      </c>
      <c r="L167" s="38">
        <v>0</v>
      </c>
      <c r="M167" s="38">
        <v>1</v>
      </c>
      <c r="N167" s="38">
        <v>0</v>
      </c>
      <c r="O167" s="38">
        <v>2</v>
      </c>
      <c r="P167" s="38">
        <v>3</v>
      </c>
      <c r="Q167" s="34">
        <f t="shared" si="4"/>
        <v>613</v>
      </c>
      <c r="R167" s="34">
        <v>0</v>
      </c>
      <c r="S167" s="34">
        <f t="shared" si="5"/>
        <v>616</v>
      </c>
      <c r="T167" s="34">
        <v>0</v>
      </c>
    </row>
    <row r="168" spans="1:20" s="3" customFormat="1" ht="24" customHeight="1">
      <c r="A168" s="46">
        <v>161</v>
      </c>
      <c r="B168" s="38">
        <v>191</v>
      </c>
      <c r="C168" s="38">
        <v>16</v>
      </c>
      <c r="D168" s="38">
        <v>108</v>
      </c>
      <c r="E168" s="38">
        <v>5</v>
      </c>
      <c r="F168" s="38">
        <v>0</v>
      </c>
      <c r="G168" s="38">
        <v>0</v>
      </c>
      <c r="H168" s="38">
        <v>0</v>
      </c>
      <c r="I168" s="38">
        <v>0</v>
      </c>
      <c r="J168" s="38">
        <v>1</v>
      </c>
      <c r="K168" s="38">
        <v>0</v>
      </c>
      <c r="L168" s="38">
        <v>0</v>
      </c>
      <c r="M168" s="38">
        <v>1</v>
      </c>
      <c r="N168" s="38">
        <v>3</v>
      </c>
      <c r="O168" s="38">
        <v>2</v>
      </c>
      <c r="P168" s="38">
        <v>3</v>
      </c>
      <c r="Q168" s="34">
        <f t="shared" si="4"/>
        <v>327</v>
      </c>
      <c r="R168" s="34">
        <v>0</v>
      </c>
      <c r="S168" s="34">
        <f t="shared" si="5"/>
        <v>330</v>
      </c>
      <c r="T168" s="34">
        <v>0</v>
      </c>
    </row>
    <row r="169" spans="1:20" s="3" customFormat="1" ht="24" customHeight="1">
      <c r="A169" s="46">
        <v>162</v>
      </c>
      <c r="B169" s="38">
        <v>311</v>
      </c>
      <c r="C169" s="38">
        <v>14</v>
      </c>
      <c r="D169" s="38">
        <v>84</v>
      </c>
      <c r="E169" s="38">
        <v>0</v>
      </c>
      <c r="F169" s="38">
        <v>0</v>
      </c>
      <c r="G169" s="38">
        <v>0</v>
      </c>
      <c r="H169" s="38">
        <v>0</v>
      </c>
      <c r="I169" s="38">
        <v>0</v>
      </c>
      <c r="J169" s="38">
        <v>0</v>
      </c>
      <c r="K169" s="38">
        <v>0</v>
      </c>
      <c r="L169" s="38">
        <v>0</v>
      </c>
      <c r="M169" s="38">
        <v>0</v>
      </c>
      <c r="N169" s="38">
        <v>1</v>
      </c>
      <c r="O169" s="38">
        <v>1</v>
      </c>
      <c r="P169" s="38">
        <v>1</v>
      </c>
      <c r="Q169" s="34">
        <f t="shared" si="4"/>
        <v>411</v>
      </c>
      <c r="R169" s="34">
        <v>0</v>
      </c>
      <c r="S169" s="34">
        <f t="shared" si="5"/>
        <v>412</v>
      </c>
      <c r="T169" s="34">
        <v>0</v>
      </c>
    </row>
    <row r="170" spans="1:20" s="3" customFormat="1" ht="24" customHeight="1">
      <c r="A170" s="46">
        <v>163</v>
      </c>
      <c r="B170" s="38">
        <v>427</v>
      </c>
      <c r="C170" s="38">
        <v>1</v>
      </c>
      <c r="D170" s="38">
        <v>194</v>
      </c>
      <c r="E170" s="38">
        <v>2</v>
      </c>
      <c r="F170" s="38">
        <v>0</v>
      </c>
      <c r="G170" s="38">
        <v>0</v>
      </c>
      <c r="H170" s="38">
        <v>1</v>
      </c>
      <c r="I170" s="38">
        <v>0</v>
      </c>
      <c r="J170" s="38">
        <v>0</v>
      </c>
      <c r="K170" s="38">
        <v>1</v>
      </c>
      <c r="L170" s="38">
        <v>1</v>
      </c>
      <c r="M170" s="38">
        <v>1</v>
      </c>
      <c r="N170" s="38">
        <v>3</v>
      </c>
      <c r="O170" s="38">
        <v>1</v>
      </c>
      <c r="P170" s="38">
        <v>3</v>
      </c>
      <c r="Q170" s="34">
        <f t="shared" si="4"/>
        <v>632</v>
      </c>
      <c r="R170" s="34">
        <v>0</v>
      </c>
      <c r="S170" s="34">
        <f t="shared" si="5"/>
        <v>635</v>
      </c>
      <c r="T170" s="34">
        <v>0</v>
      </c>
    </row>
    <row r="171" spans="1:20" s="3" customFormat="1" ht="24" customHeight="1">
      <c r="A171" s="46">
        <v>164</v>
      </c>
      <c r="B171" s="38">
        <v>429</v>
      </c>
      <c r="C171" s="38">
        <v>4</v>
      </c>
      <c r="D171" s="38">
        <v>127</v>
      </c>
      <c r="E171" s="38">
        <v>5</v>
      </c>
      <c r="F171" s="38">
        <v>0</v>
      </c>
      <c r="G171" s="38">
        <v>0</v>
      </c>
      <c r="H171" s="38">
        <v>0</v>
      </c>
      <c r="I171" s="38">
        <v>0</v>
      </c>
      <c r="J171" s="38">
        <v>0</v>
      </c>
      <c r="K171" s="38">
        <v>1</v>
      </c>
      <c r="L171" s="38">
        <v>2</v>
      </c>
      <c r="M171" s="38">
        <v>2</v>
      </c>
      <c r="N171" s="38">
        <v>1</v>
      </c>
      <c r="O171" s="38">
        <v>2</v>
      </c>
      <c r="P171" s="38">
        <v>12</v>
      </c>
      <c r="Q171" s="34">
        <f t="shared" si="4"/>
        <v>573</v>
      </c>
      <c r="R171" s="34">
        <v>0</v>
      </c>
      <c r="S171" s="34">
        <f t="shared" si="5"/>
        <v>585</v>
      </c>
      <c r="T171" s="34">
        <v>0</v>
      </c>
    </row>
    <row r="172" spans="1:20" s="3" customFormat="1" ht="24" customHeight="1">
      <c r="A172" s="46">
        <v>165</v>
      </c>
      <c r="B172" s="38">
        <v>223</v>
      </c>
      <c r="C172" s="38">
        <v>7</v>
      </c>
      <c r="D172" s="38">
        <v>134</v>
      </c>
      <c r="E172" s="38">
        <v>0</v>
      </c>
      <c r="F172" s="38">
        <v>2</v>
      </c>
      <c r="G172" s="38">
        <v>0</v>
      </c>
      <c r="H172" s="38">
        <v>0</v>
      </c>
      <c r="I172" s="38">
        <v>0</v>
      </c>
      <c r="J172" s="38">
        <v>1</v>
      </c>
      <c r="K172" s="38">
        <v>0</v>
      </c>
      <c r="L172" s="38">
        <v>2</v>
      </c>
      <c r="M172" s="38">
        <v>0</v>
      </c>
      <c r="N172" s="38">
        <v>1</v>
      </c>
      <c r="O172" s="38">
        <v>0</v>
      </c>
      <c r="P172" s="38">
        <v>6</v>
      </c>
      <c r="Q172" s="34">
        <f t="shared" si="4"/>
        <v>370</v>
      </c>
      <c r="R172" s="34">
        <v>0</v>
      </c>
      <c r="S172" s="34">
        <f t="shared" si="5"/>
        <v>376</v>
      </c>
      <c r="T172" s="34">
        <v>0</v>
      </c>
    </row>
    <row r="173" spans="1:20" s="3" customFormat="1" ht="24" customHeight="1">
      <c r="A173" s="46">
        <v>166</v>
      </c>
      <c r="B173" s="38">
        <v>199</v>
      </c>
      <c r="C173" s="38">
        <v>39</v>
      </c>
      <c r="D173" s="38">
        <v>100</v>
      </c>
      <c r="E173" s="38">
        <v>0</v>
      </c>
      <c r="F173" s="38">
        <v>1</v>
      </c>
      <c r="G173" s="38">
        <v>1</v>
      </c>
      <c r="H173" s="38">
        <v>1</v>
      </c>
      <c r="I173" s="38">
        <v>1</v>
      </c>
      <c r="J173" s="38">
        <v>0</v>
      </c>
      <c r="K173" s="38">
        <v>2</v>
      </c>
      <c r="L173" s="38">
        <v>1</v>
      </c>
      <c r="M173" s="38">
        <v>0</v>
      </c>
      <c r="N173" s="38">
        <v>1</v>
      </c>
      <c r="O173" s="38">
        <v>3</v>
      </c>
      <c r="P173" s="38">
        <v>3</v>
      </c>
      <c r="Q173" s="34">
        <f t="shared" si="4"/>
        <v>349</v>
      </c>
      <c r="R173" s="34">
        <v>0</v>
      </c>
      <c r="S173" s="34">
        <f t="shared" si="5"/>
        <v>352</v>
      </c>
      <c r="T173" s="34">
        <v>0</v>
      </c>
    </row>
    <row r="174" spans="1:20" s="3" customFormat="1" ht="24" customHeight="1">
      <c r="A174" s="46">
        <v>167</v>
      </c>
      <c r="B174" s="38">
        <v>223</v>
      </c>
      <c r="C174" s="38">
        <v>217</v>
      </c>
      <c r="D174" s="38">
        <v>118</v>
      </c>
      <c r="E174" s="38">
        <v>5</v>
      </c>
      <c r="F174" s="38">
        <v>0</v>
      </c>
      <c r="G174" s="38">
        <v>2</v>
      </c>
      <c r="H174" s="38">
        <v>0</v>
      </c>
      <c r="I174" s="38">
        <v>0</v>
      </c>
      <c r="J174" s="38">
        <v>0</v>
      </c>
      <c r="K174" s="38">
        <v>0</v>
      </c>
      <c r="L174" s="38">
        <v>1</v>
      </c>
      <c r="M174" s="38">
        <v>5</v>
      </c>
      <c r="N174" s="38">
        <v>0</v>
      </c>
      <c r="O174" s="38">
        <v>1</v>
      </c>
      <c r="P174" s="38">
        <v>2</v>
      </c>
      <c r="Q174" s="34">
        <f t="shared" si="4"/>
        <v>572</v>
      </c>
      <c r="R174" s="34">
        <v>0</v>
      </c>
      <c r="S174" s="34">
        <f t="shared" si="5"/>
        <v>574</v>
      </c>
      <c r="T174" s="34">
        <v>0</v>
      </c>
    </row>
    <row r="175" spans="1:20" s="3" customFormat="1" ht="24" customHeight="1">
      <c r="A175" s="46">
        <v>168</v>
      </c>
      <c r="B175" s="38">
        <v>278</v>
      </c>
      <c r="C175" s="38">
        <v>32</v>
      </c>
      <c r="D175" s="38">
        <v>30</v>
      </c>
      <c r="E175" s="38">
        <v>1</v>
      </c>
      <c r="F175" s="38">
        <v>0</v>
      </c>
      <c r="G175" s="38">
        <v>0</v>
      </c>
      <c r="H175" s="38">
        <v>0</v>
      </c>
      <c r="I175" s="38">
        <v>0</v>
      </c>
      <c r="J175" s="38">
        <v>1</v>
      </c>
      <c r="K175" s="38">
        <v>0</v>
      </c>
      <c r="L175" s="38">
        <v>0</v>
      </c>
      <c r="M175" s="38">
        <v>1</v>
      </c>
      <c r="N175" s="38">
        <v>1</v>
      </c>
      <c r="O175" s="38">
        <v>0</v>
      </c>
      <c r="P175" s="38">
        <v>5</v>
      </c>
      <c r="Q175" s="34">
        <f t="shared" si="4"/>
        <v>344</v>
      </c>
      <c r="R175" s="34">
        <v>0</v>
      </c>
      <c r="S175" s="34">
        <f t="shared" si="5"/>
        <v>349</v>
      </c>
      <c r="T175" s="34">
        <v>0</v>
      </c>
    </row>
    <row r="176" spans="1:20" s="3" customFormat="1" ht="24" customHeight="1">
      <c r="A176" s="50">
        <v>169</v>
      </c>
      <c r="B176" s="38">
        <v>265</v>
      </c>
      <c r="C176" s="38">
        <v>6</v>
      </c>
      <c r="D176" s="38">
        <v>112</v>
      </c>
      <c r="E176" s="38">
        <v>2</v>
      </c>
      <c r="F176" s="38">
        <v>0</v>
      </c>
      <c r="G176" s="38">
        <v>1</v>
      </c>
      <c r="H176" s="38">
        <v>0</v>
      </c>
      <c r="I176" s="38">
        <v>1</v>
      </c>
      <c r="J176" s="38">
        <v>0</v>
      </c>
      <c r="K176" s="38">
        <v>0</v>
      </c>
      <c r="L176" s="38">
        <v>0</v>
      </c>
      <c r="M176" s="38">
        <v>1</v>
      </c>
      <c r="N176" s="38">
        <v>0</v>
      </c>
      <c r="O176" s="38">
        <v>0</v>
      </c>
      <c r="P176" s="38">
        <v>4</v>
      </c>
      <c r="Q176" s="34">
        <f t="shared" si="4"/>
        <v>388</v>
      </c>
      <c r="R176" s="34">
        <v>0</v>
      </c>
      <c r="S176" s="34">
        <f t="shared" si="5"/>
        <v>392</v>
      </c>
      <c r="T176" s="34">
        <v>0</v>
      </c>
    </row>
    <row r="177" spans="1:20" s="3" customFormat="1" ht="24" customHeight="1">
      <c r="A177" s="50">
        <v>170</v>
      </c>
      <c r="B177" s="38">
        <v>347</v>
      </c>
      <c r="C177" s="38">
        <v>134</v>
      </c>
      <c r="D177" s="38">
        <v>110</v>
      </c>
      <c r="E177" s="38">
        <v>4</v>
      </c>
      <c r="F177" s="38">
        <v>0</v>
      </c>
      <c r="G177" s="38">
        <v>3</v>
      </c>
      <c r="H177" s="38">
        <v>0</v>
      </c>
      <c r="I177" s="38">
        <v>0</v>
      </c>
      <c r="J177" s="38">
        <v>2</v>
      </c>
      <c r="K177" s="38">
        <v>0</v>
      </c>
      <c r="L177" s="38">
        <v>1</v>
      </c>
      <c r="M177" s="38">
        <v>1</v>
      </c>
      <c r="N177" s="38">
        <v>1</v>
      </c>
      <c r="O177" s="38">
        <v>2</v>
      </c>
      <c r="P177" s="38">
        <v>4</v>
      </c>
      <c r="Q177" s="34">
        <f t="shared" si="4"/>
        <v>605</v>
      </c>
      <c r="R177" s="34">
        <v>0</v>
      </c>
      <c r="S177" s="34">
        <f t="shared" si="5"/>
        <v>609</v>
      </c>
      <c r="T177" s="34">
        <v>0</v>
      </c>
    </row>
    <row r="178" spans="1:20" s="3" customFormat="1" ht="24" customHeight="1">
      <c r="A178" s="50">
        <v>171</v>
      </c>
      <c r="B178" s="38">
        <v>467</v>
      </c>
      <c r="C178" s="38">
        <v>53</v>
      </c>
      <c r="D178" s="38">
        <v>94</v>
      </c>
      <c r="E178" s="38">
        <v>10</v>
      </c>
      <c r="F178" s="38">
        <v>0</v>
      </c>
      <c r="G178" s="38">
        <v>0</v>
      </c>
      <c r="H178" s="38">
        <v>1</v>
      </c>
      <c r="I178" s="38">
        <v>0</v>
      </c>
      <c r="J178" s="38">
        <v>0</v>
      </c>
      <c r="K178" s="38">
        <v>1</v>
      </c>
      <c r="L178" s="38">
        <v>0</v>
      </c>
      <c r="M178" s="38">
        <v>1</v>
      </c>
      <c r="N178" s="38">
        <v>3</v>
      </c>
      <c r="O178" s="38">
        <v>2</v>
      </c>
      <c r="P178" s="38">
        <v>3</v>
      </c>
      <c r="Q178" s="34">
        <f t="shared" si="4"/>
        <v>632</v>
      </c>
      <c r="R178" s="34">
        <v>0</v>
      </c>
      <c r="S178" s="34">
        <f t="shared" si="5"/>
        <v>635</v>
      </c>
      <c r="T178" s="34">
        <v>0</v>
      </c>
    </row>
    <row r="179" spans="1:20" s="3" customFormat="1" ht="24" customHeight="1">
      <c r="A179" s="50">
        <v>172</v>
      </c>
      <c r="B179" s="38">
        <v>234</v>
      </c>
      <c r="C179" s="38">
        <v>2</v>
      </c>
      <c r="D179" s="38">
        <v>59</v>
      </c>
      <c r="E179" s="38">
        <v>10</v>
      </c>
      <c r="F179" s="38">
        <v>0</v>
      </c>
      <c r="G179" s="38">
        <v>0</v>
      </c>
      <c r="H179" s="38">
        <v>0</v>
      </c>
      <c r="I179" s="38">
        <v>0</v>
      </c>
      <c r="J179" s="38">
        <v>7</v>
      </c>
      <c r="K179" s="38">
        <v>1</v>
      </c>
      <c r="L179" s="38">
        <v>1</v>
      </c>
      <c r="M179" s="38">
        <v>0</v>
      </c>
      <c r="N179" s="38">
        <v>1</v>
      </c>
      <c r="O179" s="38">
        <v>0</v>
      </c>
      <c r="P179" s="38">
        <v>1</v>
      </c>
      <c r="Q179" s="34">
        <f t="shared" si="4"/>
        <v>315</v>
      </c>
      <c r="R179" s="34">
        <v>0</v>
      </c>
      <c r="S179" s="34">
        <f t="shared" si="5"/>
        <v>316</v>
      </c>
      <c r="T179" s="34">
        <v>0</v>
      </c>
    </row>
    <row r="180" spans="1:20" s="3" customFormat="1" ht="24" customHeight="1">
      <c r="A180" s="50">
        <v>173</v>
      </c>
      <c r="B180" s="38">
        <v>161</v>
      </c>
      <c r="C180" s="38">
        <v>79</v>
      </c>
      <c r="D180" s="38">
        <v>141</v>
      </c>
      <c r="E180" s="38">
        <v>6</v>
      </c>
      <c r="F180" s="38">
        <v>0</v>
      </c>
      <c r="G180" s="38">
        <v>0</v>
      </c>
      <c r="H180" s="38">
        <v>0</v>
      </c>
      <c r="I180" s="38">
        <v>0</v>
      </c>
      <c r="J180" s="38">
        <v>5</v>
      </c>
      <c r="K180" s="38">
        <v>0</v>
      </c>
      <c r="L180" s="38">
        <v>1</v>
      </c>
      <c r="M180" s="38">
        <v>0</v>
      </c>
      <c r="N180" s="38">
        <v>0</v>
      </c>
      <c r="O180" s="38">
        <v>3</v>
      </c>
      <c r="P180" s="38">
        <v>3</v>
      </c>
      <c r="Q180" s="34">
        <f t="shared" si="4"/>
        <v>396</v>
      </c>
      <c r="R180" s="34">
        <v>0</v>
      </c>
      <c r="S180" s="34">
        <f t="shared" si="5"/>
        <v>399</v>
      </c>
      <c r="T180" s="34">
        <v>0</v>
      </c>
    </row>
    <row r="181" spans="1:20" s="3" customFormat="1" ht="24" customHeight="1">
      <c r="A181" s="50">
        <v>174</v>
      </c>
      <c r="B181" s="38">
        <v>268</v>
      </c>
      <c r="C181" s="38">
        <v>2</v>
      </c>
      <c r="D181" s="38">
        <v>67</v>
      </c>
      <c r="E181" s="38">
        <v>2</v>
      </c>
      <c r="F181" s="38">
        <v>0</v>
      </c>
      <c r="G181" s="38">
        <v>0</v>
      </c>
      <c r="H181" s="38">
        <v>0</v>
      </c>
      <c r="I181" s="38">
        <v>0</v>
      </c>
      <c r="J181" s="38">
        <v>0</v>
      </c>
      <c r="K181" s="38">
        <v>0</v>
      </c>
      <c r="L181" s="38">
        <v>1</v>
      </c>
      <c r="M181" s="38">
        <v>0</v>
      </c>
      <c r="N181" s="38">
        <v>1</v>
      </c>
      <c r="O181" s="38">
        <v>0</v>
      </c>
      <c r="P181" s="38">
        <v>3</v>
      </c>
      <c r="Q181" s="34">
        <f t="shared" si="4"/>
        <v>341</v>
      </c>
      <c r="R181" s="34">
        <v>0</v>
      </c>
      <c r="S181" s="34">
        <f t="shared" si="5"/>
        <v>344</v>
      </c>
      <c r="T181" s="34">
        <v>0</v>
      </c>
    </row>
    <row r="182" spans="1:20" s="3" customFormat="1" ht="24" customHeight="1">
      <c r="A182" s="50">
        <v>175</v>
      </c>
      <c r="B182" s="38">
        <v>308</v>
      </c>
      <c r="C182" s="38">
        <v>3</v>
      </c>
      <c r="D182" s="38">
        <v>19</v>
      </c>
      <c r="E182" s="38">
        <v>0</v>
      </c>
      <c r="F182" s="38">
        <v>0</v>
      </c>
      <c r="G182" s="38">
        <v>1</v>
      </c>
      <c r="H182" s="38">
        <v>0</v>
      </c>
      <c r="I182" s="38">
        <v>0</v>
      </c>
      <c r="J182" s="38">
        <v>1</v>
      </c>
      <c r="K182" s="38">
        <v>0</v>
      </c>
      <c r="L182" s="38">
        <v>0</v>
      </c>
      <c r="M182" s="38">
        <v>0</v>
      </c>
      <c r="N182" s="38">
        <v>1</v>
      </c>
      <c r="O182" s="38">
        <v>0</v>
      </c>
      <c r="P182" s="38">
        <v>3</v>
      </c>
      <c r="Q182" s="34">
        <f t="shared" si="4"/>
        <v>333</v>
      </c>
      <c r="R182" s="34">
        <v>0</v>
      </c>
      <c r="S182" s="34">
        <f t="shared" si="5"/>
        <v>336</v>
      </c>
      <c r="T182" s="34">
        <v>0</v>
      </c>
    </row>
    <row r="183" spans="1:20" s="3" customFormat="1" ht="24" customHeight="1">
      <c r="A183" s="50">
        <v>176</v>
      </c>
      <c r="B183" s="38">
        <v>233</v>
      </c>
      <c r="C183" s="38">
        <v>5</v>
      </c>
      <c r="D183" s="38">
        <v>63</v>
      </c>
      <c r="E183" s="38">
        <v>3</v>
      </c>
      <c r="F183" s="38">
        <v>0</v>
      </c>
      <c r="G183" s="38">
        <v>0</v>
      </c>
      <c r="H183" s="38">
        <v>1</v>
      </c>
      <c r="I183" s="38">
        <v>0</v>
      </c>
      <c r="J183" s="38">
        <v>1</v>
      </c>
      <c r="K183" s="38">
        <v>0</v>
      </c>
      <c r="L183" s="38">
        <v>2</v>
      </c>
      <c r="M183" s="38">
        <v>0</v>
      </c>
      <c r="N183" s="38">
        <v>1</v>
      </c>
      <c r="O183" s="38">
        <v>1</v>
      </c>
      <c r="P183" s="38">
        <v>1</v>
      </c>
      <c r="Q183" s="34">
        <f t="shared" si="4"/>
        <v>310</v>
      </c>
      <c r="R183" s="34">
        <v>0</v>
      </c>
      <c r="S183" s="34">
        <f t="shared" si="5"/>
        <v>311</v>
      </c>
      <c r="T183" s="34">
        <v>0</v>
      </c>
    </row>
    <row r="184" spans="1:20" s="3" customFormat="1" ht="24" customHeight="1">
      <c r="A184" s="50">
        <v>177</v>
      </c>
      <c r="B184" s="38">
        <v>262</v>
      </c>
      <c r="C184" s="38">
        <v>22</v>
      </c>
      <c r="D184" s="38">
        <v>52</v>
      </c>
      <c r="E184" s="38">
        <v>8</v>
      </c>
      <c r="F184" s="38">
        <v>0</v>
      </c>
      <c r="G184" s="38">
        <v>0</v>
      </c>
      <c r="H184" s="38">
        <v>0</v>
      </c>
      <c r="I184" s="38">
        <v>0</v>
      </c>
      <c r="J184" s="38">
        <v>0</v>
      </c>
      <c r="K184" s="38">
        <v>0</v>
      </c>
      <c r="L184" s="38">
        <v>0</v>
      </c>
      <c r="M184" s="38">
        <v>0</v>
      </c>
      <c r="N184" s="38">
        <v>0</v>
      </c>
      <c r="O184" s="38">
        <v>0</v>
      </c>
      <c r="P184" s="38">
        <v>2</v>
      </c>
      <c r="Q184" s="34">
        <f t="shared" si="4"/>
        <v>344</v>
      </c>
      <c r="R184" s="34">
        <v>0</v>
      </c>
      <c r="S184" s="34">
        <f t="shared" si="5"/>
        <v>346</v>
      </c>
      <c r="T184" s="34">
        <v>0</v>
      </c>
    </row>
    <row r="185" spans="1:20" s="3" customFormat="1" ht="24" customHeight="1">
      <c r="A185" s="50">
        <v>178</v>
      </c>
      <c r="B185" s="38">
        <v>530</v>
      </c>
      <c r="C185" s="38">
        <v>41</v>
      </c>
      <c r="D185" s="38">
        <v>101</v>
      </c>
      <c r="E185" s="38">
        <v>3</v>
      </c>
      <c r="F185" s="38">
        <v>1</v>
      </c>
      <c r="G185" s="38">
        <v>1</v>
      </c>
      <c r="H185" s="38">
        <v>1</v>
      </c>
      <c r="I185" s="38">
        <v>1</v>
      </c>
      <c r="J185" s="38">
        <v>2</v>
      </c>
      <c r="K185" s="38">
        <v>0</v>
      </c>
      <c r="L185" s="38">
        <v>1</v>
      </c>
      <c r="M185" s="38">
        <v>2</v>
      </c>
      <c r="N185" s="38">
        <v>1</v>
      </c>
      <c r="O185" s="38">
        <v>4</v>
      </c>
      <c r="P185" s="38">
        <v>7</v>
      </c>
      <c r="Q185" s="34">
        <f t="shared" si="4"/>
        <v>689</v>
      </c>
      <c r="R185" s="34">
        <v>0</v>
      </c>
      <c r="S185" s="34">
        <f t="shared" si="5"/>
        <v>696</v>
      </c>
      <c r="T185" s="34">
        <v>0</v>
      </c>
    </row>
    <row r="186" spans="1:20" s="3" customFormat="1" ht="24" customHeight="1">
      <c r="A186" s="50">
        <v>179</v>
      </c>
      <c r="B186" s="38">
        <v>172</v>
      </c>
      <c r="C186" s="38">
        <v>116</v>
      </c>
      <c r="D186" s="38">
        <v>72</v>
      </c>
      <c r="E186" s="38">
        <v>6</v>
      </c>
      <c r="F186" s="38">
        <v>1</v>
      </c>
      <c r="G186" s="38">
        <v>0</v>
      </c>
      <c r="H186" s="38">
        <v>0</v>
      </c>
      <c r="I186" s="38">
        <v>1</v>
      </c>
      <c r="J186" s="38">
        <v>1</v>
      </c>
      <c r="K186" s="38">
        <v>1</v>
      </c>
      <c r="L186" s="38">
        <v>0</v>
      </c>
      <c r="M186" s="38">
        <v>1</v>
      </c>
      <c r="N186" s="38">
        <v>2</v>
      </c>
      <c r="O186" s="38">
        <v>1</v>
      </c>
      <c r="P186" s="38">
        <v>2</v>
      </c>
      <c r="Q186" s="34">
        <f t="shared" si="4"/>
        <v>374</v>
      </c>
      <c r="R186" s="34">
        <v>0</v>
      </c>
      <c r="S186" s="34">
        <f t="shared" si="5"/>
        <v>376</v>
      </c>
      <c r="T186" s="34">
        <v>0</v>
      </c>
    </row>
    <row r="187" spans="1:20" s="3" customFormat="1" ht="24" customHeight="1">
      <c r="A187" s="50">
        <v>180</v>
      </c>
      <c r="B187" s="38">
        <v>191</v>
      </c>
      <c r="C187" s="38">
        <v>14</v>
      </c>
      <c r="D187" s="38">
        <v>161</v>
      </c>
      <c r="E187" s="38">
        <v>4</v>
      </c>
      <c r="F187" s="38">
        <v>0</v>
      </c>
      <c r="G187" s="38">
        <v>0</v>
      </c>
      <c r="H187" s="38">
        <v>0</v>
      </c>
      <c r="I187" s="38">
        <v>0</v>
      </c>
      <c r="J187" s="38">
        <v>0</v>
      </c>
      <c r="K187" s="38">
        <v>0</v>
      </c>
      <c r="L187" s="38">
        <v>1</v>
      </c>
      <c r="M187" s="38">
        <v>0</v>
      </c>
      <c r="N187" s="38">
        <v>1</v>
      </c>
      <c r="O187" s="38">
        <v>0</v>
      </c>
      <c r="P187" s="38">
        <v>1</v>
      </c>
      <c r="Q187" s="34">
        <f t="shared" si="4"/>
        <v>372</v>
      </c>
      <c r="R187" s="34">
        <v>0</v>
      </c>
      <c r="S187" s="34">
        <f t="shared" si="5"/>
        <v>373</v>
      </c>
      <c r="T187" s="34">
        <v>0</v>
      </c>
    </row>
    <row r="188" spans="1:20" s="3" customFormat="1" ht="24" customHeight="1">
      <c r="A188" s="50">
        <v>181</v>
      </c>
      <c r="B188" s="38">
        <v>448</v>
      </c>
      <c r="C188" s="38">
        <v>9</v>
      </c>
      <c r="D188" s="38">
        <v>164</v>
      </c>
      <c r="E188" s="38">
        <v>2</v>
      </c>
      <c r="F188" s="38">
        <v>0</v>
      </c>
      <c r="G188" s="38">
        <v>3</v>
      </c>
      <c r="H188" s="38">
        <v>0</v>
      </c>
      <c r="I188" s="38">
        <v>0</v>
      </c>
      <c r="J188" s="38">
        <v>2</v>
      </c>
      <c r="K188" s="38">
        <v>1</v>
      </c>
      <c r="L188" s="38">
        <v>1</v>
      </c>
      <c r="M188" s="38">
        <v>2</v>
      </c>
      <c r="N188" s="38">
        <v>3</v>
      </c>
      <c r="O188" s="38">
        <v>1</v>
      </c>
      <c r="P188" s="38">
        <v>3</v>
      </c>
      <c r="Q188" s="34">
        <f t="shared" si="4"/>
        <v>636</v>
      </c>
      <c r="R188" s="34">
        <v>0</v>
      </c>
      <c r="S188" s="34">
        <f t="shared" si="5"/>
        <v>639</v>
      </c>
      <c r="T188" s="34">
        <v>0</v>
      </c>
    </row>
    <row r="189" spans="1:20" s="3" customFormat="1" ht="24" customHeight="1">
      <c r="A189" s="50">
        <v>182</v>
      </c>
      <c r="B189" s="38">
        <v>302</v>
      </c>
      <c r="C189" s="38">
        <v>6</v>
      </c>
      <c r="D189" s="38">
        <v>114</v>
      </c>
      <c r="E189" s="38">
        <v>0</v>
      </c>
      <c r="F189" s="38">
        <v>0</v>
      </c>
      <c r="G189" s="38">
        <v>0</v>
      </c>
      <c r="H189" s="38">
        <v>0</v>
      </c>
      <c r="I189" s="38">
        <v>0</v>
      </c>
      <c r="J189" s="38">
        <v>1</v>
      </c>
      <c r="K189" s="38">
        <v>1</v>
      </c>
      <c r="L189" s="38">
        <v>2</v>
      </c>
      <c r="M189" s="38">
        <v>0</v>
      </c>
      <c r="N189" s="38">
        <v>0</v>
      </c>
      <c r="O189" s="38">
        <v>1</v>
      </c>
      <c r="P189" s="38">
        <v>1</v>
      </c>
      <c r="Q189" s="34">
        <f t="shared" si="4"/>
        <v>427</v>
      </c>
      <c r="R189" s="34">
        <v>0</v>
      </c>
      <c r="S189" s="34">
        <f t="shared" si="5"/>
        <v>428</v>
      </c>
      <c r="T189" s="34">
        <v>0</v>
      </c>
    </row>
    <row r="190" spans="1:20" s="3" customFormat="1" ht="24" customHeight="1">
      <c r="A190" s="46">
        <v>183</v>
      </c>
      <c r="B190" s="38">
        <v>282</v>
      </c>
      <c r="C190" s="38">
        <v>27</v>
      </c>
      <c r="D190" s="38">
        <v>71</v>
      </c>
      <c r="E190" s="38">
        <v>0</v>
      </c>
      <c r="F190" s="38">
        <v>0</v>
      </c>
      <c r="G190" s="38">
        <v>1</v>
      </c>
      <c r="H190" s="38">
        <v>0</v>
      </c>
      <c r="I190" s="38">
        <v>0</v>
      </c>
      <c r="J190" s="38">
        <v>0</v>
      </c>
      <c r="K190" s="38">
        <v>1</v>
      </c>
      <c r="L190" s="38">
        <v>2</v>
      </c>
      <c r="M190" s="38">
        <v>1</v>
      </c>
      <c r="N190" s="38">
        <v>0</v>
      </c>
      <c r="O190" s="38">
        <v>0</v>
      </c>
      <c r="P190" s="38">
        <v>1</v>
      </c>
      <c r="Q190" s="34">
        <f t="shared" si="4"/>
        <v>385</v>
      </c>
      <c r="R190" s="34">
        <v>0</v>
      </c>
      <c r="S190" s="34">
        <f t="shared" si="5"/>
        <v>386</v>
      </c>
      <c r="T190" s="34">
        <v>0</v>
      </c>
    </row>
    <row r="191" spans="1:20" s="3" customFormat="1" ht="24" customHeight="1">
      <c r="A191" s="46">
        <v>184</v>
      </c>
      <c r="B191" s="38">
        <v>254</v>
      </c>
      <c r="C191" s="38">
        <v>16</v>
      </c>
      <c r="D191" s="38">
        <v>115</v>
      </c>
      <c r="E191" s="38">
        <v>2</v>
      </c>
      <c r="F191" s="38">
        <v>0</v>
      </c>
      <c r="G191" s="38">
        <v>1</v>
      </c>
      <c r="H191" s="38">
        <v>0</v>
      </c>
      <c r="I191" s="38">
        <v>1</v>
      </c>
      <c r="J191" s="38">
        <v>6</v>
      </c>
      <c r="K191" s="38">
        <v>1</v>
      </c>
      <c r="L191" s="38">
        <v>0</v>
      </c>
      <c r="M191" s="38">
        <v>0</v>
      </c>
      <c r="N191" s="38">
        <v>0</v>
      </c>
      <c r="O191" s="38">
        <v>0</v>
      </c>
      <c r="P191" s="38">
        <v>6</v>
      </c>
      <c r="Q191" s="34">
        <f t="shared" si="4"/>
        <v>396</v>
      </c>
      <c r="R191" s="34">
        <v>0</v>
      </c>
      <c r="S191" s="34">
        <f t="shared" si="5"/>
        <v>402</v>
      </c>
      <c r="T191" s="34">
        <v>0</v>
      </c>
    </row>
    <row r="192" spans="1:20" s="3" customFormat="1" ht="24" customHeight="1">
      <c r="A192" s="46">
        <v>185</v>
      </c>
      <c r="B192" s="38">
        <v>153</v>
      </c>
      <c r="C192" s="38">
        <v>84</v>
      </c>
      <c r="D192" s="38">
        <v>132</v>
      </c>
      <c r="E192" s="38">
        <v>2</v>
      </c>
      <c r="F192" s="38">
        <v>0</v>
      </c>
      <c r="G192" s="38">
        <v>0</v>
      </c>
      <c r="H192" s="38">
        <v>0</v>
      </c>
      <c r="I192" s="38">
        <v>0</v>
      </c>
      <c r="J192" s="38">
        <v>1</v>
      </c>
      <c r="K192" s="38">
        <v>0</v>
      </c>
      <c r="L192" s="38">
        <v>2</v>
      </c>
      <c r="M192" s="38">
        <v>0</v>
      </c>
      <c r="N192" s="38">
        <v>1</v>
      </c>
      <c r="O192" s="38">
        <v>0</v>
      </c>
      <c r="P192" s="38">
        <v>3</v>
      </c>
      <c r="Q192" s="34">
        <f t="shared" si="4"/>
        <v>375</v>
      </c>
      <c r="R192" s="34">
        <v>0</v>
      </c>
      <c r="S192" s="34">
        <f t="shared" si="5"/>
        <v>378</v>
      </c>
      <c r="T192" s="34">
        <v>0</v>
      </c>
    </row>
    <row r="193" spans="1:20" s="3" customFormat="1" ht="24" customHeight="1">
      <c r="A193" s="46">
        <v>186</v>
      </c>
      <c r="B193" s="38">
        <v>374</v>
      </c>
      <c r="C193" s="38">
        <v>40</v>
      </c>
      <c r="D193" s="38">
        <v>173</v>
      </c>
      <c r="E193" s="38">
        <v>0</v>
      </c>
      <c r="F193" s="38">
        <v>0</v>
      </c>
      <c r="G193" s="38">
        <v>0</v>
      </c>
      <c r="H193" s="38">
        <v>1</v>
      </c>
      <c r="I193" s="38">
        <v>0</v>
      </c>
      <c r="J193" s="38">
        <v>2</v>
      </c>
      <c r="K193" s="38">
        <v>0</v>
      </c>
      <c r="L193" s="38">
        <v>0</v>
      </c>
      <c r="M193" s="38">
        <v>0</v>
      </c>
      <c r="N193" s="38">
        <v>2</v>
      </c>
      <c r="O193" s="38">
        <v>0</v>
      </c>
      <c r="P193" s="38">
        <v>2</v>
      </c>
      <c r="Q193" s="34">
        <f t="shared" si="4"/>
        <v>592</v>
      </c>
      <c r="R193" s="34">
        <v>0</v>
      </c>
      <c r="S193" s="34">
        <f t="shared" si="5"/>
        <v>594</v>
      </c>
      <c r="T193" s="34">
        <v>0</v>
      </c>
    </row>
    <row r="194" spans="1:20" s="3" customFormat="1" ht="24" customHeight="1">
      <c r="A194" s="46">
        <v>187</v>
      </c>
      <c r="B194" s="38">
        <v>434</v>
      </c>
      <c r="C194" s="38">
        <v>9</v>
      </c>
      <c r="D194" s="38">
        <v>205</v>
      </c>
      <c r="E194" s="38">
        <v>6</v>
      </c>
      <c r="F194" s="38">
        <v>1</v>
      </c>
      <c r="G194" s="38">
        <v>0</v>
      </c>
      <c r="H194" s="38">
        <v>0</v>
      </c>
      <c r="I194" s="38">
        <v>1</v>
      </c>
      <c r="J194" s="38">
        <v>0</v>
      </c>
      <c r="K194" s="38">
        <v>0</v>
      </c>
      <c r="L194" s="38">
        <v>1</v>
      </c>
      <c r="M194" s="38">
        <v>2</v>
      </c>
      <c r="N194" s="38">
        <v>4</v>
      </c>
      <c r="O194" s="38">
        <v>1</v>
      </c>
      <c r="P194" s="38">
        <v>3</v>
      </c>
      <c r="Q194" s="34">
        <f t="shared" si="4"/>
        <v>664</v>
      </c>
      <c r="R194" s="34">
        <v>0</v>
      </c>
      <c r="S194" s="34">
        <f t="shared" si="5"/>
        <v>667</v>
      </c>
      <c r="T194" s="34">
        <v>0</v>
      </c>
    </row>
    <row r="195" spans="1:20" s="3" customFormat="1" ht="24" customHeight="1">
      <c r="A195" s="46">
        <v>188</v>
      </c>
      <c r="B195" s="38">
        <v>154</v>
      </c>
      <c r="C195" s="38">
        <v>83</v>
      </c>
      <c r="D195" s="38">
        <v>108</v>
      </c>
      <c r="E195" s="38">
        <v>3</v>
      </c>
      <c r="F195" s="38">
        <v>0</v>
      </c>
      <c r="G195" s="38">
        <v>0</v>
      </c>
      <c r="H195" s="38">
        <v>0</v>
      </c>
      <c r="I195" s="38">
        <v>0</v>
      </c>
      <c r="J195" s="38">
        <v>3</v>
      </c>
      <c r="K195" s="38">
        <v>0</v>
      </c>
      <c r="L195" s="38">
        <v>0</v>
      </c>
      <c r="M195" s="38">
        <v>1</v>
      </c>
      <c r="N195" s="38">
        <v>0</v>
      </c>
      <c r="O195" s="38">
        <v>1</v>
      </c>
      <c r="P195" s="38">
        <v>1</v>
      </c>
      <c r="Q195" s="34">
        <f t="shared" si="4"/>
        <v>353</v>
      </c>
      <c r="R195" s="34">
        <v>0</v>
      </c>
      <c r="S195" s="34">
        <f t="shared" si="5"/>
        <v>354</v>
      </c>
      <c r="T195" s="34">
        <v>0</v>
      </c>
    </row>
    <row r="196" spans="1:20" s="3" customFormat="1" ht="24" customHeight="1">
      <c r="A196" s="46">
        <v>189</v>
      </c>
      <c r="B196" s="38">
        <v>363</v>
      </c>
      <c r="C196" s="38">
        <v>15</v>
      </c>
      <c r="D196" s="38">
        <v>178</v>
      </c>
      <c r="E196" s="38">
        <v>3</v>
      </c>
      <c r="F196" s="38">
        <v>2</v>
      </c>
      <c r="G196" s="38">
        <v>0</v>
      </c>
      <c r="H196" s="38">
        <v>0</v>
      </c>
      <c r="I196" s="38">
        <v>2</v>
      </c>
      <c r="J196" s="38">
        <v>3</v>
      </c>
      <c r="K196" s="38">
        <v>0</v>
      </c>
      <c r="L196" s="38">
        <v>0</v>
      </c>
      <c r="M196" s="38">
        <v>2</v>
      </c>
      <c r="N196" s="38">
        <v>1</v>
      </c>
      <c r="O196" s="38">
        <v>2</v>
      </c>
      <c r="P196" s="38">
        <v>3</v>
      </c>
      <c r="Q196" s="34">
        <f t="shared" si="4"/>
        <v>571</v>
      </c>
      <c r="R196" s="34">
        <v>0</v>
      </c>
      <c r="S196" s="34">
        <f t="shared" si="5"/>
        <v>574</v>
      </c>
      <c r="T196" s="34">
        <v>0</v>
      </c>
    </row>
    <row r="197" spans="1:20" s="3" customFormat="1" ht="24" customHeight="1">
      <c r="A197" s="46">
        <v>190</v>
      </c>
      <c r="B197" s="38">
        <v>175</v>
      </c>
      <c r="C197" s="38">
        <v>9</v>
      </c>
      <c r="D197" s="38">
        <v>168</v>
      </c>
      <c r="E197" s="38">
        <v>2</v>
      </c>
      <c r="F197" s="38">
        <v>0</v>
      </c>
      <c r="G197" s="38">
        <v>0</v>
      </c>
      <c r="H197" s="38">
        <v>0</v>
      </c>
      <c r="I197" s="38">
        <v>0</v>
      </c>
      <c r="J197" s="38">
        <v>0</v>
      </c>
      <c r="K197" s="38">
        <v>0</v>
      </c>
      <c r="L197" s="38">
        <v>0</v>
      </c>
      <c r="M197" s="38">
        <v>2</v>
      </c>
      <c r="N197" s="38">
        <v>3</v>
      </c>
      <c r="O197" s="38">
        <v>0</v>
      </c>
      <c r="P197" s="38">
        <v>5</v>
      </c>
      <c r="Q197" s="34">
        <f t="shared" si="4"/>
        <v>359</v>
      </c>
      <c r="R197" s="34">
        <v>0</v>
      </c>
      <c r="S197" s="34">
        <f t="shared" si="5"/>
        <v>364</v>
      </c>
      <c r="T197" s="34">
        <v>0</v>
      </c>
    </row>
    <row r="198" spans="1:20" s="3" customFormat="1" ht="24" customHeight="1">
      <c r="A198" s="46">
        <v>191</v>
      </c>
      <c r="B198" s="38">
        <v>411</v>
      </c>
      <c r="C198" s="38">
        <v>26</v>
      </c>
      <c r="D198" s="38">
        <v>73</v>
      </c>
      <c r="E198" s="38">
        <v>0</v>
      </c>
      <c r="F198" s="38">
        <v>0</v>
      </c>
      <c r="G198" s="38">
        <v>0</v>
      </c>
      <c r="H198" s="38">
        <v>1</v>
      </c>
      <c r="I198" s="38">
        <v>0</v>
      </c>
      <c r="J198" s="38">
        <v>2</v>
      </c>
      <c r="K198" s="38">
        <v>1</v>
      </c>
      <c r="L198" s="38">
        <v>0</v>
      </c>
      <c r="M198" s="38">
        <v>0</v>
      </c>
      <c r="N198" s="38">
        <v>0</v>
      </c>
      <c r="O198" s="38">
        <v>0</v>
      </c>
      <c r="P198" s="38">
        <v>1</v>
      </c>
      <c r="Q198" s="34">
        <f t="shared" si="4"/>
        <v>514</v>
      </c>
      <c r="R198" s="34">
        <v>0</v>
      </c>
      <c r="S198" s="34">
        <f t="shared" si="5"/>
        <v>515</v>
      </c>
      <c r="T198" s="34">
        <v>0</v>
      </c>
    </row>
    <row r="199" spans="1:20" s="3" customFormat="1" ht="24" customHeight="1">
      <c r="A199" s="46">
        <v>192</v>
      </c>
      <c r="B199" s="38">
        <v>316</v>
      </c>
      <c r="C199" s="38">
        <v>38</v>
      </c>
      <c r="D199" s="38">
        <v>61</v>
      </c>
      <c r="E199" s="38">
        <v>0</v>
      </c>
      <c r="F199" s="38">
        <v>0</v>
      </c>
      <c r="G199" s="38">
        <v>0</v>
      </c>
      <c r="H199" s="38">
        <v>1</v>
      </c>
      <c r="I199" s="38">
        <v>0</v>
      </c>
      <c r="J199" s="38">
        <v>0</v>
      </c>
      <c r="K199" s="38">
        <v>1</v>
      </c>
      <c r="L199" s="38">
        <v>1</v>
      </c>
      <c r="M199" s="38">
        <v>1</v>
      </c>
      <c r="N199" s="38">
        <v>0</v>
      </c>
      <c r="O199" s="38">
        <v>1</v>
      </c>
      <c r="P199" s="38">
        <v>5</v>
      </c>
      <c r="Q199" s="34">
        <f t="shared" si="4"/>
        <v>420</v>
      </c>
      <c r="R199" s="34">
        <v>0</v>
      </c>
      <c r="S199" s="34">
        <f t="shared" si="5"/>
        <v>425</v>
      </c>
      <c r="T199" s="34">
        <v>0</v>
      </c>
    </row>
    <row r="200" spans="1:20" s="3" customFormat="1" ht="24" customHeight="1">
      <c r="A200" s="46">
        <v>193</v>
      </c>
      <c r="B200" s="38">
        <v>303</v>
      </c>
      <c r="C200" s="38">
        <v>17</v>
      </c>
      <c r="D200" s="38">
        <v>237</v>
      </c>
      <c r="E200" s="38">
        <v>1</v>
      </c>
      <c r="F200" s="38">
        <v>0</v>
      </c>
      <c r="G200" s="38">
        <v>0</v>
      </c>
      <c r="H200" s="38">
        <v>0</v>
      </c>
      <c r="I200" s="38">
        <v>0</v>
      </c>
      <c r="J200" s="38">
        <v>8</v>
      </c>
      <c r="K200" s="38">
        <v>0</v>
      </c>
      <c r="L200" s="38">
        <v>2</v>
      </c>
      <c r="M200" s="38">
        <v>1</v>
      </c>
      <c r="N200" s="38">
        <v>1</v>
      </c>
      <c r="O200" s="38">
        <v>0</v>
      </c>
      <c r="P200" s="38">
        <v>6</v>
      </c>
      <c r="Q200" s="34">
        <f t="shared" si="4"/>
        <v>570</v>
      </c>
      <c r="R200" s="34">
        <v>0</v>
      </c>
      <c r="S200" s="34">
        <f t="shared" si="5"/>
        <v>576</v>
      </c>
      <c r="T200" s="34">
        <v>0</v>
      </c>
    </row>
    <row r="201" spans="1:20" s="3" customFormat="1" ht="24" customHeight="1">
      <c r="A201" s="46">
        <v>194</v>
      </c>
      <c r="B201" s="38">
        <v>155</v>
      </c>
      <c r="C201" s="38">
        <v>4</v>
      </c>
      <c r="D201" s="38">
        <v>258</v>
      </c>
      <c r="E201" s="38">
        <v>2</v>
      </c>
      <c r="F201" s="38">
        <v>0</v>
      </c>
      <c r="G201" s="38">
        <v>0</v>
      </c>
      <c r="H201" s="38">
        <v>0</v>
      </c>
      <c r="I201" s="38">
        <v>0</v>
      </c>
      <c r="J201" s="38">
        <v>4</v>
      </c>
      <c r="K201" s="38">
        <v>0</v>
      </c>
      <c r="L201" s="38">
        <v>1</v>
      </c>
      <c r="M201" s="38">
        <v>4</v>
      </c>
      <c r="N201" s="38">
        <v>1</v>
      </c>
      <c r="O201" s="38">
        <v>3</v>
      </c>
      <c r="P201" s="38">
        <v>5</v>
      </c>
      <c r="Q201" s="34">
        <f t="shared" ref="Q201:Q264" si="6">SUM(B201:O201)</f>
        <v>432</v>
      </c>
      <c r="R201" s="34">
        <v>0</v>
      </c>
      <c r="S201" s="34">
        <f t="shared" ref="S201:S264" si="7">P201+Q201</f>
        <v>437</v>
      </c>
      <c r="T201" s="34">
        <v>0</v>
      </c>
    </row>
    <row r="202" spans="1:20" s="3" customFormat="1" ht="24" customHeight="1">
      <c r="A202" s="46">
        <v>195</v>
      </c>
      <c r="B202" s="38">
        <v>579</v>
      </c>
      <c r="C202" s="38">
        <v>24</v>
      </c>
      <c r="D202" s="38">
        <v>40</v>
      </c>
      <c r="E202" s="38">
        <v>0</v>
      </c>
      <c r="F202" s="38">
        <v>0</v>
      </c>
      <c r="G202" s="38">
        <v>1</v>
      </c>
      <c r="H202" s="38">
        <v>1</v>
      </c>
      <c r="I202" s="38">
        <v>0</v>
      </c>
      <c r="J202" s="38">
        <v>0</v>
      </c>
      <c r="K202" s="38">
        <v>1</v>
      </c>
      <c r="L202" s="38">
        <v>0</v>
      </c>
      <c r="M202" s="38">
        <v>1</v>
      </c>
      <c r="N202" s="38">
        <v>2</v>
      </c>
      <c r="O202" s="38">
        <v>1</v>
      </c>
      <c r="P202" s="38">
        <v>10</v>
      </c>
      <c r="Q202" s="34">
        <f t="shared" si="6"/>
        <v>650</v>
      </c>
      <c r="R202" s="34">
        <v>0</v>
      </c>
      <c r="S202" s="34">
        <f t="shared" si="7"/>
        <v>660</v>
      </c>
      <c r="T202" s="34">
        <v>0</v>
      </c>
    </row>
    <row r="203" spans="1:20" s="3" customFormat="1" ht="24" customHeight="1">
      <c r="A203" s="46">
        <v>196</v>
      </c>
      <c r="B203" s="38">
        <v>204</v>
      </c>
      <c r="C203" s="38">
        <v>10</v>
      </c>
      <c r="D203" s="38">
        <v>258</v>
      </c>
      <c r="E203" s="38">
        <v>0</v>
      </c>
      <c r="F203" s="38">
        <v>0</v>
      </c>
      <c r="G203" s="38">
        <v>0</v>
      </c>
      <c r="H203" s="38">
        <v>0</v>
      </c>
      <c r="I203" s="38">
        <v>0</v>
      </c>
      <c r="J203" s="38">
        <v>0</v>
      </c>
      <c r="K203" s="38">
        <v>1</v>
      </c>
      <c r="L203" s="38">
        <v>4</v>
      </c>
      <c r="M203" s="38">
        <v>3</v>
      </c>
      <c r="N203" s="38">
        <v>2</v>
      </c>
      <c r="O203" s="38">
        <v>3</v>
      </c>
      <c r="P203" s="38">
        <v>6</v>
      </c>
      <c r="Q203" s="34">
        <f t="shared" si="6"/>
        <v>485</v>
      </c>
      <c r="R203" s="34">
        <v>0</v>
      </c>
      <c r="S203" s="34">
        <f t="shared" si="7"/>
        <v>491</v>
      </c>
      <c r="T203" s="34">
        <v>0</v>
      </c>
    </row>
    <row r="204" spans="1:20" s="3" customFormat="1" ht="24" customHeight="1">
      <c r="A204" s="50">
        <v>197</v>
      </c>
      <c r="B204" s="38">
        <v>23</v>
      </c>
      <c r="C204" s="38">
        <v>8</v>
      </c>
      <c r="D204" s="38">
        <v>461</v>
      </c>
      <c r="E204" s="38">
        <v>0</v>
      </c>
      <c r="F204" s="38">
        <v>0</v>
      </c>
      <c r="G204" s="38">
        <v>0</v>
      </c>
      <c r="H204" s="38">
        <v>0</v>
      </c>
      <c r="I204" s="38">
        <v>0</v>
      </c>
      <c r="J204" s="38">
        <v>23</v>
      </c>
      <c r="K204" s="38">
        <v>0</v>
      </c>
      <c r="L204" s="38">
        <v>1</v>
      </c>
      <c r="M204" s="38">
        <v>0</v>
      </c>
      <c r="N204" s="38">
        <v>2</v>
      </c>
      <c r="O204" s="38">
        <v>1</v>
      </c>
      <c r="P204" s="38">
        <v>1</v>
      </c>
      <c r="Q204" s="34">
        <f t="shared" si="6"/>
        <v>519</v>
      </c>
      <c r="R204" s="34">
        <v>0</v>
      </c>
      <c r="S204" s="34">
        <f t="shared" si="7"/>
        <v>520</v>
      </c>
      <c r="T204" s="34">
        <v>0</v>
      </c>
    </row>
    <row r="205" spans="1:20" s="3" customFormat="1" ht="24" customHeight="1">
      <c r="A205" s="50">
        <v>198</v>
      </c>
      <c r="B205" s="38">
        <v>394</v>
      </c>
      <c r="C205" s="38">
        <v>38</v>
      </c>
      <c r="D205" s="38">
        <v>201</v>
      </c>
      <c r="E205" s="38">
        <v>3</v>
      </c>
      <c r="F205" s="38">
        <v>2</v>
      </c>
      <c r="G205" s="38">
        <v>0</v>
      </c>
      <c r="H205" s="38">
        <v>1</v>
      </c>
      <c r="I205" s="38">
        <v>1</v>
      </c>
      <c r="J205" s="38">
        <v>3</v>
      </c>
      <c r="K205" s="38">
        <v>0</v>
      </c>
      <c r="L205" s="38">
        <v>0</v>
      </c>
      <c r="M205" s="38">
        <v>0</v>
      </c>
      <c r="N205" s="38">
        <v>1</v>
      </c>
      <c r="O205" s="38">
        <v>0</v>
      </c>
      <c r="P205" s="38">
        <v>4</v>
      </c>
      <c r="Q205" s="34">
        <f t="shared" si="6"/>
        <v>644</v>
      </c>
      <c r="R205" s="34">
        <v>0</v>
      </c>
      <c r="S205" s="34">
        <f t="shared" si="7"/>
        <v>648</v>
      </c>
      <c r="T205" s="34">
        <v>0</v>
      </c>
    </row>
    <row r="206" spans="1:20" s="3" customFormat="1" ht="24" customHeight="1">
      <c r="A206" s="50">
        <v>199</v>
      </c>
      <c r="B206" s="38">
        <v>418</v>
      </c>
      <c r="C206" s="38">
        <v>113</v>
      </c>
      <c r="D206" s="38">
        <v>111</v>
      </c>
      <c r="E206" s="38">
        <v>0</v>
      </c>
      <c r="F206" s="38">
        <v>2</v>
      </c>
      <c r="G206" s="38">
        <v>3</v>
      </c>
      <c r="H206" s="38">
        <v>0</v>
      </c>
      <c r="I206" s="38">
        <v>5</v>
      </c>
      <c r="J206" s="38">
        <v>6</v>
      </c>
      <c r="K206" s="38">
        <v>1</v>
      </c>
      <c r="L206" s="38">
        <v>1</v>
      </c>
      <c r="M206" s="38">
        <v>0</v>
      </c>
      <c r="N206" s="38">
        <v>1</v>
      </c>
      <c r="O206" s="38">
        <v>1</v>
      </c>
      <c r="P206" s="38">
        <v>3</v>
      </c>
      <c r="Q206" s="34">
        <f t="shared" si="6"/>
        <v>662</v>
      </c>
      <c r="R206" s="34">
        <v>0</v>
      </c>
      <c r="S206" s="34">
        <f t="shared" si="7"/>
        <v>665</v>
      </c>
      <c r="T206" s="34">
        <v>0</v>
      </c>
    </row>
    <row r="207" spans="1:20" s="3" customFormat="1" ht="24" customHeight="1">
      <c r="A207" s="50">
        <v>200</v>
      </c>
      <c r="B207" s="38">
        <v>169</v>
      </c>
      <c r="C207" s="38">
        <v>6</v>
      </c>
      <c r="D207" s="38">
        <v>408</v>
      </c>
      <c r="E207" s="38">
        <v>3</v>
      </c>
      <c r="F207" s="38">
        <v>0</v>
      </c>
      <c r="G207" s="38">
        <v>0</v>
      </c>
      <c r="H207" s="38">
        <v>1</v>
      </c>
      <c r="I207" s="38">
        <v>2</v>
      </c>
      <c r="J207" s="38">
        <v>2</v>
      </c>
      <c r="K207" s="38">
        <v>2</v>
      </c>
      <c r="L207" s="38">
        <v>1</v>
      </c>
      <c r="M207" s="38">
        <v>0</v>
      </c>
      <c r="N207" s="38">
        <v>2</v>
      </c>
      <c r="O207" s="38">
        <v>1</v>
      </c>
      <c r="P207" s="38">
        <v>5</v>
      </c>
      <c r="Q207" s="34">
        <f t="shared" si="6"/>
        <v>597</v>
      </c>
      <c r="R207" s="34">
        <v>0</v>
      </c>
      <c r="S207" s="34">
        <f t="shared" si="7"/>
        <v>602</v>
      </c>
      <c r="T207" s="34">
        <v>0</v>
      </c>
    </row>
    <row r="208" spans="1:20" s="3" customFormat="1" ht="24" customHeight="1">
      <c r="A208" s="50">
        <v>201</v>
      </c>
      <c r="B208" s="38">
        <v>307</v>
      </c>
      <c r="C208" s="38">
        <v>29</v>
      </c>
      <c r="D208" s="38">
        <v>331</v>
      </c>
      <c r="E208" s="38">
        <v>8</v>
      </c>
      <c r="F208" s="38">
        <v>1</v>
      </c>
      <c r="G208" s="38">
        <v>0</v>
      </c>
      <c r="H208" s="38">
        <v>0</v>
      </c>
      <c r="I208" s="38">
        <v>1</v>
      </c>
      <c r="J208" s="38">
        <v>2</v>
      </c>
      <c r="K208" s="38">
        <v>0</v>
      </c>
      <c r="L208" s="38">
        <v>0</v>
      </c>
      <c r="M208" s="38">
        <v>3</v>
      </c>
      <c r="N208" s="38">
        <v>2</v>
      </c>
      <c r="O208" s="38">
        <v>0</v>
      </c>
      <c r="P208" s="38">
        <v>2</v>
      </c>
      <c r="Q208" s="34">
        <f t="shared" si="6"/>
        <v>684</v>
      </c>
      <c r="R208" s="34">
        <v>0</v>
      </c>
      <c r="S208" s="34">
        <f t="shared" si="7"/>
        <v>686</v>
      </c>
      <c r="T208" s="34">
        <v>0</v>
      </c>
    </row>
    <row r="209" spans="1:20" s="3" customFormat="1" ht="24" customHeight="1">
      <c r="A209" s="50">
        <v>202</v>
      </c>
      <c r="B209" s="38">
        <v>173</v>
      </c>
      <c r="C209" s="38">
        <v>48</v>
      </c>
      <c r="D209" s="38">
        <v>159</v>
      </c>
      <c r="E209" s="38">
        <v>0</v>
      </c>
      <c r="F209" s="38">
        <v>1</v>
      </c>
      <c r="G209" s="38">
        <v>1</v>
      </c>
      <c r="H209" s="38">
        <v>0</v>
      </c>
      <c r="I209" s="38">
        <v>2</v>
      </c>
      <c r="J209" s="38">
        <v>0</v>
      </c>
      <c r="K209" s="38">
        <v>0</v>
      </c>
      <c r="L209" s="38">
        <v>1</v>
      </c>
      <c r="M209" s="38">
        <v>1</v>
      </c>
      <c r="N209" s="38">
        <v>1</v>
      </c>
      <c r="O209" s="38">
        <v>1</v>
      </c>
      <c r="P209" s="38">
        <v>4</v>
      </c>
      <c r="Q209" s="34">
        <f t="shared" si="6"/>
        <v>388</v>
      </c>
      <c r="R209" s="34">
        <v>0</v>
      </c>
      <c r="S209" s="34">
        <f t="shared" si="7"/>
        <v>392</v>
      </c>
      <c r="T209" s="34">
        <v>0</v>
      </c>
    </row>
    <row r="210" spans="1:20" s="3" customFormat="1" ht="24" customHeight="1">
      <c r="A210" s="50">
        <v>203</v>
      </c>
      <c r="B210" s="38">
        <v>256</v>
      </c>
      <c r="C210" s="38">
        <v>30</v>
      </c>
      <c r="D210" s="38">
        <v>118</v>
      </c>
      <c r="E210" s="38">
        <v>3</v>
      </c>
      <c r="F210" s="38">
        <v>1</v>
      </c>
      <c r="G210" s="38">
        <v>0</v>
      </c>
      <c r="H210" s="38">
        <v>1</v>
      </c>
      <c r="I210" s="38">
        <v>8</v>
      </c>
      <c r="J210" s="38">
        <v>2</v>
      </c>
      <c r="K210" s="38">
        <v>0</v>
      </c>
      <c r="L210" s="38">
        <v>0</v>
      </c>
      <c r="M210" s="38">
        <v>0</v>
      </c>
      <c r="N210" s="38">
        <v>1</v>
      </c>
      <c r="O210" s="38">
        <v>2</v>
      </c>
      <c r="P210" s="38">
        <v>1</v>
      </c>
      <c r="Q210" s="34">
        <f t="shared" si="6"/>
        <v>422</v>
      </c>
      <c r="R210" s="34">
        <v>0</v>
      </c>
      <c r="S210" s="34">
        <f t="shared" si="7"/>
        <v>423</v>
      </c>
      <c r="T210" s="34">
        <v>0</v>
      </c>
    </row>
    <row r="211" spans="1:20" s="3" customFormat="1" ht="24" customHeight="1">
      <c r="A211" s="50">
        <v>204</v>
      </c>
      <c r="B211" s="38">
        <v>275</v>
      </c>
      <c r="C211" s="38">
        <v>50</v>
      </c>
      <c r="D211" s="38">
        <v>320</v>
      </c>
      <c r="E211" s="38">
        <v>3</v>
      </c>
      <c r="F211" s="38">
        <v>0</v>
      </c>
      <c r="G211" s="38">
        <v>0</v>
      </c>
      <c r="H211" s="38">
        <v>0</v>
      </c>
      <c r="I211" s="38">
        <v>0</v>
      </c>
      <c r="J211" s="38">
        <v>5</v>
      </c>
      <c r="K211" s="38">
        <v>2</v>
      </c>
      <c r="L211" s="38">
        <v>1</v>
      </c>
      <c r="M211" s="38">
        <v>1</v>
      </c>
      <c r="N211" s="38">
        <v>1</v>
      </c>
      <c r="O211" s="38">
        <v>1</v>
      </c>
      <c r="P211" s="38">
        <v>3</v>
      </c>
      <c r="Q211" s="34">
        <f t="shared" si="6"/>
        <v>659</v>
      </c>
      <c r="R211" s="34">
        <v>0</v>
      </c>
      <c r="S211" s="34">
        <f t="shared" si="7"/>
        <v>662</v>
      </c>
      <c r="T211" s="34">
        <v>0</v>
      </c>
    </row>
    <row r="212" spans="1:20" s="3" customFormat="1" ht="24" customHeight="1">
      <c r="A212" s="50">
        <v>205</v>
      </c>
      <c r="B212" s="38">
        <v>184</v>
      </c>
      <c r="C212" s="38">
        <v>14</v>
      </c>
      <c r="D212" s="38">
        <v>271</v>
      </c>
      <c r="E212" s="38">
        <v>4</v>
      </c>
      <c r="F212" s="38">
        <v>0</v>
      </c>
      <c r="G212" s="38">
        <v>0</v>
      </c>
      <c r="H212" s="38">
        <v>0</v>
      </c>
      <c r="I212" s="38">
        <v>0</v>
      </c>
      <c r="J212" s="38">
        <v>23</v>
      </c>
      <c r="K212" s="38">
        <v>0</v>
      </c>
      <c r="L212" s="38">
        <v>0</v>
      </c>
      <c r="M212" s="38">
        <v>2</v>
      </c>
      <c r="N212" s="38">
        <v>0</v>
      </c>
      <c r="O212" s="38">
        <v>0</v>
      </c>
      <c r="P212" s="38">
        <v>0</v>
      </c>
      <c r="Q212" s="34">
        <f t="shared" si="6"/>
        <v>498</v>
      </c>
      <c r="R212" s="34">
        <v>0</v>
      </c>
      <c r="S212" s="34">
        <f t="shared" si="7"/>
        <v>498</v>
      </c>
      <c r="T212" s="34">
        <v>0</v>
      </c>
    </row>
    <row r="213" spans="1:20" s="3" customFormat="1" ht="24" customHeight="1">
      <c r="A213" s="50">
        <v>206</v>
      </c>
      <c r="B213" s="38">
        <v>174</v>
      </c>
      <c r="C213" s="38">
        <v>8</v>
      </c>
      <c r="D213" s="38">
        <v>167</v>
      </c>
      <c r="E213" s="38">
        <v>0</v>
      </c>
      <c r="F213" s="38">
        <v>0</v>
      </c>
      <c r="G213" s="38">
        <v>0</v>
      </c>
      <c r="H213" s="38">
        <v>0</v>
      </c>
      <c r="I213" s="38">
        <v>0</v>
      </c>
      <c r="J213" s="38">
        <v>27</v>
      </c>
      <c r="K213" s="38">
        <v>0</v>
      </c>
      <c r="L213" s="38">
        <v>0</v>
      </c>
      <c r="M213" s="38">
        <v>1</v>
      </c>
      <c r="N213" s="38">
        <v>1</v>
      </c>
      <c r="O213" s="38">
        <v>1</v>
      </c>
      <c r="P213" s="38">
        <v>2</v>
      </c>
      <c r="Q213" s="34">
        <f t="shared" si="6"/>
        <v>379</v>
      </c>
      <c r="R213" s="34">
        <v>0</v>
      </c>
      <c r="S213" s="34">
        <f t="shared" si="7"/>
        <v>381</v>
      </c>
      <c r="T213" s="34">
        <v>0</v>
      </c>
    </row>
    <row r="214" spans="1:20" s="3" customFormat="1" ht="24" customHeight="1">
      <c r="A214" s="50">
        <v>207</v>
      </c>
      <c r="B214" s="38">
        <v>174</v>
      </c>
      <c r="C214" s="38">
        <v>12</v>
      </c>
      <c r="D214" s="38">
        <v>182</v>
      </c>
      <c r="E214" s="38">
        <v>1</v>
      </c>
      <c r="F214" s="38">
        <v>0</v>
      </c>
      <c r="G214" s="38">
        <v>0</v>
      </c>
      <c r="H214" s="38">
        <v>0</v>
      </c>
      <c r="I214" s="38">
        <v>0</v>
      </c>
      <c r="J214" s="38">
        <v>1</v>
      </c>
      <c r="K214" s="38">
        <v>0</v>
      </c>
      <c r="L214" s="38">
        <v>0</v>
      </c>
      <c r="M214" s="38">
        <v>1</v>
      </c>
      <c r="N214" s="38">
        <v>0</v>
      </c>
      <c r="O214" s="38">
        <v>0</v>
      </c>
      <c r="P214" s="38">
        <v>0</v>
      </c>
      <c r="Q214" s="34">
        <f t="shared" si="6"/>
        <v>371</v>
      </c>
      <c r="R214" s="34">
        <v>0</v>
      </c>
      <c r="S214" s="34">
        <f t="shared" si="7"/>
        <v>371</v>
      </c>
      <c r="T214" s="34">
        <v>0</v>
      </c>
    </row>
    <row r="215" spans="1:20" s="3" customFormat="1" ht="24" customHeight="1">
      <c r="A215" s="50">
        <v>208</v>
      </c>
      <c r="B215" s="38">
        <v>235</v>
      </c>
      <c r="C215" s="38">
        <v>4</v>
      </c>
      <c r="D215" s="38">
        <v>346</v>
      </c>
      <c r="E215" s="38">
        <v>3</v>
      </c>
      <c r="F215" s="38">
        <v>0</v>
      </c>
      <c r="G215" s="38">
        <v>0</v>
      </c>
      <c r="H215" s="38">
        <v>1</v>
      </c>
      <c r="I215" s="38">
        <v>0</v>
      </c>
      <c r="J215" s="38">
        <v>15</v>
      </c>
      <c r="K215" s="38">
        <v>0</v>
      </c>
      <c r="L215" s="38">
        <v>2</v>
      </c>
      <c r="M215" s="38">
        <v>1</v>
      </c>
      <c r="N215" s="38">
        <v>2</v>
      </c>
      <c r="O215" s="38">
        <v>1</v>
      </c>
      <c r="P215" s="38">
        <v>3</v>
      </c>
      <c r="Q215" s="34">
        <f t="shared" si="6"/>
        <v>610</v>
      </c>
      <c r="R215" s="34">
        <v>0</v>
      </c>
      <c r="S215" s="34">
        <f t="shared" si="7"/>
        <v>613</v>
      </c>
      <c r="T215" s="34">
        <v>0</v>
      </c>
    </row>
    <row r="216" spans="1:20" s="3" customFormat="1" ht="24" customHeight="1">
      <c r="A216" s="50">
        <v>209</v>
      </c>
      <c r="B216" s="38">
        <v>303</v>
      </c>
      <c r="C216" s="38">
        <v>3</v>
      </c>
      <c r="D216" s="38">
        <v>25</v>
      </c>
      <c r="E216" s="38">
        <v>2</v>
      </c>
      <c r="F216" s="38">
        <v>0</v>
      </c>
      <c r="G216" s="38">
        <v>0</v>
      </c>
      <c r="H216" s="38">
        <v>1</v>
      </c>
      <c r="I216" s="38">
        <v>1</v>
      </c>
      <c r="J216" s="38">
        <v>0</v>
      </c>
      <c r="K216" s="38">
        <v>0</v>
      </c>
      <c r="L216" s="38">
        <v>0</v>
      </c>
      <c r="M216" s="38">
        <v>0</v>
      </c>
      <c r="N216" s="38">
        <v>0</v>
      </c>
      <c r="O216" s="38">
        <v>0</v>
      </c>
      <c r="P216" s="38">
        <v>0</v>
      </c>
      <c r="Q216" s="34">
        <f t="shared" si="6"/>
        <v>335</v>
      </c>
      <c r="R216" s="34">
        <v>0</v>
      </c>
      <c r="S216" s="34">
        <f t="shared" si="7"/>
        <v>335</v>
      </c>
      <c r="T216" s="34">
        <v>0</v>
      </c>
    </row>
    <row r="217" spans="1:20" s="3" customFormat="1" ht="24" customHeight="1">
      <c r="A217" s="50">
        <v>210</v>
      </c>
      <c r="B217" s="38">
        <v>210</v>
      </c>
      <c r="C217" s="38">
        <v>6</v>
      </c>
      <c r="D217" s="38">
        <v>206</v>
      </c>
      <c r="E217" s="38">
        <v>1</v>
      </c>
      <c r="F217" s="38">
        <v>0</v>
      </c>
      <c r="G217" s="38">
        <v>0</v>
      </c>
      <c r="H217" s="38">
        <v>1</v>
      </c>
      <c r="I217" s="38">
        <v>0</v>
      </c>
      <c r="J217" s="38">
        <v>1</v>
      </c>
      <c r="K217" s="38">
        <v>0</v>
      </c>
      <c r="L217" s="38">
        <v>1</v>
      </c>
      <c r="M217" s="38">
        <v>1</v>
      </c>
      <c r="N217" s="38">
        <v>1</v>
      </c>
      <c r="O217" s="38">
        <v>4</v>
      </c>
      <c r="P217" s="38">
        <v>2</v>
      </c>
      <c r="Q217" s="34">
        <f t="shared" si="6"/>
        <v>432</v>
      </c>
      <c r="R217" s="34">
        <v>0</v>
      </c>
      <c r="S217" s="34">
        <f t="shared" si="7"/>
        <v>434</v>
      </c>
      <c r="T217" s="34">
        <v>0</v>
      </c>
    </row>
    <row r="218" spans="1:20" s="3" customFormat="1" ht="24" customHeight="1">
      <c r="A218" s="46">
        <v>211</v>
      </c>
      <c r="B218" s="38">
        <v>105</v>
      </c>
      <c r="C218" s="38">
        <v>11</v>
      </c>
      <c r="D218" s="38">
        <v>285</v>
      </c>
      <c r="E218" s="38">
        <v>1</v>
      </c>
      <c r="F218" s="38">
        <v>0</v>
      </c>
      <c r="G218" s="38">
        <v>1</v>
      </c>
      <c r="H218" s="38">
        <v>0</v>
      </c>
      <c r="I218" s="38">
        <v>0</v>
      </c>
      <c r="J218" s="38">
        <v>5</v>
      </c>
      <c r="K218" s="38">
        <v>1</v>
      </c>
      <c r="L218" s="38">
        <v>0</v>
      </c>
      <c r="M218" s="38">
        <v>0</v>
      </c>
      <c r="N218" s="38">
        <v>1</v>
      </c>
      <c r="O218" s="38">
        <v>0</v>
      </c>
      <c r="P218" s="38">
        <v>3</v>
      </c>
      <c r="Q218" s="34">
        <f t="shared" si="6"/>
        <v>410</v>
      </c>
      <c r="R218" s="34">
        <v>0</v>
      </c>
      <c r="S218" s="34">
        <f t="shared" si="7"/>
        <v>413</v>
      </c>
      <c r="T218" s="34">
        <v>0</v>
      </c>
    </row>
    <row r="219" spans="1:20" s="3" customFormat="1" ht="24" customHeight="1">
      <c r="A219" s="46">
        <v>212</v>
      </c>
      <c r="B219" s="38">
        <v>190</v>
      </c>
      <c r="C219" s="38">
        <v>50</v>
      </c>
      <c r="D219" s="38">
        <v>213</v>
      </c>
      <c r="E219" s="38">
        <v>3</v>
      </c>
      <c r="F219" s="38">
        <v>0</v>
      </c>
      <c r="G219" s="38">
        <v>0</v>
      </c>
      <c r="H219" s="38">
        <v>1</v>
      </c>
      <c r="I219" s="38">
        <v>0</v>
      </c>
      <c r="J219" s="38">
        <v>7</v>
      </c>
      <c r="K219" s="38">
        <v>0</v>
      </c>
      <c r="L219" s="38">
        <v>0</v>
      </c>
      <c r="M219" s="38">
        <v>0</v>
      </c>
      <c r="N219" s="38">
        <v>1</v>
      </c>
      <c r="O219" s="38">
        <v>1</v>
      </c>
      <c r="P219" s="38">
        <v>4</v>
      </c>
      <c r="Q219" s="34">
        <f t="shared" si="6"/>
        <v>466</v>
      </c>
      <c r="R219" s="34">
        <v>0</v>
      </c>
      <c r="S219" s="34">
        <f t="shared" si="7"/>
        <v>470</v>
      </c>
      <c r="T219" s="34">
        <v>0</v>
      </c>
    </row>
    <row r="220" spans="1:20" s="3" customFormat="1" ht="24" customHeight="1">
      <c r="A220" s="46">
        <v>213</v>
      </c>
      <c r="B220" s="38">
        <v>213</v>
      </c>
      <c r="C220" s="38">
        <v>16</v>
      </c>
      <c r="D220" s="38">
        <v>241</v>
      </c>
      <c r="E220" s="38">
        <v>1</v>
      </c>
      <c r="F220" s="38">
        <v>0</v>
      </c>
      <c r="G220" s="38">
        <v>0</v>
      </c>
      <c r="H220" s="38">
        <v>1</v>
      </c>
      <c r="I220" s="38">
        <v>2</v>
      </c>
      <c r="J220" s="38">
        <v>7</v>
      </c>
      <c r="K220" s="38">
        <v>2</v>
      </c>
      <c r="L220" s="38">
        <v>2</v>
      </c>
      <c r="M220" s="38">
        <v>6</v>
      </c>
      <c r="N220" s="38">
        <v>4</v>
      </c>
      <c r="O220" s="38">
        <v>0</v>
      </c>
      <c r="P220" s="38">
        <v>5</v>
      </c>
      <c r="Q220" s="34">
        <f t="shared" si="6"/>
        <v>495</v>
      </c>
      <c r="R220" s="34">
        <v>0</v>
      </c>
      <c r="S220" s="34">
        <f t="shared" si="7"/>
        <v>500</v>
      </c>
      <c r="T220" s="34">
        <v>0</v>
      </c>
    </row>
    <row r="221" spans="1:20" s="3" customFormat="1" ht="24" customHeight="1">
      <c r="A221" s="46">
        <v>214</v>
      </c>
      <c r="B221" s="38">
        <v>218</v>
      </c>
      <c r="C221" s="38">
        <v>33</v>
      </c>
      <c r="D221" s="38">
        <v>190</v>
      </c>
      <c r="E221" s="38">
        <v>2</v>
      </c>
      <c r="F221" s="38">
        <v>0</v>
      </c>
      <c r="G221" s="38">
        <v>0</v>
      </c>
      <c r="H221" s="38">
        <v>1</v>
      </c>
      <c r="I221" s="38">
        <v>0</v>
      </c>
      <c r="J221" s="38">
        <v>2</v>
      </c>
      <c r="K221" s="38">
        <v>0</v>
      </c>
      <c r="L221" s="38">
        <v>1</v>
      </c>
      <c r="M221" s="38">
        <v>1</v>
      </c>
      <c r="N221" s="38">
        <v>2</v>
      </c>
      <c r="O221" s="38">
        <v>1</v>
      </c>
      <c r="P221" s="38">
        <v>2</v>
      </c>
      <c r="Q221" s="34">
        <f t="shared" si="6"/>
        <v>451</v>
      </c>
      <c r="R221" s="34">
        <v>0</v>
      </c>
      <c r="S221" s="34">
        <f t="shared" si="7"/>
        <v>453</v>
      </c>
      <c r="T221" s="34">
        <v>0</v>
      </c>
    </row>
    <row r="222" spans="1:20" s="3" customFormat="1" ht="24" customHeight="1">
      <c r="A222" s="46">
        <v>215</v>
      </c>
      <c r="B222" s="38">
        <v>244</v>
      </c>
      <c r="C222" s="38">
        <v>51</v>
      </c>
      <c r="D222" s="38">
        <v>219</v>
      </c>
      <c r="E222" s="38">
        <v>0</v>
      </c>
      <c r="F222" s="38">
        <v>0</v>
      </c>
      <c r="G222" s="38">
        <v>0</v>
      </c>
      <c r="H222" s="38">
        <v>0</v>
      </c>
      <c r="I222" s="38">
        <v>1</v>
      </c>
      <c r="J222" s="38">
        <v>1</v>
      </c>
      <c r="K222" s="38">
        <v>0</v>
      </c>
      <c r="L222" s="38">
        <v>0</v>
      </c>
      <c r="M222" s="38">
        <v>0</v>
      </c>
      <c r="N222" s="38">
        <v>0</v>
      </c>
      <c r="O222" s="38">
        <v>1</v>
      </c>
      <c r="P222" s="38">
        <v>1</v>
      </c>
      <c r="Q222" s="34">
        <f t="shared" si="6"/>
        <v>517</v>
      </c>
      <c r="R222" s="34">
        <v>0</v>
      </c>
      <c r="S222" s="34">
        <f t="shared" si="7"/>
        <v>518</v>
      </c>
      <c r="T222" s="34">
        <v>0</v>
      </c>
    </row>
    <row r="223" spans="1:20" s="3" customFormat="1" ht="24" customHeight="1">
      <c r="A223" s="46">
        <v>216</v>
      </c>
      <c r="B223" s="38">
        <v>93</v>
      </c>
      <c r="C223" s="38">
        <v>5</v>
      </c>
      <c r="D223" s="38">
        <v>183</v>
      </c>
      <c r="E223" s="38">
        <v>3</v>
      </c>
      <c r="F223" s="38">
        <v>0</v>
      </c>
      <c r="G223" s="38">
        <v>0</v>
      </c>
      <c r="H223" s="38">
        <v>1</v>
      </c>
      <c r="I223" s="38">
        <v>0</v>
      </c>
      <c r="J223" s="38">
        <v>19</v>
      </c>
      <c r="K223" s="38">
        <v>1</v>
      </c>
      <c r="L223" s="38">
        <v>1</v>
      </c>
      <c r="M223" s="38">
        <v>2</v>
      </c>
      <c r="N223" s="38">
        <v>2</v>
      </c>
      <c r="O223" s="38">
        <v>2</v>
      </c>
      <c r="P223" s="38">
        <v>2</v>
      </c>
      <c r="Q223" s="34">
        <f t="shared" si="6"/>
        <v>312</v>
      </c>
      <c r="R223" s="34">
        <v>0</v>
      </c>
      <c r="S223" s="34">
        <f t="shared" si="7"/>
        <v>314</v>
      </c>
      <c r="T223" s="34">
        <v>0</v>
      </c>
    </row>
    <row r="224" spans="1:20" s="3" customFormat="1" ht="24" customHeight="1">
      <c r="A224" s="46">
        <v>217</v>
      </c>
      <c r="B224" s="38">
        <v>76</v>
      </c>
      <c r="C224" s="38">
        <v>2</v>
      </c>
      <c r="D224" s="38">
        <v>244</v>
      </c>
      <c r="E224" s="38">
        <v>1</v>
      </c>
      <c r="F224" s="38">
        <v>0</v>
      </c>
      <c r="G224" s="38">
        <v>0</v>
      </c>
      <c r="H224" s="38">
        <v>0</v>
      </c>
      <c r="I224" s="38">
        <v>0</v>
      </c>
      <c r="J224" s="38">
        <v>35</v>
      </c>
      <c r="K224" s="38">
        <v>0</v>
      </c>
      <c r="L224" s="38">
        <v>0</v>
      </c>
      <c r="M224" s="38">
        <v>0</v>
      </c>
      <c r="N224" s="38">
        <v>1</v>
      </c>
      <c r="O224" s="38">
        <v>1</v>
      </c>
      <c r="P224" s="38">
        <v>3</v>
      </c>
      <c r="Q224" s="34">
        <f t="shared" si="6"/>
        <v>360</v>
      </c>
      <c r="R224" s="34">
        <v>0</v>
      </c>
      <c r="S224" s="34">
        <f t="shared" si="7"/>
        <v>363</v>
      </c>
      <c r="T224" s="34">
        <v>0</v>
      </c>
    </row>
    <row r="225" spans="1:20" s="3" customFormat="1" ht="24" customHeight="1">
      <c r="A225" s="46">
        <v>218</v>
      </c>
      <c r="B225" s="38">
        <v>285</v>
      </c>
      <c r="C225" s="38">
        <v>202</v>
      </c>
      <c r="D225" s="38">
        <v>124</v>
      </c>
      <c r="E225" s="38">
        <v>6</v>
      </c>
      <c r="F225" s="38">
        <v>0</v>
      </c>
      <c r="G225" s="38">
        <v>1</v>
      </c>
      <c r="H225" s="38">
        <v>1</v>
      </c>
      <c r="I225" s="38">
        <v>1</v>
      </c>
      <c r="J225" s="38">
        <v>6</v>
      </c>
      <c r="K225" s="38">
        <v>2</v>
      </c>
      <c r="L225" s="38">
        <v>4</v>
      </c>
      <c r="M225" s="38">
        <v>5</v>
      </c>
      <c r="N225" s="38">
        <v>4</v>
      </c>
      <c r="O225" s="38">
        <v>2</v>
      </c>
      <c r="P225" s="38">
        <v>10</v>
      </c>
      <c r="Q225" s="34">
        <f t="shared" si="6"/>
        <v>643</v>
      </c>
      <c r="R225" s="34">
        <v>0</v>
      </c>
      <c r="S225" s="34">
        <f t="shared" si="7"/>
        <v>653</v>
      </c>
      <c r="T225" s="34">
        <v>0</v>
      </c>
    </row>
    <row r="226" spans="1:20" s="3" customFormat="1" ht="24" customHeight="1">
      <c r="A226" s="46">
        <v>219</v>
      </c>
      <c r="B226" s="38">
        <v>397</v>
      </c>
      <c r="C226" s="38">
        <v>65</v>
      </c>
      <c r="D226" s="38">
        <v>89</v>
      </c>
      <c r="E226" s="38">
        <v>2</v>
      </c>
      <c r="F226" s="38">
        <v>2</v>
      </c>
      <c r="G226" s="38">
        <v>0</v>
      </c>
      <c r="H226" s="38">
        <v>0</v>
      </c>
      <c r="I226" s="38">
        <v>4</v>
      </c>
      <c r="J226" s="38">
        <v>6</v>
      </c>
      <c r="K226" s="38">
        <v>0</v>
      </c>
      <c r="L226" s="38">
        <v>0</v>
      </c>
      <c r="M226" s="38">
        <v>2</v>
      </c>
      <c r="N226" s="38">
        <v>1</v>
      </c>
      <c r="O226" s="38">
        <v>6</v>
      </c>
      <c r="P226" s="38">
        <v>2</v>
      </c>
      <c r="Q226" s="34">
        <f t="shared" si="6"/>
        <v>574</v>
      </c>
      <c r="R226" s="34">
        <v>0</v>
      </c>
      <c r="S226" s="34">
        <f t="shared" si="7"/>
        <v>576</v>
      </c>
      <c r="T226" s="34">
        <v>0</v>
      </c>
    </row>
    <row r="227" spans="1:20" s="3" customFormat="1" ht="24" customHeight="1">
      <c r="A227" s="46">
        <v>220</v>
      </c>
      <c r="B227" s="38">
        <v>195</v>
      </c>
      <c r="C227" s="38">
        <v>4</v>
      </c>
      <c r="D227" s="38">
        <v>223</v>
      </c>
      <c r="E227" s="38">
        <v>5</v>
      </c>
      <c r="F227" s="38">
        <v>0</v>
      </c>
      <c r="G227" s="38">
        <v>2</v>
      </c>
      <c r="H227" s="38">
        <v>0</v>
      </c>
      <c r="I227" s="38">
        <v>1</v>
      </c>
      <c r="J227" s="38">
        <v>21</v>
      </c>
      <c r="K227" s="38">
        <v>1</v>
      </c>
      <c r="L227" s="38">
        <v>0</v>
      </c>
      <c r="M227" s="38">
        <v>1</v>
      </c>
      <c r="N227" s="38">
        <v>2</v>
      </c>
      <c r="O227" s="38">
        <v>2</v>
      </c>
      <c r="P227" s="38">
        <v>3</v>
      </c>
      <c r="Q227" s="34">
        <f t="shared" si="6"/>
        <v>457</v>
      </c>
      <c r="R227" s="34">
        <v>0</v>
      </c>
      <c r="S227" s="34">
        <f t="shared" si="7"/>
        <v>460</v>
      </c>
      <c r="T227" s="34">
        <v>0</v>
      </c>
    </row>
    <row r="228" spans="1:20" s="3" customFormat="1" ht="24" customHeight="1">
      <c r="A228" s="46">
        <v>221</v>
      </c>
      <c r="B228" s="38">
        <v>191</v>
      </c>
      <c r="C228" s="38">
        <v>125</v>
      </c>
      <c r="D228" s="38">
        <v>160</v>
      </c>
      <c r="E228" s="38">
        <v>4</v>
      </c>
      <c r="F228" s="38">
        <v>0</v>
      </c>
      <c r="G228" s="38">
        <v>1</v>
      </c>
      <c r="H228" s="38">
        <v>0</v>
      </c>
      <c r="I228" s="38">
        <v>2</v>
      </c>
      <c r="J228" s="38">
        <v>11</v>
      </c>
      <c r="K228" s="38">
        <v>2</v>
      </c>
      <c r="L228" s="38">
        <v>1</v>
      </c>
      <c r="M228" s="38">
        <v>3</v>
      </c>
      <c r="N228" s="38">
        <v>5</v>
      </c>
      <c r="O228" s="38">
        <v>1</v>
      </c>
      <c r="P228" s="38">
        <v>4</v>
      </c>
      <c r="Q228" s="34">
        <f t="shared" si="6"/>
        <v>506</v>
      </c>
      <c r="R228" s="34">
        <v>0</v>
      </c>
      <c r="S228" s="34">
        <f t="shared" si="7"/>
        <v>510</v>
      </c>
      <c r="T228" s="34">
        <v>0</v>
      </c>
    </row>
    <row r="229" spans="1:20" s="3" customFormat="1" ht="24" customHeight="1">
      <c r="A229" s="46">
        <v>222</v>
      </c>
      <c r="B229" s="38">
        <v>394</v>
      </c>
      <c r="C229" s="38">
        <v>107</v>
      </c>
      <c r="D229" s="38">
        <v>97</v>
      </c>
      <c r="E229" s="38">
        <v>1</v>
      </c>
      <c r="F229" s="38">
        <v>0</v>
      </c>
      <c r="G229" s="38">
        <v>1</v>
      </c>
      <c r="H229" s="38">
        <v>0</v>
      </c>
      <c r="I229" s="38">
        <v>2</v>
      </c>
      <c r="J229" s="38">
        <v>6</v>
      </c>
      <c r="K229" s="38">
        <v>1</v>
      </c>
      <c r="L229" s="38">
        <v>0</v>
      </c>
      <c r="M229" s="38">
        <v>3</v>
      </c>
      <c r="N229" s="38">
        <v>4</v>
      </c>
      <c r="O229" s="38">
        <v>6</v>
      </c>
      <c r="P229" s="38">
        <v>2</v>
      </c>
      <c r="Q229" s="34">
        <f t="shared" si="6"/>
        <v>622</v>
      </c>
      <c r="R229" s="34">
        <v>0</v>
      </c>
      <c r="S229" s="34">
        <f t="shared" si="7"/>
        <v>624</v>
      </c>
      <c r="T229" s="34">
        <v>0</v>
      </c>
    </row>
    <row r="230" spans="1:20" s="3" customFormat="1" ht="24" customHeight="1">
      <c r="A230" s="46">
        <v>223</v>
      </c>
      <c r="B230" s="38">
        <v>345</v>
      </c>
      <c r="C230" s="38">
        <v>81</v>
      </c>
      <c r="D230" s="38">
        <v>212</v>
      </c>
      <c r="E230" s="38">
        <v>0</v>
      </c>
      <c r="F230" s="38">
        <v>0</v>
      </c>
      <c r="G230" s="38">
        <v>1</v>
      </c>
      <c r="H230" s="38">
        <v>0</v>
      </c>
      <c r="I230" s="38">
        <v>0</v>
      </c>
      <c r="J230" s="38">
        <v>7</v>
      </c>
      <c r="K230" s="38">
        <v>1</v>
      </c>
      <c r="L230" s="38">
        <v>1</v>
      </c>
      <c r="M230" s="38">
        <v>2</v>
      </c>
      <c r="N230" s="38">
        <v>3</v>
      </c>
      <c r="O230" s="38">
        <v>4</v>
      </c>
      <c r="P230" s="38">
        <v>1</v>
      </c>
      <c r="Q230" s="34">
        <f t="shared" si="6"/>
        <v>657</v>
      </c>
      <c r="R230" s="34">
        <v>0</v>
      </c>
      <c r="S230" s="34">
        <f t="shared" si="7"/>
        <v>658</v>
      </c>
      <c r="T230" s="34">
        <v>0</v>
      </c>
    </row>
    <row r="231" spans="1:20" s="3" customFormat="1" ht="24" customHeight="1">
      <c r="A231" s="46">
        <v>224</v>
      </c>
      <c r="B231" s="38">
        <v>283</v>
      </c>
      <c r="C231" s="38">
        <v>35</v>
      </c>
      <c r="D231" s="38">
        <v>166</v>
      </c>
      <c r="E231" s="38">
        <v>2</v>
      </c>
      <c r="F231" s="38">
        <v>0</v>
      </c>
      <c r="G231" s="38">
        <v>0</v>
      </c>
      <c r="H231" s="38">
        <v>0</v>
      </c>
      <c r="I231" s="38">
        <v>1</v>
      </c>
      <c r="J231" s="38">
        <v>3</v>
      </c>
      <c r="K231" s="38">
        <v>0</v>
      </c>
      <c r="L231" s="38">
        <v>0</v>
      </c>
      <c r="M231" s="38">
        <v>0</v>
      </c>
      <c r="N231" s="38">
        <v>0</v>
      </c>
      <c r="O231" s="38">
        <v>0</v>
      </c>
      <c r="P231" s="38">
        <v>4</v>
      </c>
      <c r="Q231" s="34">
        <f t="shared" si="6"/>
        <v>490</v>
      </c>
      <c r="R231" s="34">
        <v>0</v>
      </c>
      <c r="S231" s="34">
        <f t="shared" si="7"/>
        <v>494</v>
      </c>
      <c r="T231" s="34">
        <v>0</v>
      </c>
    </row>
    <row r="232" spans="1:20" s="3" customFormat="1" ht="24" customHeight="1">
      <c r="A232" s="52">
        <v>225</v>
      </c>
      <c r="B232" s="38">
        <v>125</v>
      </c>
      <c r="C232" s="38">
        <v>18</v>
      </c>
      <c r="D232" s="38">
        <v>234</v>
      </c>
      <c r="E232" s="38">
        <v>1</v>
      </c>
      <c r="F232" s="38">
        <v>0</v>
      </c>
      <c r="G232" s="38">
        <v>0</v>
      </c>
      <c r="H232" s="38">
        <v>1</v>
      </c>
      <c r="I232" s="38">
        <v>0</v>
      </c>
      <c r="J232" s="38">
        <v>17</v>
      </c>
      <c r="K232" s="38">
        <v>0</v>
      </c>
      <c r="L232" s="38">
        <v>2</v>
      </c>
      <c r="M232" s="38">
        <v>1</v>
      </c>
      <c r="N232" s="38">
        <v>1</v>
      </c>
      <c r="O232" s="38">
        <v>0</v>
      </c>
      <c r="P232" s="38">
        <v>3</v>
      </c>
      <c r="Q232" s="34">
        <f t="shared" si="6"/>
        <v>400</v>
      </c>
      <c r="R232" s="34">
        <v>0</v>
      </c>
      <c r="S232" s="34">
        <f t="shared" si="7"/>
        <v>403</v>
      </c>
      <c r="T232" s="34">
        <v>0</v>
      </c>
    </row>
    <row r="233" spans="1:20" s="3" customFormat="1" ht="24" customHeight="1">
      <c r="A233" s="50">
        <v>226</v>
      </c>
      <c r="B233" s="38">
        <v>319</v>
      </c>
      <c r="C233" s="38">
        <v>51</v>
      </c>
      <c r="D233" s="38">
        <v>129</v>
      </c>
      <c r="E233" s="38">
        <v>4</v>
      </c>
      <c r="F233" s="38">
        <v>0</v>
      </c>
      <c r="G233" s="38">
        <v>0</v>
      </c>
      <c r="H233" s="38">
        <v>1</v>
      </c>
      <c r="I233" s="38">
        <v>0</v>
      </c>
      <c r="J233" s="38">
        <v>1</v>
      </c>
      <c r="K233" s="38">
        <v>0</v>
      </c>
      <c r="L233" s="38">
        <v>0</v>
      </c>
      <c r="M233" s="38">
        <v>2</v>
      </c>
      <c r="N233" s="38">
        <v>0</v>
      </c>
      <c r="O233" s="38">
        <v>1</v>
      </c>
      <c r="P233" s="38">
        <v>4</v>
      </c>
      <c r="Q233" s="34">
        <f t="shared" si="6"/>
        <v>508</v>
      </c>
      <c r="R233" s="34">
        <v>0</v>
      </c>
      <c r="S233" s="34">
        <f t="shared" si="7"/>
        <v>512</v>
      </c>
      <c r="T233" s="34">
        <v>0</v>
      </c>
    </row>
    <row r="234" spans="1:20" s="3" customFormat="1" ht="24" customHeight="1">
      <c r="A234" s="50">
        <v>227</v>
      </c>
      <c r="B234" s="38">
        <v>185</v>
      </c>
      <c r="C234" s="38">
        <v>5</v>
      </c>
      <c r="D234" s="38">
        <v>213</v>
      </c>
      <c r="E234" s="38">
        <v>1</v>
      </c>
      <c r="F234" s="38">
        <v>0</v>
      </c>
      <c r="G234" s="38">
        <v>0</v>
      </c>
      <c r="H234" s="38">
        <v>0</v>
      </c>
      <c r="I234" s="38">
        <v>0</v>
      </c>
      <c r="J234" s="38">
        <v>3</v>
      </c>
      <c r="K234" s="38">
        <v>0</v>
      </c>
      <c r="L234" s="38">
        <v>1</v>
      </c>
      <c r="M234" s="38">
        <v>0</v>
      </c>
      <c r="N234" s="38">
        <v>1</v>
      </c>
      <c r="O234" s="38">
        <v>1</v>
      </c>
      <c r="P234" s="38">
        <v>0</v>
      </c>
      <c r="Q234" s="34">
        <f t="shared" si="6"/>
        <v>410</v>
      </c>
      <c r="R234" s="34">
        <v>0</v>
      </c>
      <c r="S234" s="34">
        <f t="shared" si="7"/>
        <v>410</v>
      </c>
      <c r="T234" s="34">
        <v>0</v>
      </c>
    </row>
    <row r="235" spans="1:20" s="3" customFormat="1" ht="24" customHeight="1">
      <c r="A235" s="50">
        <v>228</v>
      </c>
      <c r="B235" s="38">
        <v>179</v>
      </c>
      <c r="C235" s="38">
        <v>93</v>
      </c>
      <c r="D235" s="38">
        <v>130</v>
      </c>
      <c r="E235" s="38">
        <v>1</v>
      </c>
      <c r="F235" s="38">
        <v>0</v>
      </c>
      <c r="G235" s="38">
        <v>1</v>
      </c>
      <c r="H235" s="38">
        <v>0</v>
      </c>
      <c r="I235" s="38">
        <v>0</v>
      </c>
      <c r="J235" s="38">
        <v>3</v>
      </c>
      <c r="K235" s="38">
        <v>0</v>
      </c>
      <c r="L235" s="38">
        <v>1</v>
      </c>
      <c r="M235" s="38">
        <v>1</v>
      </c>
      <c r="N235" s="38">
        <v>1</v>
      </c>
      <c r="O235" s="38">
        <v>0</v>
      </c>
      <c r="P235" s="38">
        <v>3</v>
      </c>
      <c r="Q235" s="34">
        <f t="shared" si="6"/>
        <v>410</v>
      </c>
      <c r="R235" s="34">
        <v>0</v>
      </c>
      <c r="S235" s="34">
        <f t="shared" si="7"/>
        <v>413</v>
      </c>
      <c r="T235" s="34">
        <v>0</v>
      </c>
    </row>
    <row r="236" spans="1:20" s="3" customFormat="1" ht="24" customHeight="1">
      <c r="A236" s="50">
        <v>229</v>
      </c>
      <c r="B236" s="38">
        <v>307</v>
      </c>
      <c r="C236" s="38">
        <v>63</v>
      </c>
      <c r="D236" s="38">
        <v>243</v>
      </c>
      <c r="E236" s="38">
        <v>3</v>
      </c>
      <c r="F236" s="38">
        <v>1</v>
      </c>
      <c r="G236" s="38">
        <v>0</v>
      </c>
      <c r="H236" s="38">
        <v>1</v>
      </c>
      <c r="I236" s="38">
        <v>0</v>
      </c>
      <c r="J236" s="38">
        <v>0</v>
      </c>
      <c r="K236" s="38">
        <v>1</v>
      </c>
      <c r="L236" s="38">
        <v>0</v>
      </c>
      <c r="M236" s="38">
        <v>2</v>
      </c>
      <c r="N236" s="38">
        <v>1</v>
      </c>
      <c r="O236" s="38">
        <v>0</v>
      </c>
      <c r="P236" s="38">
        <v>5</v>
      </c>
      <c r="Q236" s="34">
        <f t="shared" si="6"/>
        <v>622</v>
      </c>
      <c r="R236" s="34">
        <v>0</v>
      </c>
      <c r="S236" s="34">
        <f t="shared" si="7"/>
        <v>627</v>
      </c>
      <c r="T236" s="34">
        <v>0</v>
      </c>
    </row>
    <row r="237" spans="1:20" s="3" customFormat="1" ht="24" customHeight="1">
      <c r="A237" s="50">
        <v>230</v>
      </c>
      <c r="B237" s="38">
        <v>185</v>
      </c>
      <c r="C237" s="38">
        <v>3</v>
      </c>
      <c r="D237" s="38">
        <v>384</v>
      </c>
      <c r="E237" s="38">
        <v>3</v>
      </c>
      <c r="F237" s="38">
        <v>0</v>
      </c>
      <c r="G237" s="38">
        <v>0</v>
      </c>
      <c r="H237" s="38">
        <v>1</v>
      </c>
      <c r="I237" s="38">
        <v>1</v>
      </c>
      <c r="J237" s="38">
        <v>13</v>
      </c>
      <c r="K237" s="38">
        <v>10</v>
      </c>
      <c r="L237" s="38">
        <v>0</v>
      </c>
      <c r="M237" s="38">
        <v>3</v>
      </c>
      <c r="N237" s="38">
        <v>2</v>
      </c>
      <c r="O237" s="38">
        <v>1</v>
      </c>
      <c r="P237" s="38">
        <v>4</v>
      </c>
      <c r="Q237" s="34">
        <f t="shared" si="6"/>
        <v>606</v>
      </c>
      <c r="R237" s="34">
        <v>0</v>
      </c>
      <c r="S237" s="34">
        <f t="shared" si="7"/>
        <v>610</v>
      </c>
      <c r="T237" s="34">
        <v>0</v>
      </c>
    </row>
    <row r="238" spans="1:20" s="3" customFormat="1" ht="24" customHeight="1">
      <c r="A238" s="50">
        <v>231</v>
      </c>
      <c r="B238" s="38">
        <v>148</v>
      </c>
      <c r="C238" s="38">
        <v>7</v>
      </c>
      <c r="D238" s="38">
        <v>216</v>
      </c>
      <c r="E238" s="38">
        <v>2</v>
      </c>
      <c r="F238" s="38">
        <v>0</v>
      </c>
      <c r="G238" s="38">
        <v>2</v>
      </c>
      <c r="H238" s="38">
        <v>1</v>
      </c>
      <c r="I238" s="38">
        <v>0</v>
      </c>
      <c r="J238" s="38">
        <v>10</v>
      </c>
      <c r="K238" s="38">
        <v>1</v>
      </c>
      <c r="L238" s="38">
        <v>0</v>
      </c>
      <c r="M238" s="38">
        <v>1</v>
      </c>
      <c r="N238" s="38">
        <v>0</v>
      </c>
      <c r="O238" s="38">
        <v>0</v>
      </c>
      <c r="P238" s="38">
        <v>1</v>
      </c>
      <c r="Q238" s="34">
        <f t="shared" si="6"/>
        <v>388</v>
      </c>
      <c r="R238" s="34">
        <v>0</v>
      </c>
      <c r="S238" s="34">
        <f t="shared" si="7"/>
        <v>389</v>
      </c>
      <c r="T238" s="34">
        <v>0</v>
      </c>
    </row>
    <row r="239" spans="1:20" s="3" customFormat="1" ht="24" customHeight="1">
      <c r="A239" s="50">
        <v>232</v>
      </c>
      <c r="B239" s="38">
        <v>120</v>
      </c>
      <c r="C239" s="38">
        <v>55</v>
      </c>
      <c r="D239" s="38">
        <v>214</v>
      </c>
      <c r="E239" s="38">
        <v>3</v>
      </c>
      <c r="F239" s="38">
        <v>0</v>
      </c>
      <c r="G239" s="38">
        <v>0</v>
      </c>
      <c r="H239" s="38">
        <v>0</v>
      </c>
      <c r="I239" s="38">
        <v>1</v>
      </c>
      <c r="J239" s="38">
        <v>13</v>
      </c>
      <c r="K239" s="38">
        <v>0</v>
      </c>
      <c r="L239" s="38">
        <v>2</v>
      </c>
      <c r="M239" s="38">
        <v>2</v>
      </c>
      <c r="N239" s="38">
        <v>0</v>
      </c>
      <c r="O239" s="38">
        <v>1</v>
      </c>
      <c r="P239" s="38">
        <v>5</v>
      </c>
      <c r="Q239" s="34">
        <f t="shared" si="6"/>
        <v>411</v>
      </c>
      <c r="R239" s="34">
        <v>0</v>
      </c>
      <c r="S239" s="34">
        <f t="shared" si="7"/>
        <v>416</v>
      </c>
      <c r="T239" s="34">
        <v>0</v>
      </c>
    </row>
    <row r="240" spans="1:20" s="3" customFormat="1" ht="24" customHeight="1">
      <c r="A240" s="50">
        <v>233</v>
      </c>
      <c r="B240" s="38">
        <v>137</v>
      </c>
      <c r="C240" s="38">
        <v>16</v>
      </c>
      <c r="D240" s="38">
        <v>301</v>
      </c>
      <c r="E240" s="38">
        <v>6</v>
      </c>
      <c r="F240" s="38">
        <v>0</v>
      </c>
      <c r="G240" s="38">
        <v>0</v>
      </c>
      <c r="H240" s="38">
        <v>2</v>
      </c>
      <c r="I240" s="38">
        <v>0</v>
      </c>
      <c r="J240" s="38">
        <v>12</v>
      </c>
      <c r="K240" s="38">
        <v>0</v>
      </c>
      <c r="L240" s="38">
        <v>1</v>
      </c>
      <c r="M240" s="38">
        <v>2</v>
      </c>
      <c r="N240" s="38">
        <v>0</v>
      </c>
      <c r="O240" s="38">
        <v>1</v>
      </c>
      <c r="P240" s="38">
        <v>3</v>
      </c>
      <c r="Q240" s="34">
        <f t="shared" si="6"/>
        <v>478</v>
      </c>
      <c r="R240" s="34">
        <v>0</v>
      </c>
      <c r="S240" s="34">
        <f t="shared" si="7"/>
        <v>481</v>
      </c>
      <c r="T240" s="34">
        <v>0</v>
      </c>
    </row>
    <row r="241" spans="1:20" s="3" customFormat="1" ht="24" customHeight="1">
      <c r="A241" s="50">
        <v>234</v>
      </c>
      <c r="B241" s="38">
        <v>236</v>
      </c>
      <c r="C241" s="38">
        <v>72</v>
      </c>
      <c r="D241" s="38">
        <v>238</v>
      </c>
      <c r="E241" s="38">
        <v>4</v>
      </c>
      <c r="F241" s="38">
        <v>1</v>
      </c>
      <c r="G241" s="38">
        <v>0</v>
      </c>
      <c r="H241" s="38">
        <v>1</v>
      </c>
      <c r="I241" s="38">
        <v>1</v>
      </c>
      <c r="J241" s="38">
        <v>10</v>
      </c>
      <c r="K241" s="38">
        <v>0</v>
      </c>
      <c r="L241" s="38">
        <v>0</v>
      </c>
      <c r="M241" s="38">
        <v>1</v>
      </c>
      <c r="N241" s="38">
        <v>0</v>
      </c>
      <c r="O241" s="38">
        <v>1</v>
      </c>
      <c r="P241" s="38">
        <v>1</v>
      </c>
      <c r="Q241" s="34">
        <f t="shared" si="6"/>
        <v>565</v>
      </c>
      <c r="R241" s="34">
        <v>0</v>
      </c>
      <c r="S241" s="34">
        <f t="shared" si="7"/>
        <v>566</v>
      </c>
      <c r="T241" s="34">
        <v>0</v>
      </c>
    </row>
    <row r="242" spans="1:20" s="3" customFormat="1" ht="24" customHeight="1">
      <c r="A242" s="50">
        <v>235</v>
      </c>
      <c r="B242" s="38">
        <v>106</v>
      </c>
      <c r="C242" s="38">
        <v>92</v>
      </c>
      <c r="D242" s="38">
        <v>201</v>
      </c>
      <c r="E242" s="38">
        <v>2</v>
      </c>
      <c r="F242" s="38">
        <v>1</v>
      </c>
      <c r="G242" s="38">
        <v>0</v>
      </c>
      <c r="H242" s="38">
        <v>0</v>
      </c>
      <c r="I242" s="38">
        <v>0</v>
      </c>
      <c r="J242" s="38">
        <v>33</v>
      </c>
      <c r="K242" s="38">
        <v>0</v>
      </c>
      <c r="L242" s="38">
        <v>0</v>
      </c>
      <c r="M242" s="38">
        <v>1</v>
      </c>
      <c r="N242" s="38">
        <v>1</v>
      </c>
      <c r="O242" s="38">
        <v>2</v>
      </c>
      <c r="P242" s="38">
        <v>0</v>
      </c>
      <c r="Q242" s="34">
        <f t="shared" si="6"/>
        <v>439</v>
      </c>
      <c r="R242" s="34">
        <v>0</v>
      </c>
      <c r="S242" s="34">
        <f t="shared" si="7"/>
        <v>439</v>
      </c>
      <c r="T242" s="34">
        <v>0</v>
      </c>
    </row>
    <row r="243" spans="1:20" s="3" customFormat="1" ht="24" customHeight="1">
      <c r="A243" s="50">
        <v>236</v>
      </c>
      <c r="B243" s="38">
        <v>87</v>
      </c>
      <c r="C243" s="38">
        <v>18</v>
      </c>
      <c r="D243" s="38">
        <v>259</v>
      </c>
      <c r="E243" s="38">
        <v>2</v>
      </c>
      <c r="F243" s="38">
        <v>0</v>
      </c>
      <c r="G243" s="38">
        <v>0</v>
      </c>
      <c r="H243" s="38">
        <v>1</v>
      </c>
      <c r="I243" s="38">
        <v>1</v>
      </c>
      <c r="J243" s="38">
        <v>29</v>
      </c>
      <c r="K243" s="38">
        <v>0</v>
      </c>
      <c r="L243" s="38">
        <v>0</v>
      </c>
      <c r="M243" s="38">
        <v>0</v>
      </c>
      <c r="N243" s="38">
        <v>1</v>
      </c>
      <c r="O243" s="38">
        <v>0</v>
      </c>
      <c r="P243" s="38">
        <v>0</v>
      </c>
      <c r="Q243" s="34">
        <f t="shared" si="6"/>
        <v>398</v>
      </c>
      <c r="R243" s="34">
        <v>0</v>
      </c>
      <c r="S243" s="34">
        <f t="shared" si="7"/>
        <v>398</v>
      </c>
      <c r="T243" s="34">
        <v>0</v>
      </c>
    </row>
    <row r="244" spans="1:20" s="3" customFormat="1" ht="24" customHeight="1">
      <c r="A244" s="50">
        <v>237</v>
      </c>
      <c r="B244" s="38">
        <v>123</v>
      </c>
      <c r="C244" s="38">
        <v>75</v>
      </c>
      <c r="D244" s="38">
        <v>262</v>
      </c>
      <c r="E244" s="38">
        <v>2</v>
      </c>
      <c r="F244" s="38">
        <v>0</v>
      </c>
      <c r="G244" s="38">
        <v>0</v>
      </c>
      <c r="H244" s="38">
        <v>1</v>
      </c>
      <c r="I244" s="38">
        <v>1</v>
      </c>
      <c r="J244" s="38">
        <v>3</v>
      </c>
      <c r="K244" s="38">
        <v>0</v>
      </c>
      <c r="L244" s="38">
        <v>0</v>
      </c>
      <c r="M244" s="38">
        <v>0</v>
      </c>
      <c r="N244" s="38">
        <v>3</v>
      </c>
      <c r="O244" s="38">
        <v>0</v>
      </c>
      <c r="P244" s="38">
        <v>3</v>
      </c>
      <c r="Q244" s="34">
        <f t="shared" si="6"/>
        <v>470</v>
      </c>
      <c r="R244" s="34">
        <v>0</v>
      </c>
      <c r="S244" s="34">
        <f t="shared" si="7"/>
        <v>473</v>
      </c>
      <c r="T244" s="34">
        <v>0</v>
      </c>
    </row>
    <row r="245" spans="1:20" s="3" customFormat="1" ht="24" customHeight="1">
      <c r="A245" s="50">
        <v>238</v>
      </c>
      <c r="B245" s="38">
        <v>243</v>
      </c>
      <c r="C245" s="38">
        <v>14</v>
      </c>
      <c r="D245" s="38">
        <v>226</v>
      </c>
      <c r="E245" s="38">
        <v>3</v>
      </c>
      <c r="F245" s="38">
        <v>1</v>
      </c>
      <c r="G245" s="38">
        <v>0</v>
      </c>
      <c r="H245" s="38">
        <v>0</v>
      </c>
      <c r="I245" s="38">
        <v>0</v>
      </c>
      <c r="J245" s="38">
        <v>0</v>
      </c>
      <c r="K245" s="38">
        <v>0</v>
      </c>
      <c r="L245" s="38">
        <v>1</v>
      </c>
      <c r="M245" s="38">
        <v>0</v>
      </c>
      <c r="N245" s="38">
        <v>1</v>
      </c>
      <c r="O245" s="38">
        <v>1</v>
      </c>
      <c r="P245" s="38">
        <v>2</v>
      </c>
      <c r="Q245" s="34">
        <f t="shared" si="6"/>
        <v>490</v>
      </c>
      <c r="R245" s="34">
        <v>0</v>
      </c>
      <c r="S245" s="34">
        <f t="shared" si="7"/>
        <v>492</v>
      </c>
      <c r="T245" s="34">
        <v>0</v>
      </c>
    </row>
    <row r="246" spans="1:20" s="3" customFormat="1" ht="24" customHeight="1">
      <c r="A246" s="46">
        <v>239</v>
      </c>
      <c r="B246" s="38">
        <v>145</v>
      </c>
      <c r="C246" s="38">
        <v>32</v>
      </c>
      <c r="D246" s="38">
        <v>98</v>
      </c>
      <c r="E246" s="38">
        <v>3</v>
      </c>
      <c r="F246" s="38">
        <v>0</v>
      </c>
      <c r="G246" s="38">
        <v>0</v>
      </c>
      <c r="H246" s="38">
        <v>0</v>
      </c>
      <c r="I246" s="38">
        <v>0</v>
      </c>
      <c r="J246" s="38">
        <v>0</v>
      </c>
      <c r="K246" s="38">
        <v>0</v>
      </c>
      <c r="L246" s="38">
        <v>0</v>
      </c>
      <c r="M246" s="38">
        <v>0</v>
      </c>
      <c r="N246" s="38">
        <v>1</v>
      </c>
      <c r="O246" s="38">
        <v>0</v>
      </c>
      <c r="P246" s="38">
        <v>4</v>
      </c>
      <c r="Q246" s="34">
        <f t="shared" si="6"/>
        <v>279</v>
      </c>
      <c r="R246" s="34">
        <v>0</v>
      </c>
      <c r="S246" s="34">
        <f t="shared" si="7"/>
        <v>283</v>
      </c>
      <c r="T246" s="34">
        <v>0</v>
      </c>
    </row>
    <row r="247" spans="1:20" s="3" customFormat="1" ht="24" customHeight="1">
      <c r="A247" s="46">
        <v>240</v>
      </c>
      <c r="B247" s="38">
        <v>170</v>
      </c>
      <c r="C247" s="38">
        <v>30</v>
      </c>
      <c r="D247" s="38">
        <v>252</v>
      </c>
      <c r="E247" s="38">
        <v>1</v>
      </c>
      <c r="F247" s="38">
        <v>0</v>
      </c>
      <c r="G247" s="38">
        <v>0</v>
      </c>
      <c r="H247" s="38">
        <v>0</v>
      </c>
      <c r="I247" s="38">
        <v>0</v>
      </c>
      <c r="J247" s="38">
        <v>127</v>
      </c>
      <c r="K247" s="38">
        <v>1</v>
      </c>
      <c r="L247" s="38">
        <v>0</v>
      </c>
      <c r="M247" s="38">
        <v>1</v>
      </c>
      <c r="N247" s="38">
        <v>3</v>
      </c>
      <c r="O247" s="38">
        <v>1</v>
      </c>
      <c r="P247" s="38">
        <v>5</v>
      </c>
      <c r="Q247" s="34">
        <f t="shared" si="6"/>
        <v>586</v>
      </c>
      <c r="R247" s="34">
        <v>0</v>
      </c>
      <c r="S247" s="34">
        <f t="shared" si="7"/>
        <v>591</v>
      </c>
      <c r="T247" s="34">
        <v>0</v>
      </c>
    </row>
    <row r="248" spans="1:20" s="3" customFormat="1" ht="24" customHeight="1">
      <c r="A248" s="46">
        <v>241</v>
      </c>
      <c r="B248" s="38">
        <v>293</v>
      </c>
      <c r="C248" s="38">
        <v>20</v>
      </c>
      <c r="D248" s="38">
        <v>212</v>
      </c>
      <c r="E248" s="38">
        <v>0</v>
      </c>
      <c r="F248" s="38">
        <v>0</v>
      </c>
      <c r="G248" s="38">
        <v>1</v>
      </c>
      <c r="H248" s="38">
        <v>0</v>
      </c>
      <c r="I248" s="38">
        <v>1</v>
      </c>
      <c r="J248" s="38">
        <v>1</v>
      </c>
      <c r="K248" s="38">
        <v>2</v>
      </c>
      <c r="L248" s="38">
        <v>0</v>
      </c>
      <c r="M248" s="38">
        <v>3</v>
      </c>
      <c r="N248" s="38">
        <v>3</v>
      </c>
      <c r="O248" s="38">
        <v>2</v>
      </c>
      <c r="P248" s="38">
        <v>6</v>
      </c>
      <c r="Q248" s="34">
        <f t="shared" si="6"/>
        <v>538</v>
      </c>
      <c r="R248" s="34">
        <v>0</v>
      </c>
      <c r="S248" s="34">
        <f t="shared" si="7"/>
        <v>544</v>
      </c>
      <c r="T248" s="34">
        <v>0</v>
      </c>
    </row>
    <row r="249" spans="1:20" s="3" customFormat="1" ht="24" customHeight="1">
      <c r="A249" s="46">
        <v>242</v>
      </c>
      <c r="B249" s="38">
        <v>225</v>
      </c>
      <c r="C249" s="38">
        <v>94</v>
      </c>
      <c r="D249" s="38">
        <v>253</v>
      </c>
      <c r="E249" s="38">
        <v>5</v>
      </c>
      <c r="F249" s="38">
        <v>0</v>
      </c>
      <c r="G249" s="38">
        <v>0</v>
      </c>
      <c r="H249" s="38">
        <v>0</v>
      </c>
      <c r="I249" s="38">
        <v>1</v>
      </c>
      <c r="J249" s="38">
        <v>1</v>
      </c>
      <c r="K249" s="38">
        <v>1</v>
      </c>
      <c r="L249" s="38">
        <v>1</v>
      </c>
      <c r="M249" s="38">
        <v>2</v>
      </c>
      <c r="N249" s="38">
        <v>1</v>
      </c>
      <c r="O249" s="38">
        <v>3</v>
      </c>
      <c r="P249" s="38">
        <v>4</v>
      </c>
      <c r="Q249" s="34">
        <f t="shared" si="6"/>
        <v>587</v>
      </c>
      <c r="R249" s="34">
        <v>0</v>
      </c>
      <c r="S249" s="34">
        <f t="shared" si="7"/>
        <v>591</v>
      </c>
      <c r="T249" s="34">
        <v>0</v>
      </c>
    </row>
    <row r="250" spans="1:20" s="3" customFormat="1" ht="24" customHeight="1">
      <c r="A250" s="46">
        <v>243</v>
      </c>
      <c r="B250" s="38">
        <v>221</v>
      </c>
      <c r="C250" s="38">
        <v>34</v>
      </c>
      <c r="D250" s="38">
        <v>314</v>
      </c>
      <c r="E250" s="38">
        <v>0</v>
      </c>
      <c r="F250" s="38">
        <v>0</v>
      </c>
      <c r="G250" s="38">
        <v>0</v>
      </c>
      <c r="H250" s="38">
        <v>0</v>
      </c>
      <c r="I250" s="38">
        <v>0</v>
      </c>
      <c r="J250" s="38">
        <v>0</v>
      </c>
      <c r="K250" s="38">
        <v>2</v>
      </c>
      <c r="L250" s="38">
        <v>1</v>
      </c>
      <c r="M250" s="38">
        <v>1</v>
      </c>
      <c r="N250" s="38">
        <v>5</v>
      </c>
      <c r="O250" s="38">
        <v>0</v>
      </c>
      <c r="P250" s="38">
        <v>4</v>
      </c>
      <c r="Q250" s="34">
        <f t="shared" si="6"/>
        <v>578</v>
      </c>
      <c r="R250" s="34">
        <v>0</v>
      </c>
      <c r="S250" s="34">
        <f t="shared" si="7"/>
        <v>582</v>
      </c>
      <c r="T250" s="34">
        <v>0</v>
      </c>
    </row>
    <row r="251" spans="1:20" s="3" customFormat="1" ht="24" customHeight="1">
      <c r="A251" s="46">
        <v>244</v>
      </c>
      <c r="B251" s="38">
        <v>236</v>
      </c>
      <c r="C251" s="38">
        <v>4</v>
      </c>
      <c r="D251" s="38">
        <v>309</v>
      </c>
      <c r="E251" s="38">
        <v>4</v>
      </c>
      <c r="F251" s="38">
        <v>0</v>
      </c>
      <c r="G251" s="38">
        <v>0</v>
      </c>
      <c r="H251" s="38">
        <v>0</v>
      </c>
      <c r="I251" s="38">
        <v>1</v>
      </c>
      <c r="J251" s="38">
        <v>12</v>
      </c>
      <c r="K251" s="38">
        <v>0</v>
      </c>
      <c r="L251" s="38">
        <v>0</v>
      </c>
      <c r="M251" s="38">
        <v>1</v>
      </c>
      <c r="N251" s="38">
        <v>5</v>
      </c>
      <c r="O251" s="38">
        <v>1</v>
      </c>
      <c r="P251" s="38">
        <v>4</v>
      </c>
      <c r="Q251" s="34">
        <f t="shared" si="6"/>
        <v>573</v>
      </c>
      <c r="R251" s="34">
        <v>0</v>
      </c>
      <c r="S251" s="34">
        <f t="shared" si="7"/>
        <v>577</v>
      </c>
      <c r="T251" s="34">
        <v>0</v>
      </c>
    </row>
    <row r="252" spans="1:20" s="3" customFormat="1" ht="24" customHeight="1">
      <c r="A252" s="46">
        <v>245</v>
      </c>
      <c r="B252" s="38">
        <v>270</v>
      </c>
      <c r="C252" s="38">
        <v>31</v>
      </c>
      <c r="D252" s="38">
        <v>253</v>
      </c>
      <c r="E252" s="38">
        <v>6</v>
      </c>
      <c r="F252" s="38">
        <v>0</v>
      </c>
      <c r="G252" s="38">
        <v>0</v>
      </c>
      <c r="H252" s="38">
        <v>0</v>
      </c>
      <c r="I252" s="38">
        <v>0</v>
      </c>
      <c r="J252" s="38">
        <v>4</v>
      </c>
      <c r="K252" s="38">
        <v>0</v>
      </c>
      <c r="L252" s="38">
        <v>0</v>
      </c>
      <c r="M252" s="38">
        <v>1</v>
      </c>
      <c r="N252" s="38">
        <v>0</v>
      </c>
      <c r="O252" s="38">
        <v>3</v>
      </c>
      <c r="P252" s="38">
        <v>3</v>
      </c>
      <c r="Q252" s="34">
        <f t="shared" si="6"/>
        <v>568</v>
      </c>
      <c r="R252" s="34">
        <v>0</v>
      </c>
      <c r="S252" s="34">
        <f t="shared" si="7"/>
        <v>571</v>
      </c>
      <c r="T252" s="34">
        <v>0</v>
      </c>
    </row>
    <row r="253" spans="1:20" s="3" customFormat="1" ht="24" customHeight="1">
      <c r="A253" s="46">
        <v>246</v>
      </c>
      <c r="B253" s="38">
        <v>230</v>
      </c>
      <c r="C253" s="38">
        <v>1</v>
      </c>
      <c r="D253" s="38">
        <v>138</v>
      </c>
      <c r="E253" s="38">
        <v>2</v>
      </c>
      <c r="F253" s="38">
        <v>1</v>
      </c>
      <c r="G253" s="38">
        <v>0</v>
      </c>
      <c r="H253" s="38">
        <v>0</v>
      </c>
      <c r="I253" s="38">
        <v>0</v>
      </c>
      <c r="J253" s="38">
        <v>0</v>
      </c>
      <c r="K253" s="38">
        <v>0</v>
      </c>
      <c r="L253" s="38">
        <v>1</v>
      </c>
      <c r="M253" s="38">
        <v>1</v>
      </c>
      <c r="N253" s="38">
        <v>1</v>
      </c>
      <c r="O253" s="38">
        <v>2</v>
      </c>
      <c r="P253" s="38">
        <v>2</v>
      </c>
      <c r="Q253" s="34">
        <f t="shared" si="6"/>
        <v>377</v>
      </c>
      <c r="R253" s="34">
        <v>0</v>
      </c>
      <c r="S253" s="34">
        <f t="shared" si="7"/>
        <v>379</v>
      </c>
      <c r="T253" s="34">
        <v>0</v>
      </c>
    </row>
    <row r="254" spans="1:20" s="3" customFormat="1" ht="24" customHeight="1">
      <c r="A254" s="46">
        <v>247</v>
      </c>
      <c r="B254" s="38">
        <v>160</v>
      </c>
      <c r="C254" s="38">
        <v>10</v>
      </c>
      <c r="D254" s="38">
        <v>236</v>
      </c>
      <c r="E254" s="38">
        <v>0</v>
      </c>
      <c r="F254" s="38">
        <v>0</v>
      </c>
      <c r="G254" s="38">
        <v>0</v>
      </c>
      <c r="H254" s="38">
        <v>0</v>
      </c>
      <c r="I254" s="38">
        <v>0</v>
      </c>
      <c r="J254" s="38">
        <v>0</v>
      </c>
      <c r="K254" s="38">
        <v>0</v>
      </c>
      <c r="L254" s="38">
        <v>0</v>
      </c>
      <c r="M254" s="38">
        <v>2</v>
      </c>
      <c r="N254" s="38">
        <v>3</v>
      </c>
      <c r="O254" s="38">
        <v>0</v>
      </c>
      <c r="P254" s="38">
        <v>3</v>
      </c>
      <c r="Q254" s="34">
        <f t="shared" si="6"/>
        <v>411</v>
      </c>
      <c r="R254" s="34">
        <v>0</v>
      </c>
      <c r="S254" s="34">
        <f t="shared" si="7"/>
        <v>414</v>
      </c>
      <c r="T254" s="34">
        <v>0</v>
      </c>
    </row>
    <row r="255" spans="1:20" s="3" customFormat="1" ht="24" customHeight="1">
      <c r="A255" s="46">
        <v>248</v>
      </c>
      <c r="B255" s="38">
        <v>432</v>
      </c>
      <c r="C255" s="38">
        <v>60</v>
      </c>
      <c r="D255" s="38">
        <v>138</v>
      </c>
      <c r="E255" s="38">
        <v>8</v>
      </c>
      <c r="F255" s="38">
        <v>1</v>
      </c>
      <c r="G255" s="38">
        <v>0</v>
      </c>
      <c r="H255" s="38">
        <v>1</v>
      </c>
      <c r="I255" s="38">
        <v>1</v>
      </c>
      <c r="J255" s="38">
        <v>0</v>
      </c>
      <c r="K255" s="38">
        <v>1</v>
      </c>
      <c r="L255" s="38">
        <v>0</v>
      </c>
      <c r="M255" s="38">
        <v>2</v>
      </c>
      <c r="N255" s="38">
        <v>1</v>
      </c>
      <c r="O255" s="38">
        <v>2</v>
      </c>
      <c r="P255" s="38">
        <v>3</v>
      </c>
      <c r="Q255" s="34">
        <f t="shared" si="6"/>
        <v>647</v>
      </c>
      <c r="R255" s="34">
        <v>0</v>
      </c>
      <c r="S255" s="34">
        <f t="shared" si="7"/>
        <v>650</v>
      </c>
      <c r="T255" s="34">
        <v>0</v>
      </c>
    </row>
    <row r="256" spans="1:20" s="3" customFormat="1" ht="24" customHeight="1">
      <c r="A256" s="46">
        <v>249</v>
      </c>
      <c r="B256" s="38">
        <v>158</v>
      </c>
      <c r="C256" s="38">
        <v>9</v>
      </c>
      <c r="D256" s="38">
        <v>362</v>
      </c>
      <c r="E256" s="38">
        <v>3</v>
      </c>
      <c r="F256" s="38">
        <v>0</v>
      </c>
      <c r="G256" s="38">
        <v>0</v>
      </c>
      <c r="H256" s="38">
        <v>0</v>
      </c>
      <c r="I256" s="38">
        <v>0</v>
      </c>
      <c r="J256" s="38">
        <v>3</v>
      </c>
      <c r="K256" s="38">
        <v>0</v>
      </c>
      <c r="L256" s="38">
        <v>0</v>
      </c>
      <c r="M256" s="38">
        <v>0</v>
      </c>
      <c r="N256" s="38">
        <v>0</v>
      </c>
      <c r="O256" s="38">
        <v>1</v>
      </c>
      <c r="P256" s="38">
        <v>0</v>
      </c>
      <c r="Q256" s="34">
        <f t="shared" si="6"/>
        <v>536</v>
      </c>
      <c r="R256" s="34">
        <v>0</v>
      </c>
      <c r="S256" s="34">
        <f t="shared" si="7"/>
        <v>536</v>
      </c>
      <c r="T256" s="34">
        <v>0</v>
      </c>
    </row>
    <row r="257" spans="1:20" s="3" customFormat="1" ht="24" customHeight="1">
      <c r="A257" s="46">
        <v>250</v>
      </c>
      <c r="B257" s="38">
        <v>195</v>
      </c>
      <c r="C257" s="38">
        <v>70</v>
      </c>
      <c r="D257" s="38">
        <v>213</v>
      </c>
      <c r="E257" s="38">
        <v>5</v>
      </c>
      <c r="F257" s="38">
        <v>0</v>
      </c>
      <c r="G257" s="38">
        <v>0</v>
      </c>
      <c r="H257" s="38">
        <v>0</v>
      </c>
      <c r="I257" s="38">
        <v>1</v>
      </c>
      <c r="J257" s="38">
        <v>2</v>
      </c>
      <c r="K257" s="38">
        <v>0</v>
      </c>
      <c r="L257" s="38">
        <v>0</v>
      </c>
      <c r="M257" s="38">
        <v>1</v>
      </c>
      <c r="N257" s="38">
        <v>2</v>
      </c>
      <c r="O257" s="38">
        <v>0</v>
      </c>
      <c r="P257" s="38">
        <v>0</v>
      </c>
      <c r="Q257" s="34">
        <f t="shared" si="6"/>
        <v>489</v>
      </c>
      <c r="R257" s="34">
        <v>0</v>
      </c>
      <c r="S257" s="34">
        <f t="shared" si="7"/>
        <v>489</v>
      </c>
      <c r="T257" s="34">
        <v>0</v>
      </c>
    </row>
    <row r="258" spans="1:20" s="3" customFormat="1" ht="24" customHeight="1">
      <c r="A258" s="46">
        <v>251</v>
      </c>
      <c r="B258" s="38">
        <v>271</v>
      </c>
      <c r="C258" s="38">
        <v>40</v>
      </c>
      <c r="D258" s="38">
        <v>142</v>
      </c>
      <c r="E258" s="38">
        <v>2</v>
      </c>
      <c r="F258" s="38">
        <v>2</v>
      </c>
      <c r="G258" s="38">
        <v>0</v>
      </c>
      <c r="H258" s="38">
        <v>1</v>
      </c>
      <c r="I258" s="38">
        <v>0</v>
      </c>
      <c r="J258" s="38">
        <v>1</v>
      </c>
      <c r="K258" s="38">
        <v>0</v>
      </c>
      <c r="L258" s="38">
        <v>0</v>
      </c>
      <c r="M258" s="38">
        <v>0</v>
      </c>
      <c r="N258" s="38">
        <v>1</v>
      </c>
      <c r="O258" s="38">
        <v>1</v>
      </c>
      <c r="P258" s="38">
        <v>5</v>
      </c>
      <c r="Q258" s="34">
        <f t="shared" si="6"/>
        <v>461</v>
      </c>
      <c r="R258" s="34">
        <v>0</v>
      </c>
      <c r="S258" s="34">
        <f t="shared" si="7"/>
        <v>466</v>
      </c>
      <c r="T258" s="34">
        <v>0</v>
      </c>
    </row>
    <row r="259" spans="1:20" s="3" customFormat="1" ht="24" customHeight="1">
      <c r="A259" s="46">
        <v>252</v>
      </c>
      <c r="B259" s="38">
        <v>128</v>
      </c>
      <c r="C259" s="38">
        <v>26</v>
      </c>
      <c r="D259" s="38">
        <v>254</v>
      </c>
      <c r="E259" s="38">
        <v>0</v>
      </c>
      <c r="F259" s="38">
        <v>0</v>
      </c>
      <c r="G259" s="38">
        <v>0</v>
      </c>
      <c r="H259" s="38">
        <v>0</v>
      </c>
      <c r="I259" s="38">
        <v>0</v>
      </c>
      <c r="J259" s="38">
        <v>7</v>
      </c>
      <c r="K259" s="38">
        <v>0</v>
      </c>
      <c r="L259" s="38">
        <v>1</v>
      </c>
      <c r="M259" s="38">
        <v>0</v>
      </c>
      <c r="N259" s="38">
        <v>4</v>
      </c>
      <c r="O259" s="38">
        <v>4</v>
      </c>
      <c r="P259" s="38">
        <v>6</v>
      </c>
      <c r="Q259" s="34">
        <f t="shared" si="6"/>
        <v>424</v>
      </c>
      <c r="R259" s="34">
        <v>0</v>
      </c>
      <c r="S259" s="34">
        <f t="shared" si="7"/>
        <v>430</v>
      </c>
      <c r="T259" s="34">
        <v>0</v>
      </c>
    </row>
    <row r="260" spans="1:20" s="3" customFormat="1" ht="24" customHeight="1">
      <c r="A260" s="51">
        <v>253</v>
      </c>
      <c r="B260" s="38">
        <v>256</v>
      </c>
      <c r="C260" s="38">
        <v>30</v>
      </c>
      <c r="D260" s="38">
        <v>184</v>
      </c>
      <c r="E260" s="38">
        <v>2</v>
      </c>
      <c r="F260" s="38">
        <v>2</v>
      </c>
      <c r="G260" s="38">
        <v>0</v>
      </c>
      <c r="H260" s="38">
        <v>0</v>
      </c>
      <c r="I260" s="38">
        <v>0</v>
      </c>
      <c r="J260" s="38">
        <v>1</v>
      </c>
      <c r="K260" s="38">
        <v>0</v>
      </c>
      <c r="L260" s="38">
        <v>1</v>
      </c>
      <c r="M260" s="38">
        <v>1</v>
      </c>
      <c r="N260" s="38">
        <v>3</v>
      </c>
      <c r="O260" s="38">
        <v>2</v>
      </c>
      <c r="P260" s="38">
        <v>1</v>
      </c>
      <c r="Q260" s="34">
        <f t="shared" si="6"/>
        <v>482</v>
      </c>
      <c r="R260" s="34">
        <v>0</v>
      </c>
      <c r="S260" s="34">
        <f t="shared" si="7"/>
        <v>483</v>
      </c>
      <c r="T260" s="34">
        <v>0</v>
      </c>
    </row>
    <row r="261" spans="1:20" s="3" customFormat="1" ht="24" customHeight="1">
      <c r="A261" s="51">
        <v>254</v>
      </c>
      <c r="B261" s="38">
        <v>251</v>
      </c>
      <c r="C261" s="38">
        <v>47</v>
      </c>
      <c r="D261" s="38">
        <v>106</v>
      </c>
      <c r="E261" s="38">
        <v>1</v>
      </c>
      <c r="F261" s="38">
        <v>0</v>
      </c>
      <c r="G261" s="38">
        <v>0</v>
      </c>
      <c r="H261" s="38">
        <v>0</v>
      </c>
      <c r="I261" s="38">
        <v>0</v>
      </c>
      <c r="J261" s="38">
        <v>3</v>
      </c>
      <c r="K261" s="38">
        <v>2</v>
      </c>
      <c r="L261" s="38">
        <v>0</v>
      </c>
      <c r="M261" s="38">
        <v>3</v>
      </c>
      <c r="N261" s="38">
        <v>1</v>
      </c>
      <c r="O261" s="38">
        <v>3</v>
      </c>
      <c r="P261" s="38">
        <v>7</v>
      </c>
      <c r="Q261" s="34">
        <f t="shared" si="6"/>
        <v>417</v>
      </c>
      <c r="R261" s="34">
        <v>0</v>
      </c>
      <c r="S261" s="34">
        <f t="shared" si="7"/>
        <v>424</v>
      </c>
      <c r="T261" s="34">
        <v>0</v>
      </c>
    </row>
    <row r="262" spans="1:20" s="3" customFormat="1" ht="24" customHeight="1">
      <c r="A262" s="51">
        <v>255</v>
      </c>
      <c r="B262" s="38">
        <v>136</v>
      </c>
      <c r="C262" s="38">
        <v>16</v>
      </c>
      <c r="D262" s="38">
        <v>241</v>
      </c>
      <c r="E262" s="38">
        <v>4</v>
      </c>
      <c r="F262" s="38">
        <v>2</v>
      </c>
      <c r="G262" s="38">
        <v>0</v>
      </c>
      <c r="H262" s="38">
        <v>1</v>
      </c>
      <c r="I262" s="38">
        <v>2</v>
      </c>
      <c r="J262" s="38">
        <v>2</v>
      </c>
      <c r="K262" s="38">
        <v>0</v>
      </c>
      <c r="L262" s="38">
        <v>3</v>
      </c>
      <c r="M262" s="38">
        <v>1</v>
      </c>
      <c r="N262" s="38">
        <v>3</v>
      </c>
      <c r="O262" s="38">
        <v>1</v>
      </c>
      <c r="P262" s="38">
        <v>2</v>
      </c>
      <c r="Q262" s="34">
        <f t="shared" si="6"/>
        <v>412</v>
      </c>
      <c r="R262" s="34">
        <v>0</v>
      </c>
      <c r="S262" s="34">
        <f t="shared" si="7"/>
        <v>414</v>
      </c>
      <c r="T262" s="34">
        <v>0</v>
      </c>
    </row>
    <row r="263" spans="1:20" s="3" customFormat="1" ht="24" customHeight="1">
      <c r="A263" s="51">
        <v>256</v>
      </c>
      <c r="B263" s="38">
        <v>438</v>
      </c>
      <c r="C263" s="38">
        <v>99</v>
      </c>
      <c r="D263" s="38">
        <v>163</v>
      </c>
      <c r="E263" s="38">
        <v>5</v>
      </c>
      <c r="F263" s="38">
        <v>2</v>
      </c>
      <c r="G263" s="38">
        <v>1</v>
      </c>
      <c r="H263" s="38">
        <v>2</v>
      </c>
      <c r="I263" s="38">
        <v>1</v>
      </c>
      <c r="J263" s="38">
        <v>1</v>
      </c>
      <c r="K263" s="38">
        <v>2</v>
      </c>
      <c r="L263" s="38">
        <v>2</v>
      </c>
      <c r="M263" s="38">
        <v>3</v>
      </c>
      <c r="N263" s="38">
        <v>2</v>
      </c>
      <c r="O263" s="38">
        <v>2</v>
      </c>
      <c r="P263" s="38">
        <v>10</v>
      </c>
      <c r="Q263" s="34">
        <f t="shared" si="6"/>
        <v>723</v>
      </c>
      <c r="R263" s="34">
        <v>0</v>
      </c>
      <c r="S263" s="34">
        <f t="shared" si="7"/>
        <v>733</v>
      </c>
      <c r="T263" s="34">
        <v>0</v>
      </c>
    </row>
    <row r="264" spans="1:20" s="3" customFormat="1" ht="24" customHeight="1">
      <c r="A264" s="51">
        <v>257</v>
      </c>
      <c r="B264" s="38">
        <v>388</v>
      </c>
      <c r="C264" s="38">
        <v>1</v>
      </c>
      <c r="D264" s="38">
        <v>77</v>
      </c>
      <c r="E264" s="38">
        <v>8</v>
      </c>
      <c r="F264" s="38">
        <v>0</v>
      </c>
      <c r="G264" s="38">
        <v>0</v>
      </c>
      <c r="H264" s="38">
        <v>1</v>
      </c>
      <c r="I264" s="38">
        <v>0</v>
      </c>
      <c r="J264" s="38">
        <v>0</v>
      </c>
      <c r="K264" s="38">
        <v>2</v>
      </c>
      <c r="L264" s="38">
        <v>2</v>
      </c>
      <c r="M264" s="38">
        <v>1</v>
      </c>
      <c r="N264" s="38">
        <v>2</v>
      </c>
      <c r="O264" s="38">
        <v>2</v>
      </c>
      <c r="P264" s="38">
        <v>2</v>
      </c>
      <c r="Q264" s="34">
        <f t="shared" si="6"/>
        <v>484</v>
      </c>
      <c r="R264" s="34">
        <v>0</v>
      </c>
      <c r="S264" s="34">
        <f t="shared" si="7"/>
        <v>486</v>
      </c>
      <c r="T264" s="34">
        <v>0</v>
      </c>
    </row>
    <row r="265" spans="1:20" s="3" customFormat="1" ht="24" customHeight="1">
      <c r="A265" s="51">
        <v>258</v>
      </c>
      <c r="B265" s="38">
        <v>268</v>
      </c>
      <c r="C265" s="38">
        <v>9</v>
      </c>
      <c r="D265" s="38">
        <v>163</v>
      </c>
      <c r="E265" s="38">
        <v>3</v>
      </c>
      <c r="F265" s="38">
        <v>0</v>
      </c>
      <c r="G265" s="38">
        <v>0</v>
      </c>
      <c r="H265" s="38">
        <v>2</v>
      </c>
      <c r="I265" s="38">
        <v>0</v>
      </c>
      <c r="J265" s="38">
        <v>0</v>
      </c>
      <c r="K265" s="38">
        <v>0</v>
      </c>
      <c r="L265" s="38">
        <v>1</v>
      </c>
      <c r="M265" s="38">
        <v>1</v>
      </c>
      <c r="N265" s="38">
        <v>0</v>
      </c>
      <c r="O265" s="38">
        <v>3</v>
      </c>
      <c r="P265" s="38">
        <v>2</v>
      </c>
      <c r="Q265" s="34">
        <f t="shared" ref="Q265:Q328" si="8">SUM(B265:O265)</f>
        <v>450</v>
      </c>
      <c r="R265" s="34">
        <v>0</v>
      </c>
      <c r="S265" s="34">
        <f t="shared" ref="S265:S328" si="9">P265+Q265</f>
        <v>452</v>
      </c>
      <c r="T265" s="34">
        <v>0</v>
      </c>
    </row>
    <row r="266" spans="1:20" s="3" customFormat="1" ht="24" customHeight="1">
      <c r="A266" s="51">
        <v>259</v>
      </c>
      <c r="B266" s="38">
        <v>311</v>
      </c>
      <c r="C266" s="38">
        <v>6</v>
      </c>
      <c r="D266" s="38">
        <v>68</v>
      </c>
      <c r="E266" s="38">
        <v>1</v>
      </c>
      <c r="F266" s="38">
        <v>1</v>
      </c>
      <c r="G266" s="38">
        <v>0</v>
      </c>
      <c r="H266" s="38">
        <v>0</v>
      </c>
      <c r="I266" s="38">
        <v>0</v>
      </c>
      <c r="J266" s="38">
        <v>0</v>
      </c>
      <c r="K266" s="38">
        <v>0</v>
      </c>
      <c r="L266" s="38">
        <v>2</v>
      </c>
      <c r="M266" s="38">
        <v>0</v>
      </c>
      <c r="N266" s="38">
        <v>1</v>
      </c>
      <c r="O266" s="38">
        <v>0</v>
      </c>
      <c r="P266" s="38">
        <v>2</v>
      </c>
      <c r="Q266" s="34">
        <f t="shared" si="8"/>
        <v>390</v>
      </c>
      <c r="R266" s="34">
        <v>0</v>
      </c>
      <c r="S266" s="34">
        <f t="shared" si="9"/>
        <v>392</v>
      </c>
      <c r="T266" s="34">
        <v>0</v>
      </c>
    </row>
    <row r="267" spans="1:20" s="3" customFormat="1" ht="24" customHeight="1">
      <c r="A267" s="51">
        <v>260</v>
      </c>
      <c r="B267" s="38">
        <v>168</v>
      </c>
      <c r="C267" s="38">
        <v>5</v>
      </c>
      <c r="D267" s="38">
        <v>250</v>
      </c>
      <c r="E267" s="38">
        <v>2</v>
      </c>
      <c r="F267" s="38">
        <v>0</v>
      </c>
      <c r="G267" s="38">
        <v>0</v>
      </c>
      <c r="H267" s="38">
        <v>0</v>
      </c>
      <c r="I267" s="38">
        <v>0</v>
      </c>
      <c r="J267" s="38">
        <v>4</v>
      </c>
      <c r="K267" s="38">
        <v>0</v>
      </c>
      <c r="L267" s="38">
        <v>0</v>
      </c>
      <c r="M267" s="38">
        <v>0</v>
      </c>
      <c r="N267" s="38">
        <v>0</v>
      </c>
      <c r="O267" s="38">
        <v>0</v>
      </c>
      <c r="P267" s="38">
        <v>0</v>
      </c>
      <c r="Q267" s="34">
        <f t="shared" si="8"/>
        <v>429</v>
      </c>
      <c r="R267" s="34">
        <v>0</v>
      </c>
      <c r="S267" s="34">
        <f t="shared" si="9"/>
        <v>429</v>
      </c>
      <c r="T267" s="34">
        <v>0</v>
      </c>
    </row>
    <row r="268" spans="1:20" s="3" customFormat="1" ht="24" customHeight="1">
      <c r="A268" s="51">
        <v>261</v>
      </c>
      <c r="B268" s="38">
        <v>135</v>
      </c>
      <c r="C268" s="38">
        <v>6</v>
      </c>
      <c r="D268" s="38">
        <v>230</v>
      </c>
      <c r="E268" s="38">
        <v>3</v>
      </c>
      <c r="F268" s="38">
        <v>0</v>
      </c>
      <c r="G268" s="38">
        <v>0</v>
      </c>
      <c r="H268" s="38">
        <v>0</v>
      </c>
      <c r="I268" s="38">
        <v>0</v>
      </c>
      <c r="J268" s="38">
        <v>12</v>
      </c>
      <c r="K268" s="38">
        <v>0</v>
      </c>
      <c r="L268" s="38">
        <v>0</v>
      </c>
      <c r="M268" s="38">
        <v>0</v>
      </c>
      <c r="N268" s="38">
        <v>2</v>
      </c>
      <c r="O268" s="38">
        <v>0</v>
      </c>
      <c r="P268" s="38">
        <v>1</v>
      </c>
      <c r="Q268" s="34">
        <f t="shared" si="8"/>
        <v>388</v>
      </c>
      <c r="R268" s="34">
        <v>0</v>
      </c>
      <c r="S268" s="34">
        <f t="shared" si="9"/>
        <v>389</v>
      </c>
      <c r="T268" s="34">
        <v>0</v>
      </c>
    </row>
    <row r="269" spans="1:20" s="3" customFormat="1" ht="24" customHeight="1">
      <c r="A269" s="51">
        <v>262</v>
      </c>
      <c r="B269" s="38">
        <v>541</v>
      </c>
      <c r="C269" s="38">
        <v>7</v>
      </c>
      <c r="D269" s="38">
        <v>67</v>
      </c>
      <c r="E269" s="38">
        <v>0</v>
      </c>
      <c r="F269" s="38">
        <v>1</v>
      </c>
      <c r="G269" s="38">
        <v>0</v>
      </c>
      <c r="H269" s="38">
        <v>0</v>
      </c>
      <c r="I269" s="38">
        <v>0</v>
      </c>
      <c r="J269" s="38">
        <v>1</v>
      </c>
      <c r="K269" s="38">
        <v>0</v>
      </c>
      <c r="L269" s="38">
        <v>0</v>
      </c>
      <c r="M269" s="38">
        <v>2</v>
      </c>
      <c r="N269" s="38">
        <v>4</v>
      </c>
      <c r="O269" s="38">
        <v>1</v>
      </c>
      <c r="P269" s="38">
        <v>7</v>
      </c>
      <c r="Q269" s="34">
        <f t="shared" si="8"/>
        <v>624</v>
      </c>
      <c r="R269" s="34">
        <v>0</v>
      </c>
      <c r="S269" s="34">
        <f t="shared" si="9"/>
        <v>631</v>
      </c>
      <c r="T269" s="34">
        <v>0</v>
      </c>
    </row>
    <row r="270" spans="1:20" s="3" customFormat="1" ht="24" customHeight="1">
      <c r="A270" s="51">
        <v>263</v>
      </c>
      <c r="B270" s="38">
        <v>92</v>
      </c>
      <c r="C270" s="38">
        <v>82</v>
      </c>
      <c r="D270" s="38">
        <v>63</v>
      </c>
      <c r="E270" s="38">
        <v>0</v>
      </c>
      <c r="F270" s="38">
        <v>0</v>
      </c>
      <c r="G270" s="38">
        <v>0</v>
      </c>
      <c r="H270" s="38">
        <v>0</v>
      </c>
      <c r="I270" s="38">
        <v>0</v>
      </c>
      <c r="J270" s="38">
        <v>0</v>
      </c>
      <c r="K270" s="38">
        <v>0</v>
      </c>
      <c r="L270" s="38">
        <v>0</v>
      </c>
      <c r="M270" s="38">
        <v>0</v>
      </c>
      <c r="N270" s="38">
        <v>0</v>
      </c>
      <c r="O270" s="38">
        <v>2</v>
      </c>
      <c r="P270" s="38">
        <v>0</v>
      </c>
      <c r="Q270" s="34">
        <f t="shared" si="8"/>
        <v>239</v>
      </c>
      <c r="R270" s="34">
        <v>0</v>
      </c>
      <c r="S270" s="34">
        <f t="shared" si="9"/>
        <v>239</v>
      </c>
      <c r="T270" s="34">
        <v>0</v>
      </c>
    </row>
    <row r="271" spans="1:20" s="3" customFormat="1" ht="24" customHeight="1">
      <c r="A271" s="51">
        <v>264</v>
      </c>
      <c r="B271" s="38">
        <v>201</v>
      </c>
      <c r="C271" s="38">
        <v>37</v>
      </c>
      <c r="D271" s="38">
        <v>145</v>
      </c>
      <c r="E271" s="38">
        <v>2</v>
      </c>
      <c r="F271" s="38">
        <v>0</v>
      </c>
      <c r="G271" s="38">
        <v>0</v>
      </c>
      <c r="H271" s="38">
        <v>0</v>
      </c>
      <c r="I271" s="38">
        <v>0</v>
      </c>
      <c r="J271" s="38">
        <v>3</v>
      </c>
      <c r="K271" s="38">
        <v>0</v>
      </c>
      <c r="L271" s="38">
        <v>0</v>
      </c>
      <c r="M271" s="38">
        <v>0</v>
      </c>
      <c r="N271" s="38">
        <v>0</v>
      </c>
      <c r="O271" s="38">
        <v>0</v>
      </c>
      <c r="P271" s="38">
        <v>1</v>
      </c>
      <c r="Q271" s="34">
        <f t="shared" si="8"/>
        <v>388</v>
      </c>
      <c r="R271" s="34">
        <v>0</v>
      </c>
      <c r="S271" s="34">
        <f t="shared" si="9"/>
        <v>389</v>
      </c>
      <c r="T271" s="34">
        <v>0</v>
      </c>
    </row>
    <row r="272" spans="1:20" s="3" customFormat="1" ht="24" customHeight="1">
      <c r="A272" s="51">
        <v>265</v>
      </c>
      <c r="B272" s="38">
        <v>111</v>
      </c>
      <c r="C272" s="38">
        <v>2</v>
      </c>
      <c r="D272" s="38">
        <v>244</v>
      </c>
      <c r="E272" s="38">
        <v>1</v>
      </c>
      <c r="F272" s="38">
        <v>0</v>
      </c>
      <c r="G272" s="38">
        <v>0</v>
      </c>
      <c r="H272" s="38">
        <v>0</v>
      </c>
      <c r="I272" s="38">
        <v>1</v>
      </c>
      <c r="J272" s="38">
        <v>10</v>
      </c>
      <c r="K272" s="38">
        <v>0</v>
      </c>
      <c r="L272" s="38">
        <v>0</v>
      </c>
      <c r="M272" s="38">
        <v>2</v>
      </c>
      <c r="N272" s="38">
        <v>1</v>
      </c>
      <c r="O272" s="38">
        <v>0</v>
      </c>
      <c r="P272" s="38">
        <v>3</v>
      </c>
      <c r="Q272" s="34">
        <f t="shared" si="8"/>
        <v>372</v>
      </c>
      <c r="R272" s="34">
        <v>0</v>
      </c>
      <c r="S272" s="34">
        <f t="shared" si="9"/>
        <v>375</v>
      </c>
      <c r="T272" s="34">
        <v>0</v>
      </c>
    </row>
    <row r="273" spans="1:20" s="3" customFormat="1" ht="24" customHeight="1">
      <c r="A273" s="51">
        <v>266</v>
      </c>
      <c r="B273" s="38">
        <v>141</v>
      </c>
      <c r="C273" s="38">
        <v>50</v>
      </c>
      <c r="D273" s="38">
        <v>281</v>
      </c>
      <c r="E273" s="38">
        <v>1</v>
      </c>
      <c r="F273" s="38">
        <v>0</v>
      </c>
      <c r="G273" s="38">
        <v>0</v>
      </c>
      <c r="H273" s="38">
        <v>0</v>
      </c>
      <c r="I273" s="38">
        <v>0</v>
      </c>
      <c r="J273" s="38">
        <v>22</v>
      </c>
      <c r="K273" s="38">
        <v>0</v>
      </c>
      <c r="L273" s="38">
        <v>0</v>
      </c>
      <c r="M273" s="38">
        <v>0</v>
      </c>
      <c r="N273" s="38">
        <v>3</v>
      </c>
      <c r="O273" s="38">
        <v>0</v>
      </c>
      <c r="P273" s="38">
        <v>1</v>
      </c>
      <c r="Q273" s="34">
        <f t="shared" si="8"/>
        <v>498</v>
      </c>
      <c r="R273" s="34">
        <v>0</v>
      </c>
      <c r="S273" s="34">
        <f t="shared" si="9"/>
        <v>499</v>
      </c>
      <c r="T273" s="34">
        <v>0</v>
      </c>
    </row>
    <row r="274" spans="1:20" s="3" customFormat="1" ht="24" customHeight="1">
      <c r="A274" s="46">
        <v>267</v>
      </c>
      <c r="B274" s="38">
        <v>92</v>
      </c>
      <c r="C274" s="38">
        <v>6</v>
      </c>
      <c r="D274" s="38">
        <v>347</v>
      </c>
      <c r="E274" s="38">
        <v>5</v>
      </c>
      <c r="F274" s="38">
        <v>1</v>
      </c>
      <c r="G274" s="38">
        <v>0</v>
      </c>
      <c r="H274" s="38">
        <v>1</v>
      </c>
      <c r="I274" s="38">
        <v>0</v>
      </c>
      <c r="J274" s="38">
        <v>14</v>
      </c>
      <c r="K274" s="38">
        <v>1</v>
      </c>
      <c r="L274" s="38">
        <v>18</v>
      </c>
      <c r="M274" s="38">
        <v>1</v>
      </c>
      <c r="N274" s="38">
        <v>1</v>
      </c>
      <c r="O274" s="38">
        <v>0</v>
      </c>
      <c r="P274" s="38">
        <v>0</v>
      </c>
      <c r="Q274" s="34">
        <f t="shared" si="8"/>
        <v>487</v>
      </c>
      <c r="R274" s="34">
        <v>0</v>
      </c>
      <c r="S274" s="34">
        <f t="shared" si="9"/>
        <v>487</v>
      </c>
      <c r="T274" s="34">
        <v>0</v>
      </c>
    </row>
    <row r="275" spans="1:20" s="3" customFormat="1" ht="24" customHeight="1">
      <c r="A275" s="46">
        <v>268</v>
      </c>
      <c r="B275" s="38">
        <v>80</v>
      </c>
      <c r="C275" s="38">
        <v>23</v>
      </c>
      <c r="D275" s="38">
        <v>303</v>
      </c>
      <c r="E275" s="38">
        <v>0</v>
      </c>
      <c r="F275" s="38">
        <v>0</v>
      </c>
      <c r="G275" s="38">
        <v>0</v>
      </c>
      <c r="H275" s="38">
        <v>0</v>
      </c>
      <c r="I275" s="38">
        <v>0</v>
      </c>
      <c r="J275" s="38">
        <v>16</v>
      </c>
      <c r="K275" s="38">
        <v>0</v>
      </c>
      <c r="L275" s="38">
        <v>1</v>
      </c>
      <c r="M275" s="38">
        <v>2</v>
      </c>
      <c r="N275" s="38">
        <v>3</v>
      </c>
      <c r="O275" s="38">
        <v>0</v>
      </c>
      <c r="P275" s="38">
        <v>1</v>
      </c>
      <c r="Q275" s="34">
        <f t="shared" si="8"/>
        <v>428</v>
      </c>
      <c r="R275" s="34">
        <v>0</v>
      </c>
      <c r="S275" s="34">
        <f t="shared" si="9"/>
        <v>429</v>
      </c>
      <c r="T275" s="34">
        <v>0</v>
      </c>
    </row>
    <row r="276" spans="1:20" s="3" customFormat="1" ht="24" customHeight="1">
      <c r="A276" s="46">
        <v>269</v>
      </c>
      <c r="B276" s="38">
        <v>170</v>
      </c>
      <c r="C276" s="38">
        <v>8</v>
      </c>
      <c r="D276" s="38">
        <v>277</v>
      </c>
      <c r="E276" s="38">
        <v>0</v>
      </c>
      <c r="F276" s="38">
        <v>0</v>
      </c>
      <c r="G276" s="38">
        <v>0</v>
      </c>
      <c r="H276" s="38">
        <v>0</v>
      </c>
      <c r="I276" s="38">
        <v>0</v>
      </c>
      <c r="J276" s="38">
        <v>7</v>
      </c>
      <c r="K276" s="38">
        <v>0</v>
      </c>
      <c r="L276" s="38">
        <v>0</v>
      </c>
      <c r="M276" s="38">
        <v>0</v>
      </c>
      <c r="N276" s="38">
        <v>0</v>
      </c>
      <c r="O276" s="38">
        <v>0</v>
      </c>
      <c r="P276" s="38">
        <v>1</v>
      </c>
      <c r="Q276" s="34">
        <f t="shared" si="8"/>
        <v>462</v>
      </c>
      <c r="R276" s="34">
        <v>0</v>
      </c>
      <c r="S276" s="34">
        <f t="shared" si="9"/>
        <v>463</v>
      </c>
      <c r="T276" s="34">
        <v>0</v>
      </c>
    </row>
    <row r="277" spans="1:20" s="3" customFormat="1" ht="24" customHeight="1">
      <c r="A277" s="46">
        <v>270</v>
      </c>
      <c r="B277" s="38">
        <v>209</v>
      </c>
      <c r="C277" s="38">
        <v>109</v>
      </c>
      <c r="D277" s="38">
        <v>188</v>
      </c>
      <c r="E277" s="38">
        <v>1</v>
      </c>
      <c r="F277" s="38">
        <v>2</v>
      </c>
      <c r="G277" s="38">
        <v>0</v>
      </c>
      <c r="H277" s="38">
        <v>0</v>
      </c>
      <c r="I277" s="38">
        <v>1</v>
      </c>
      <c r="J277" s="38">
        <v>1</v>
      </c>
      <c r="K277" s="38">
        <v>1</v>
      </c>
      <c r="L277" s="38">
        <v>0</v>
      </c>
      <c r="M277" s="38">
        <v>0</v>
      </c>
      <c r="N277" s="38">
        <v>2</v>
      </c>
      <c r="O277" s="38">
        <v>0</v>
      </c>
      <c r="P277" s="38">
        <v>1</v>
      </c>
      <c r="Q277" s="34">
        <f t="shared" si="8"/>
        <v>514</v>
      </c>
      <c r="R277" s="34">
        <v>0</v>
      </c>
      <c r="S277" s="34">
        <f t="shared" si="9"/>
        <v>515</v>
      </c>
      <c r="T277" s="34">
        <v>0</v>
      </c>
    </row>
    <row r="278" spans="1:20" s="3" customFormat="1" ht="24" customHeight="1">
      <c r="A278" s="46">
        <v>271</v>
      </c>
      <c r="B278" s="38">
        <v>326</v>
      </c>
      <c r="C278" s="38">
        <v>51</v>
      </c>
      <c r="D278" s="38">
        <v>114</v>
      </c>
      <c r="E278" s="38">
        <v>4</v>
      </c>
      <c r="F278" s="38">
        <v>0</v>
      </c>
      <c r="G278" s="38">
        <v>0</v>
      </c>
      <c r="H278" s="38">
        <v>0</v>
      </c>
      <c r="I278" s="38">
        <v>1</v>
      </c>
      <c r="J278" s="38">
        <v>2</v>
      </c>
      <c r="K278" s="38">
        <v>0</v>
      </c>
      <c r="L278" s="38">
        <v>0</v>
      </c>
      <c r="M278" s="38">
        <v>1</v>
      </c>
      <c r="N278" s="38">
        <v>1</v>
      </c>
      <c r="O278" s="38">
        <v>1</v>
      </c>
      <c r="P278" s="38">
        <v>3</v>
      </c>
      <c r="Q278" s="34">
        <f t="shared" si="8"/>
        <v>501</v>
      </c>
      <c r="R278" s="34">
        <v>0</v>
      </c>
      <c r="S278" s="34">
        <f t="shared" si="9"/>
        <v>504</v>
      </c>
      <c r="T278" s="34">
        <v>0</v>
      </c>
    </row>
    <row r="279" spans="1:20" s="3" customFormat="1" ht="24" customHeight="1">
      <c r="A279" s="46">
        <v>272</v>
      </c>
      <c r="B279" s="38">
        <v>270</v>
      </c>
      <c r="C279" s="38">
        <v>7</v>
      </c>
      <c r="D279" s="38">
        <v>214</v>
      </c>
      <c r="E279" s="38">
        <v>1</v>
      </c>
      <c r="F279" s="38">
        <v>0</v>
      </c>
      <c r="G279" s="38">
        <v>1</v>
      </c>
      <c r="H279" s="38">
        <v>0</v>
      </c>
      <c r="I279" s="38">
        <v>0</v>
      </c>
      <c r="J279" s="38">
        <v>6</v>
      </c>
      <c r="K279" s="38">
        <v>1</v>
      </c>
      <c r="L279" s="38">
        <v>0</v>
      </c>
      <c r="M279" s="38">
        <v>2</v>
      </c>
      <c r="N279" s="38">
        <v>1</v>
      </c>
      <c r="O279" s="38">
        <v>0</v>
      </c>
      <c r="P279" s="38">
        <v>2</v>
      </c>
      <c r="Q279" s="34">
        <f t="shared" si="8"/>
        <v>503</v>
      </c>
      <c r="R279" s="34">
        <v>0</v>
      </c>
      <c r="S279" s="34">
        <f t="shared" si="9"/>
        <v>505</v>
      </c>
      <c r="T279" s="34">
        <v>0</v>
      </c>
    </row>
    <row r="280" spans="1:20" s="3" customFormat="1" ht="24" customHeight="1">
      <c r="A280" s="46">
        <v>273</v>
      </c>
      <c r="B280" s="38">
        <v>329</v>
      </c>
      <c r="C280" s="38">
        <v>36</v>
      </c>
      <c r="D280" s="38">
        <v>127</v>
      </c>
      <c r="E280" s="38">
        <v>3</v>
      </c>
      <c r="F280" s="38">
        <v>0</v>
      </c>
      <c r="G280" s="38">
        <v>0</v>
      </c>
      <c r="H280" s="38">
        <v>1</v>
      </c>
      <c r="I280" s="38">
        <v>0</v>
      </c>
      <c r="J280" s="38">
        <v>4</v>
      </c>
      <c r="K280" s="38">
        <v>0</v>
      </c>
      <c r="L280" s="38">
        <v>0</v>
      </c>
      <c r="M280" s="38">
        <v>1</v>
      </c>
      <c r="N280" s="38">
        <v>3</v>
      </c>
      <c r="O280" s="38">
        <v>0</v>
      </c>
      <c r="P280" s="38">
        <v>5</v>
      </c>
      <c r="Q280" s="34">
        <f t="shared" si="8"/>
        <v>504</v>
      </c>
      <c r="R280" s="34">
        <v>0</v>
      </c>
      <c r="S280" s="34">
        <f t="shared" si="9"/>
        <v>509</v>
      </c>
      <c r="T280" s="34">
        <v>0</v>
      </c>
    </row>
    <row r="281" spans="1:20" s="3" customFormat="1" ht="24" customHeight="1">
      <c r="A281" s="46">
        <v>274</v>
      </c>
      <c r="B281" s="38">
        <v>168</v>
      </c>
      <c r="C281" s="38">
        <v>68</v>
      </c>
      <c r="D281" s="38">
        <v>310</v>
      </c>
      <c r="E281" s="38">
        <v>1</v>
      </c>
      <c r="F281" s="38">
        <v>0</v>
      </c>
      <c r="G281" s="38">
        <v>0</v>
      </c>
      <c r="H281" s="38">
        <v>0</v>
      </c>
      <c r="I281" s="38">
        <v>1</v>
      </c>
      <c r="J281" s="38">
        <v>38</v>
      </c>
      <c r="K281" s="38">
        <v>2</v>
      </c>
      <c r="L281" s="38">
        <v>0</v>
      </c>
      <c r="M281" s="38">
        <v>1</v>
      </c>
      <c r="N281" s="38">
        <v>2</v>
      </c>
      <c r="O281" s="38">
        <v>1</v>
      </c>
      <c r="P281" s="38">
        <v>2</v>
      </c>
      <c r="Q281" s="34">
        <f t="shared" si="8"/>
        <v>592</v>
      </c>
      <c r="R281" s="34">
        <v>0</v>
      </c>
      <c r="S281" s="34">
        <f t="shared" si="9"/>
        <v>594</v>
      </c>
      <c r="T281" s="34">
        <v>0</v>
      </c>
    </row>
    <row r="282" spans="1:20" s="3" customFormat="1" ht="24" customHeight="1">
      <c r="A282" s="46">
        <v>275</v>
      </c>
      <c r="B282" s="38">
        <v>226</v>
      </c>
      <c r="C282" s="38">
        <v>20</v>
      </c>
      <c r="D282" s="38">
        <v>201</v>
      </c>
      <c r="E282" s="38">
        <v>0</v>
      </c>
      <c r="F282" s="38">
        <v>1</v>
      </c>
      <c r="G282" s="38">
        <v>0</v>
      </c>
      <c r="H282" s="38">
        <v>0</v>
      </c>
      <c r="I282" s="38">
        <v>0</v>
      </c>
      <c r="J282" s="38">
        <v>1</v>
      </c>
      <c r="K282" s="38">
        <v>0</v>
      </c>
      <c r="L282" s="38">
        <v>4</v>
      </c>
      <c r="M282" s="38">
        <v>1</v>
      </c>
      <c r="N282" s="38">
        <v>2</v>
      </c>
      <c r="O282" s="38">
        <v>1</v>
      </c>
      <c r="P282" s="38">
        <v>7</v>
      </c>
      <c r="Q282" s="34">
        <f t="shared" si="8"/>
        <v>457</v>
      </c>
      <c r="R282" s="34">
        <v>0</v>
      </c>
      <c r="S282" s="34">
        <f t="shared" si="9"/>
        <v>464</v>
      </c>
      <c r="T282" s="34">
        <v>0</v>
      </c>
    </row>
    <row r="283" spans="1:20" s="3" customFormat="1" ht="24" customHeight="1">
      <c r="A283" s="46">
        <v>276</v>
      </c>
      <c r="B283" s="38">
        <v>507</v>
      </c>
      <c r="C283" s="38">
        <v>20</v>
      </c>
      <c r="D283" s="38">
        <v>174</v>
      </c>
      <c r="E283" s="38">
        <v>1</v>
      </c>
      <c r="F283" s="38">
        <v>1</v>
      </c>
      <c r="G283" s="38">
        <v>0</v>
      </c>
      <c r="H283" s="38">
        <v>0</v>
      </c>
      <c r="I283" s="38">
        <v>0</v>
      </c>
      <c r="J283" s="38">
        <v>0</v>
      </c>
      <c r="K283" s="38">
        <v>1</v>
      </c>
      <c r="L283" s="38">
        <v>2</v>
      </c>
      <c r="M283" s="38">
        <v>0</v>
      </c>
      <c r="N283" s="38">
        <v>3</v>
      </c>
      <c r="O283" s="38">
        <v>2</v>
      </c>
      <c r="P283" s="38">
        <v>6</v>
      </c>
      <c r="Q283" s="34">
        <f t="shared" si="8"/>
        <v>711</v>
      </c>
      <c r="R283" s="34">
        <v>0</v>
      </c>
      <c r="S283" s="34">
        <f t="shared" si="9"/>
        <v>717</v>
      </c>
      <c r="T283" s="34">
        <v>0</v>
      </c>
    </row>
    <row r="284" spans="1:20" s="3" customFormat="1" ht="24" customHeight="1">
      <c r="A284" s="46">
        <v>277</v>
      </c>
      <c r="B284" s="38">
        <v>521</v>
      </c>
      <c r="C284" s="38">
        <v>39</v>
      </c>
      <c r="D284" s="38">
        <v>163</v>
      </c>
      <c r="E284" s="38">
        <v>5</v>
      </c>
      <c r="F284" s="38">
        <v>2</v>
      </c>
      <c r="G284" s="38">
        <v>2</v>
      </c>
      <c r="H284" s="38">
        <v>0</v>
      </c>
      <c r="I284" s="38">
        <v>0</v>
      </c>
      <c r="J284" s="38">
        <v>2</v>
      </c>
      <c r="K284" s="38">
        <v>0</v>
      </c>
      <c r="L284" s="38">
        <v>0</v>
      </c>
      <c r="M284" s="38">
        <v>1</v>
      </c>
      <c r="N284" s="38">
        <v>2</v>
      </c>
      <c r="O284" s="38">
        <v>2</v>
      </c>
      <c r="P284" s="38">
        <v>9</v>
      </c>
      <c r="Q284" s="34">
        <f t="shared" si="8"/>
        <v>739</v>
      </c>
      <c r="R284" s="34">
        <v>0</v>
      </c>
      <c r="S284" s="34">
        <f t="shared" si="9"/>
        <v>748</v>
      </c>
      <c r="T284" s="34">
        <v>0</v>
      </c>
    </row>
    <row r="285" spans="1:20" s="3" customFormat="1" ht="24" customHeight="1">
      <c r="A285" s="46">
        <v>278</v>
      </c>
      <c r="B285" s="38">
        <v>366</v>
      </c>
      <c r="C285" s="38">
        <v>17</v>
      </c>
      <c r="D285" s="38">
        <v>267</v>
      </c>
      <c r="E285" s="38">
        <v>1</v>
      </c>
      <c r="F285" s="38">
        <v>2</v>
      </c>
      <c r="G285" s="38">
        <v>0</v>
      </c>
      <c r="H285" s="38">
        <v>1</v>
      </c>
      <c r="I285" s="38">
        <v>0</v>
      </c>
      <c r="J285" s="38">
        <v>0</v>
      </c>
      <c r="K285" s="38">
        <v>2</v>
      </c>
      <c r="L285" s="38">
        <v>3</v>
      </c>
      <c r="M285" s="38">
        <v>2</v>
      </c>
      <c r="N285" s="38">
        <v>1</v>
      </c>
      <c r="O285" s="38">
        <v>4</v>
      </c>
      <c r="P285" s="38">
        <v>4</v>
      </c>
      <c r="Q285" s="34">
        <f t="shared" si="8"/>
        <v>666</v>
      </c>
      <c r="R285" s="34">
        <v>0</v>
      </c>
      <c r="S285" s="34">
        <f t="shared" si="9"/>
        <v>670</v>
      </c>
      <c r="T285" s="34">
        <v>0</v>
      </c>
    </row>
    <row r="286" spans="1:20" s="3" customFormat="1" ht="24" customHeight="1">
      <c r="A286" s="46">
        <v>279</v>
      </c>
      <c r="B286" s="38">
        <v>348</v>
      </c>
      <c r="C286" s="38">
        <v>81</v>
      </c>
      <c r="D286" s="38">
        <v>140</v>
      </c>
      <c r="E286" s="38">
        <v>2</v>
      </c>
      <c r="F286" s="38">
        <v>1</v>
      </c>
      <c r="G286" s="38">
        <v>0</v>
      </c>
      <c r="H286" s="38">
        <v>1</v>
      </c>
      <c r="I286" s="38">
        <v>1</v>
      </c>
      <c r="J286" s="38">
        <v>0</v>
      </c>
      <c r="K286" s="38">
        <v>3</v>
      </c>
      <c r="L286" s="38">
        <v>0</v>
      </c>
      <c r="M286" s="38">
        <v>2</v>
      </c>
      <c r="N286" s="38">
        <v>5</v>
      </c>
      <c r="O286" s="38">
        <v>0</v>
      </c>
      <c r="P286" s="38">
        <v>4</v>
      </c>
      <c r="Q286" s="34">
        <f t="shared" si="8"/>
        <v>584</v>
      </c>
      <c r="R286" s="34">
        <v>0</v>
      </c>
      <c r="S286" s="34">
        <f t="shared" si="9"/>
        <v>588</v>
      </c>
      <c r="T286" s="34">
        <v>0</v>
      </c>
    </row>
    <row r="287" spans="1:20" s="3" customFormat="1" ht="24" customHeight="1">
      <c r="A287" s="46">
        <v>280</v>
      </c>
      <c r="B287" s="38">
        <v>293</v>
      </c>
      <c r="C287" s="38">
        <v>61</v>
      </c>
      <c r="D287" s="38">
        <v>318</v>
      </c>
      <c r="E287" s="38">
        <v>9</v>
      </c>
      <c r="F287" s="38">
        <v>2</v>
      </c>
      <c r="G287" s="38">
        <v>0</v>
      </c>
      <c r="H287" s="38">
        <v>1</v>
      </c>
      <c r="I287" s="38">
        <v>2</v>
      </c>
      <c r="J287" s="38">
        <v>0</v>
      </c>
      <c r="K287" s="38">
        <v>2</v>
      </c>
      <c r="L287" s="38">
        <v>0</v>
      </c>
      <c r="M287" s="38">
        <v>3</v>
      </c>
      <c r="N287" s="38">
        <v>3</v>
      </c>
      <c r="O287" s="38">
        <v>2</v>
      </c>
      <c r="P287" s="38">
        <v>1</v>
      </c>
      <c r="Q287" s="34">
        <f t="shared" si="8"/>
        <v>696</v>
      </c>
      <c r="R287" s="34">
        <v>0</v>
      </c>
      <c r="S287" s="34">
        <f t="shared" si="9"/>
        <v>697</v>
      </c>
      <c r="T287" s="34">
        <v>0</v>
      </c>
    </row>
    <row r="288" spans="1:20" s="3" customFormat="1" ht="24" customHeight="1">
      <c r="A288" s="50">
        <v>281</v>
      </c>
      <c r="B288" s="38">
        <v>124</v>
      </c>
      <c r="C288" s="38">
        <v>20</v>
      </c>
      <c r="D288" s="38">
        <v>188</v>
      </c>
      <c r="E288" s="38">
        <v>2</v>
      </c>
      <c r="F288" s="38">
        <v>0</v>
      </c>
      <c r="G288" s="38">
        <v>0</v>
      </c>
      <c r="H288" s="38">
        <v>1</v>
      </c>
      <c r="I288" s="38">
        <v>0</v>
      </c>
      <c r="J288" s="38">
        <v>0</v>
      </c>
      <c r="K288" s="38">
        <v>1</v>
      </c>
      <c r="L288" s="38">
        <v>0</v>
      </c>
      <c r="M288" s="38">
        <v>4</v>
      </c>
      <c r="N288" s="38">
        <v>3</v>
      </c>
      <c r="O288" s="38">
        <v>2</v>
      </c>
      <c r="P288" s="38">
        <v>1</v>
      </c>
      <c r="Q288" s="34">
        <f t="shared" si="8"/>
        <v>345</v>
      </c>
      <c r="R288" s="34">
        <v>0</v>
      </c>
      <c r="S288" s="34">
        <f t="shared" si="9"/>
        <v>346</v>
      </c>
      <c r="T288" s="34">
        <v>0</v>
      </c>
    </row>
    <row r="289" spans="1:20" s="3" customFormat="1" ht="24" customHeight="1">
      <c r="A289" s="50">
        <v>282</v>
      </c>
      <c r="B289" s="38">
        <v>308</v>
      </c>
      <c r="C289" s="38">
        <v>2</v>
      </c>
      <c r="D289" s="38">
        <v>78</v>
      </c>
      <c r="E289" s="38">
        <v>9</v>
      </c>
      <c r="F289" s="38">
        <v>1</v>
      </c>
      <c r="G289" s="38">
        <v>0</v>
      </c>
      <c r="H289" s="38">
        <v>0</v>
      </c>
      <c r="I289" s="38">
        <v>0</v>
      </c>
      <c r="J289" s="38">
        <v>1</v>
      </c>
      <c r="K289" s="38">
        <v>0</v>
      </c>
      <c r="L289" s="38">
        <v>1</v>
      </c>
      <c r="M289" s="38">
        <v>1</v>
      </c>
      <c r="N289" s="38">
        <v>3</v>
      </c>
      <c r="O289" s="38">
        <v>2</v>
      </c>
      <c r="P289" s="38">
        <v>4</v>
      </c>
      <c r="Q289" s="34">
        <f t="shared" si="8"/>
        <v>406</v>
      </c>
      <c r="R289" s="34">
        <v>0</v>
      </c>
      <c r="S289" s="34">
        <f t="shared" si="9"/>
        <v>410</v>
      </c>
      <c r="T289" s="34">
        <v>0</v>
      </c>
    </row>
    <row r="290" spans="1:20" s="3" customFormat="1" ht="24" customHeight="1">
      <c r="A290" s="50">
        <v>283</v>
      </c>
      <c r="B290" s="38">
        <v>296</v>
      </c>
      <c r="C290" s="38">
        <v>132</v>
      </c>
      <c r="D290" s="38">
        <v>113</v>
      </c>
      <c r="E290" s="38">
        <v>7</v>
      </c>
      <c r="F290" s="38">
        <v>2</v>
      </c>
      <c r="G290" s="38">
        <v>1</v>
      </c>
      <c r="H290" s="38">
        <v>1</v>
      </c>
      <c r="I290" s="38">
        <v>2</v>
      </c>
      <c r="J290" s="38">
        <v>1</v>
      </c>
      <c r="K290" s="38">
        <v>1</v>
      </c>
      <c r="L290" s="38">
        <v>2</v>
      </c>
      <c r="M290" s="38">
        <v>4</v>
      </c>
      <c r="N290" s="38">
        <v>9</v>
      </c>
      <c r="O290" s="38">
        <v>2</v>
      </c>
      <c r="P290" s="38">
        <v>22</v>
      </c>
      <c r="Q290" s="34">
        <f t="shared" si="8"/>
        <v>573</v>
      </c>
      <c r="R290" s="34">
        <v>0</v>
      </c>
      <c r="S290" s="34">
        <f t="shared" si="9"/>
        <v>595</v>
      </c>
      <c r="T290" s="34">
        <v>0</v>
      </c>
    </row>
    <row r="291" spans="1:20" s="3" customFormat="1" ht="24" customHeight="1">
      <c r="A291" s="50">
        <v>284</v>
      </c>
      <c r="B291" s="38">
        <v>240</v>
      </c>
      <c r="C291" s="38">
        <v>72</v>
      </c>
      <c r="D291" s="38">
        <v>91</v>
      </c>
      <c r="E291" s="38">
        <v>5</v>
      </c>
      <c r="F291" s="38">
        <v>0</v>
      </c>
      <c r="G291" s="38">
        <v>1</v>
      </c>
      <c r="H291" s="38">
        <v>0</v>
      </c>
      <c r="I291" s="38">
        <v>1</v>
      </c>
      <c r="J291" s="38">
        <v>1</v>
      </c>
      <c r="K291" s="38">
        <v>2</v>
      </c>
      <c r="L291" s="38">
        <v>1</v>
      </c>
      <c r="M291" s="38">
        <v>0</v>
      </c>
      <c r="N291" s="38">
        <v>0</v>
      </c>
      <c r="O291" s="38">
        <v>1</v>
      </c>
      <c r="P291" s="38">
        <v>3</v>
      </c>
      <c r="Q291" s="34">
        <f t="shared" si="8"/>
        <v>415</v>
      </c>
      <c r="R291" s="34">
        <v>0</v>
      </c>
      <c r="S291" s="34">
        <f t="shared" si="9"/>
        <v>418</v>
      </c>
      <c r="T291" s="34">
        <v>0</v>
      </c>
    </row>
    <row r="292" spans="1:20" s="3" customFormat="1" ht="24" customHeight="1">
      <c r="A292" s="50">
        <v>285</v>
      </c>
      <c r="B292" s="38">
        <v>178</v>
      </c>
      <c r="C292" s="38">
        <v>54</v>
      </c>
      <c r="D292" s="38">
        <v>194</v>
      </c>
      <c r="E292" s="38">
        <v>0</v>
      </c>
      <c r="F292" s="38">
        <v>0</v>
      </c>
      <c r="G292" s="38">
        <v>0</v>
      </c>
      <c r="H292" s="38">
        <v>0</v>
      </c>
      <c r="I292" s="38">
        <v>5</v>
      </c>
      <c r="J292" s="38">
        <v>1</v>
      </c>
      <c r="K292" s="38">
        <v>1</v>
      </c>
      <c r="L292" s="38">
        <v>1</v>
      </c>
      <c r="M292" s="38">
        <v>1</v>
      </c>
      <c r="N292" s="38">
        <v>3</v>
      </c>
      <c r="O292" s="38">
        <v>1</v>
      </c>
      <c r="P292" s="38">
        <v>7</v>
      </c>
      <c r="Q292" s="34">
        <f t="shared" si="8"/>
        <v>439</v>
      </c>
      <c r="R292" s="34">
        <v>0</v>
      </c>
      <c r="S292" s="34">
        <f t="shared" si="9"/>
        <v>446</v>
      </c>
      <c r="T292" s="34">
        <v>0</v>
      </c>
    </row>
    <row r="293" spans="1:20" s="3" customFormat="1" ht="24" customHeight="1">
      <c r="A293" s="50">
        <v>286</v>
      </c>
      <c r="B293" s="38">
        <v>134</v>
      </c>
      <c r="C293" s="38">
        <v>47</v>
      </c>
      <c r="D293" s="38">
        <v>265</v>
      </c>
      <c r="E293" s="38">
        <v>2</v>
      </c>
      <c r="F293" s="38">
        <v>0</v>
      </c>
      <c r="G293" s="38">
        <v>0</v>
      </c>
      <c r="H293" s="38">
        <v>1</v>
      </c>
      <c r="I293" s="38">
        <v>4</v>
      </c>
      <c r="J293" s="38">
        <v>1</v>
      </c>
      <c r="K293" s="38">
        <v>1</v>
      </c>
      <c r="L293" s="38">
        <v>2</v>
      </c>
      <c r="M293" s="38">
        <v>1</v>
      </c>
      <c r="N293" s="38">
        <v>3</v>
      </c>
      <c r="O293" s="38">
        <v>0</v>
      </c>
      <c r="P293" s="38">
        <v>5</v>
      </c>
      <c r="Q293" s="34">
        <f t="shared" si="8"/>
        <v>461</v>
      </c>
      <c r="R293" s="34">
        <v>0</v>
      </c>
      <c r="S293" s="34">
        <f t="shared" si="9"/>
        <v>466</v>
      </c>
      <c r="T293" s="34">
        <v>0</v>
      </c>
    </row>
    <row r="294" spans="1:20" s="3" customFormat="1" ht="24" customHeight="1">
      <c r="A294" s="50">
        <v>287</v>
      </c>
      <c r="B294" s="38">
        <v>180</v>
      </c>
      <c r="C294" s="38">
        <v>30</v>
      </c>
      <c r="D294" s="38">
        <v>214</v>
      </c>
      <c r="E294" s="38">
        <v>2</v>
      </c>
      <c r="F294" s="38">
        <v>0</v>
      </c>
      <c r="G294" s="38">
        <v>1</v>
      </c>
      <c r="H294" s="38">
        <v>0</v>
      </c>
      <c r="I294" s="38">
        <v>0</v>
      </c>
      <c r="J294" s="38">
        <v>2</v>
      </c>
      <c r="K294" s="38">
        <v>0</v>
      </c>
      <c r="L294" s="38">
        <v>1</v>
      </c>
      <c r="M294" s="38">
        <v>1</v>
      </c>
      <c r="N294" s="38">
        <v>1</v>
      </c>
      <c r="O294" s="38">
        <v>3</v>
      </c>
      <c r="P294" s="38">
        <v>3</v>
      </c>
      <c r="Q294" s="34">
        <f t="shared" si="8"/>
        <v>435</v>
      </c>
      <c r="R294" s="34">
        <v>0</v>
      </c>
      <c r="S294" s="34">
        <f t="shared" si="9"/>
        <v>438</v>
      </c>
      <c r="T294" s="34">
        <v>0</v>
      </c>
    </row>
    <row r="295" spans="1:20" s="3" customFormat="1" ht="24" customHeight="1">
      <c r="A295" s="50">
        <v>288</v>
      </c>
      <c r="B295" s="38">
        <v>242</v>
      </c>
      <c r="C295" s="38">
        <v>26</v>
      </c>
      <c r="D295" s="38">
        <v>123</v>
      </c>
      <c r="E295" s="38">
        <v>4</v>
      </c>
      <c r="F295" s="38">
        <v>0</v>
      </c>
      <c r="G295" s="38">
        <v>0</v>
      </c>
      <c r="H295" s="38">
        <v>0</v>
      </c>
      <c r="I295" s="38">
        <v>0</v>
      </c>
      <c r="J295" s="38">
        <v>1</v>
      </c>
      <c r="K295" s="38">
        <v>0</v>
      </c>
      <c r="L295" s="38">
        <v>1</v>
      </c>
      <c r="M295" s="38">
        <v>0</v>
      </c>
      <c r="N295" s="38">
        <v>0</v>
      </c>
      <c r="O295" s="38">
        <v>0</v>
      </c>
      <c r="P295" s="38">
        <v>0</v>
      </c>
      <c r="Q295" s="34">
        <f t="shared" si="8"/>
        <v>397</v>
      </c>
      <c r="R295" s="34">
        <v>0</v>
      </c>
      <c r="S295" s="34">
        <f t="shared" si="9"/>
        <v>397</v>
      </c>
      <c r="T295" s="34">
        <v>0</v>
      </c>
    </row>
    <row r="296" spans="1:20" s="3" customFormat="1" ht="24" customHeight="1">
      <c r="A296" s="50">
        <v>289</v>
      </c>
      <c r="B296" s="38">
        <v>363</v>
      </c>
      <c r="C296" s="38">
        <v>36</v>
      </c>
      <c r="D296" s="38">
        <v>115</v>
      </c>
      <c r="E296" s="38">
        <v>3</v>
      </c>
      <c r="F296" s="38">
        <v>0</v>
      </c>
      <c r="G296" s="38">
        <v>1</v>
      </c>
      <c r="H296" s="38">
        <v>0</v>
      </c>
      <c r="I296" s="38">
        <v>1</v>
      </c>
      <c r="J296" s="38">
        <v>4</v>
      </c>
      <c r="K296" s="38">
        <v>0</v>
      </c>
      <c r="L296" s="38">
        <v>1</v>
      </c>
      <c r="M296" s="38">
        <v>2</v>
      </c>
      <c r="N296" s="38">
        <v>1</v>
      </c>
      <c r="O296" s="38">
        <v>1</v>
      </c>
      <c r="P296" s="38">
        <v>7</v>
      </c>
      <c r="Q296" s="34">
        <f t="shared" si="8"/>
        <v>528</v>
      </c>
      <c r="R296" s="34">
        <v>0</v>
      </c>
      <c r="S296" s="34">
        <f t="shared" si="9"/>
        <v>535</v>
      </c>
      <c r="T296" s="34">
        <v>0</v>
      </c>
    </row>
    <row r="297" spans="1:20" s="3" customFormat="1" ht="24" customHeight="1">
      <c r="A297" s="50">
        <v>290</v>
      </c>
      <c r="B297" s="38">
        <v>173</v>
      </c>
      <c r="C297" s="38">
        <v>87</v>
      </c>
      <c r="D297" s="38">
        <v>183</v>
      </c>
      <c r="E297" s="38">
        <v>3</v>
      </c>
      <c r="F297" s="38">
        <v>0</v>
      </c>
      <c r="G297" s="38">
        <v>0</v>
      </c>
      <c r="H297" s="38">
        <v>0</v>
      </c>
      <c r="I297" s="38">
        <v>0</v>
      </c>
      <c r="J297" s="38">
        <v>13</v>
      </c>
      <c r="K297" s="38">
        <v>1</v>
      </c>
      <c r="L297" s="38">
        <v>0</v>
      </c>
      <c r="M297" s="38">
        <v>2</v>
      </c>
      <c r="N297" s="38">
        <v>1</v>
      </c>
      <c r="O297" s="38">
        <v>4</v>
      </c>
      <c r="P297" s="38">
        <v>1</v>
      </c>
      <c r="Q297" s="34">
        <f t="shared" si="8"/>
        <v>467</v>
      </c>
      <c r="R297" s="34">
        <v>0</v>
      </c>
      <c r="S297" s="34">
        <f t="shared" si="9"/>
        <v>468</v>
      </c>
      <c r="T297" s="34">
        <v>0</v>
      </c>
    </row>
    <row r="298" spans="1:20" s="3" customFormat="1" ht="24" customHeight="1">
      <c r="A298" s="50">
        <v>291</v>
      </c>
      <c r="B298" s="38">
        <v>228</v>
      </c>
      <c r="C298" s="38">
        <v>21</v>
      </c>
      <c r="D298" s="38">
        <v>144</v>
      </c>
      <c r="E298" s="38">
        <v>4</v>
      </c>
      <c r="F298" s="38">
        <v>0</v>
      </c>
      <c r="G298" s="38">
        <v>0</v>
      </c>
      <c r="H298" s="38">
        <v>0</v>
      </c>
      <c r="I298" s="38">
        <v>0</v>
      </c>
      <c r="J298" s="38">
        <v>0</v>
      </c>
      <c r="K298" s="38">
        <v>2</v>
      </c>
      <c r="L298" s="38">
        <v>1</v>
      </c>
      <c r="M298" s="38">
        <v>3</v>
      </c>
      <c r="N298" s="38">
        <v>0</v>
      </c>
      <c r="O298" s="38">
        <v>1</v>
      </c>
      <c r="P298" s="38">
        <v>3</v>
      </c>
      <c r="Q298" s="34">
        <f t="shared" si="8"/>
        <v>404</v>
      </c>
      <c r="R298" s="34">
        <v>0</v>
      </c>
      <c r="S298" s="34">
        <f t="shared" si="9"/>
        <v>407</v>
      </c>
      <c r="T298" s="34">
        <v>0</v>
      </c>
    </row>
    <row r="299" spans="1:20" s="3" customFormat="1" ht="24" customHeight="1">
      <c r="A299" s="50">
        <v>292</v>
      </c>
      <c r="B299" s="38">
        <v>516</v>
      </c>
      <c r="C299" s="38">
        <v>31</v>
      </c>
      <c r="D299" s="38">
        <v>225</v>
      </c>
      <c r="E299" s="38">
        <v>26</v>
      </c>
      <c r="F299" s="38">
        <v>0</v>
      </c>
      <c r="G299" s="38">
        <v>0</v>
      </c>
      <c r="H299" s="38">
        <v>0</v>
      </c>
      <c r="I299" s="38">
        <v>0</v>
      </c>
      <c r="J299" s="38">
        <v>1</v>
      </c>
      <c r="K299" s="38">
        <v>1</v>
      </c>
      <c r="L299" s="38">
        <v>1</v>
      </c>
      <c r="M299" s="38">
        <v>2</v>
      </c>
      <c r="N299" s="38">
        <v>0</v>
      </c>
      <c r="O299" s="38">
        <v>0</v>
      </c>
      <c r="P299" s="38">
        <v>5</v>
      </c>
      <c r="Q299" s="34">
        <f t="shared" si="8"/>
        <v>803</v>
      </c>
      <c r="R299" s="34">
        <v>0</v>
      </c>
      <c r="S299" s="34">
        <f t="shared" si="9"/>
        <v>808</v>
      </c>
      <c r="T299" s="34">
        <v>0</v>
      </c>
    </row>
    <row r="300" spans="1:20" s="3" customFormat="1" ht="24" customHeight="1">
      <c r="A300" s="50">
        <v>293</v>
      </c>
      <c r="B300" s="38">
        <v>353</v>
      </c>
      <c r="C300" s="38">
        <v>75</v>
      </c>
      <c r="D300" s="38">
        <v>213</v>
      </c>
      <c r="E300" s="38">
        <v>19</v>
      </c>
      <c r="F300" s="38">
        <v>1</v>
      </c>
      <c r="G300" s="38">
        <v>0</v>
      </c>
      <c r="H300" s="38">
        <v>1</v>
      </c>
      <c r="I300" s="38">
        <v>0</v>
      </c>
      <c r="J300" s="38">
        <v>1</v>
      </c>
      <c r="K300" s="38">
        <v>1</v>
      </c>
      <c r="L300" s="38">
        <v>1</v>
      </c>
      <c r="M300" s="38">
        <v>2</v>
      </c>
      <c r="N300" s="38">
        <v>1</v>
      </c>
      <c r="O300" s="38">
        <v>3</v>
      </c>
      <c r="P300" s="38">
        <v>2</v>
      </c>
      <c r="Q300" s="34">
        <f t="shared" si="8"/>
        <v>671</v>
      </c>
      <c r="R300" s="34">
        <v>0</v>
      </c>
      <c r="S300" s="34">
        <f t="shared" si="9"/>
        <v>673</v>
      </c>
      <c r="T300" s="34">
        <v>0</v>
      </c>
    </row>
    <row r="301" spans="1:20" s="3" customFormat="1" ht="24" customHeight="1">
      <c r="A301" s="50">
        <v>294</v>
      </c>
      <c r="B301" s="38">
        <v>149</v>
      </c>
      <c r="C301" s="38">
        <v>56</v>
      </c>
      <c r="D301" s="38">
        <v>302</v>
      </c>
      <c r="E301" s="38">
        <v>0</v>
      </c>
      <c r="F301" s="38">
        <v>0</v>
      </c>
      <c r="G301" s="38">
        <v>0</v>
      </c>
      <c r="H301" s="38">
        <v>0</v>
      </c>
      <c r="I301" s="38">
        <v>0</v>
      </c>
      <c r="J301" s="38">
        <v>4</v>
      </c>
      <c r="K301" s="38">
        <v>0</v>
      </c>
      <c r="L301" s="38">
        <v>0</v>
      </c>
      <c r="M301" s="38">
        <v>3</v>
      </c>
      <c r="N301" s="38">
        <v>1</v>
      </c>
      <c r="O301" s="38">
        <v>0</v>
      </c>
      <c r="P301" s="38">
        <v>3</v>
      </c>
      <c r="Q301" s="34">
        <f t="shared" si="8"/>
        <v>515</v>
      </c>
      <c r="R301" s="34">
        <v>0</v>
      </c>
      <c r="S301" s="34">
        <f t="shared" si="9"/>
        <v>518</v>
      </c>
      <c r="T301" s="34">
        <v>0</v>
      </c>
    </row>
    <row r="302" spans="1:20" s="3" customFormat="1" ht="24" customHeight="1">
      <c r="A302" s="46">
        <v>295</v>
      </c>
      <c r="B302" s="38">
        <v>296</v>
      </c>
      <c r="C302" s="38">
        <v>51</v>
      </c>
      <c r="D302" s="38">
        <v>143</v>
      </c>
      <c r="E302" s="38">
        <v>20</v>
      </c>
      <c r="F302" s="38">
        <v>1</v>
      </c>
      <c r="G302" s="38">
        <v>0</v>
      </c>
      <c r="H302" s="38">
        <v>0</v>
      </c>
      <c r="I302" s="38">
        <v>9</v>
      </c>
      <c r="J302" s="38">
        <v>1</v>
      </c>
      <c r="K302" s="38">
        <v>0</v>
      </c>
      <c r="L302" s="38">
        <v>1</v>
      </c>
      <c r="M302" s="38">
        <v>2</v>
      </c>
      <c r="N302" s="38">
        <v>0</v>
      </c>
      <c r="O302" s="38">
        <v>2</v>
      </c>
      <c r="P302" s="38">
        <v>1</v>
      </c>
      <c r="Q302" s="34">
        <f t="shared" si="8"/>
        <v>526</v>
      </c>
      <c r="R302" s="34">
        <v>0</v>
      </c>
      <c r="S302" s="34">
        <f t="shared" si="9"/>
        <v>527</v>
      </c>
      <c r="T302" s="34">
        <v>0</v>
      </c>
    </row>
    <row r="303" spans="1:20" s="3" customFormat="1" ht="24" customHeight="1">
      <c r="A303" s="46">
        <v>296</v>
      </c>
      <c r="B303" s="38">
        <v>251</v>
      </c>
      <c r="C303" s="38">
        <v>7</v>
      </c>
      <c r="D303" s="38">
        <v>154</v>
      </c>
      <c r="E303" s="38">
        <v>11</v>
      </c>
      <c r="F303" s="38">
        <v>4</v>
      </c>
      <c r="G303" s="38">
        <v>0</v>
      </c>
      <c r="H303" s="38">
        <v>0</v>
      </c>
      <c r="I303" s="38">
        <v>0</v>
      </c>
      <c r="J303" s="38">
        <v>4</v>
      </c>
      <c r="K303" s="38">
        <v>0</v>
      </c>
      <c r="L303" s="38">
        <v>1</v>
      </c>
      <c r="M303" s="38">
        <v>0</v>
      </c>
      <c r="N303" s="38">
        <v>2</v>
      </c>
      <c r="O303" s="38">
        <v>1</v>
      </c>
      <c r="P303" s="38">
        <v>6</v>
      </c>
      <c r="Q303" s="34">
        <f t="shared" si="8"/>
        <v>435</v>
      </c>
      <c r="R303" s="34">
        <v>0</v>
      </c>
      <c r="S303" s="34">
        <f t="shared" si="9"/>
        <v>441</v>
      </c>
      <c r="T303" s="34">
        <v>0</v>
      </c>
    </row>
    <row r="304" spans="1:20" s="3" customFormat="1" ht="24" customHeight="1">
      <c r="A304" s="46">
        <v>297</v>
      </c>
      <c r="B304" s="38">
        <v>201</v>
      </c>
      <c r="C304" s="38">
        <v>7</v>
      </c>
      <c r="D304" s="38">
        <v>151</v>
      </c>
      <c r="E304" s="38">
        <v>1</v>
      </c>
      <c r="F304" s="38">
        <v>0</v>
      </c>
      <c r="G304" s="38">
        <v>0</v>
      </c>
      <c r="H304" s="38">
        <v>0</v>
      </c>
      <c r="I304" s="38">
        <v>0</v>
      </c>
      <c r="J304" s="38">
        <v>1</v>
      </c>
      <c r="K304" s="38">
        <v>1</v>
      </c>
      <c r="L304" s="38">
        <v>0</v>
      </c>
      <c r="M304" s="38">
        <v>0</v>
      </c>
      <c r="N304" s="38">
        <v>2</v>
      </c>
      <c r="O304" s="38">
        <v>0</v>
      </c>
      <c r="P304" s="38">
        <v>9</v>
      </c>
      <c r="Q304" s="34">
        <f t="shared" si="8"/>
        <v>364</v>
      </c>
      <c r="R304" s="34">
        <v>0</v>
      </c>
      <c r="S304" s="34">
        <f t="shared" si="9"/>
        <v>373</v>
      </c>
      <c r="T304" s="34">
        <v>0</v>
      </c>
    </row>
    <row r="305" spans="1:20" s="3" customFormat="1" ht="24" customHeight="1">
      <c r="A305" s="46">
        <v>298</v>
      </c>
      <c r="B305" s="38">
        <v>275</v>
      </c>
      <c r="C305" s="38">
        <v>18</v>
      </c>
      <c r="D305" s="38">
        <v>229</v>
      </c>
      <c r="E305" s="38">
        <v>9</v>
      </c>
      <c r="F305" s="38">
        <v>0</v>
      </c>
      <c r="G305" s="38">
        <v>1</v>
      </c>
      <c r="H305" s="38">
        <v>0</v>
      </c>
      <c r="I305" s="38">
        <v>0</v>
      </c>
      <c r="J305" s="38">
        <v>1</v>
      </c>
      <c r="K305" s="38">
        <v>1</v>
      </c>
      <c r="L305" s="38">
        <v>3</v>
      </c>
      <c r="M305" s="38">
        <v>2</v>
      </c>
      <c r="N305" s="38">
        <v>2</v>
      </c>
      <c r="O305" s="38">
        <v>2</v>
      </c>
      <c r="P305" s="38">
        <v>3</v>
      </c>
      <c r="Q305" s="34">
        <f t="shared" si="8"/>
        <v>543</v>
      </c>
      <c r="R305" s="34">
        <v>0</v>
      </c>
      <c r="S305" s="34">
        <f t="shared" si="9"/>
        <v>546</v>
      </c>
      <c r="T305" s="34">
        <v>0</v>
      </c>
    </row>
    <row r="306" spans="1:20" s="3" customFormat="1" ht="24" customHeight="1">
      <c r="A306" s="46">
        <v>299</v>
      </c>
      <c r="B306" s="38">
        <v>316</v>
      </c>
      <c r="C306" s="38">
        <v>15</v>
      </c>
      <c r="D306" s="38">
        <v>174</v>
      </c>
      <c r="E306" s="38">
        <v>12</v>
      </c>
      <c r="F306" s="38">
        <v>1</v>
      </c>
      <c r="G306" s="38">
        <v>1</v>
      </c>
      <c r="H306" s="38">
        <v>0</v>
      </c>
      <c r="I306" s="38">
        <v>1</v>
      </c>
      <c r="J306" s="38">
        <v>1</v>
      </c>
      <c r="K306" s="38">
        <v>0</v>
      </c>
      <c r="L306" s="38">
        <v>1</v>
      </c>
      <c r="M306" s="38">
        <v>0</v>
      </c>
      <c r="N306" s="38">
        <v>1</v>
      </c>
      <c r="O306" s="38">
        <v>0</v>
      </c>
      <c r="P306" s="38">
        <v>3</v>
      </c>
      <c r="Q306" s="34">
        <f t="shared" si="8"/>
        <v>523</v>
      </c>
      <c r="R306" s="34">
        <v>0</v>
      </c>
      <c r="S306" s="34">
        <f t="shared" si="9"/>
        <v>526</v>
      </c>
      <c r="T306" s="34">
        <v>0</v>
      </c>
    </row>
    <row r="307" spans="1:20" s="3" customFormat="1" ht="24" customHeight="1">
      <c r="A307" s="46">
        <v>300</v>
      </c>
      <c r="B307" s="38">
        <v>217</v>
      </c>
      <c r="C307" s="38">
        <v>25</v>
      </c>
      <c r="D307" s="38">
        <v>186</v>
      </c>
      <c r="E307" s="38">
        <v>9</v>
      </c>
      <c r="F307" s="38">
        <v>6</v>
      </c>
      <c r="G307" s="38">
        <v>4</v>
      </c>
      <c r="H307" s="38">
        <v>4</v>
      </c>
      <c r="I307" s="38">
        <v>6</v>
      </c>
      <c r="J307" s="38">
        <v>5</v>
      </c>
      <c r="K307" s="38">
        <v>4</v>
      </c>
      <c r="L307" s="38">
        <v>4</v>
      </c>
      <c r="M307" s="38">
        <v>5</v>
      </c>
      <c r="N307" s="38">
        <v>5</v>
      </c>
      <c r="O307" s="38">
        <v>4</v>
      </c>
      <c r="P307" s="38">
        <v>5</v>
      </c>
      <c r="Q307" s="34">
        <f t="shared" si="8"/>
        <v>484</v>
      </c>
      <c r="R307" s="34">
        <v>0</v>
      </c>
      <c r="S307" s="34">
        <f t="shared" si="9"/>
        <v>489</v>
      </c>
      <c r="T307" s="34">
        <v>0</v>
      </c>
    </row>
    <row r="308" spans="1:20" s="3" customFormat="1" ht="24" customHeight="1">
      <c r="A308" s="46">
        <v>301</v>
      </c>
      <c r="B308" s="38">
        <v>131</v>
      </c>
      <c r="C308" s="38">
        <v>97</v>
      </c>
      <c r="D308" s="38">
        <v>171</v>
      </c>
      <c r="E308" s="38">
        <v>1</v>
      </c>
      <c r="F308" s="38">
        <v>2</v>
      </c>
      <c r="G308" s="38">
        <v>0</v>
      </c>
      <c r="H308" s="38">
        <v>0</v>
      </c>
      <c r="I308" s="38">
        <v>0</v>
      </c>
      <c r="J308" s="38">
        <v>0</v>
      </c>
      <c r="K308" s="38">
        <v>0</v>
      </c>
      <c r="L308" s="38">
        <v>1</v>
      </c>
      <c r="M308" s="38">
        <v>2</v>
      </c>
      <c r="N308" s="38">
        <v>1</v>
      </c>
      <c r="O308" s="38">
        <v>3</v>
      </c>
      <c r="P308" s="38">
        <v>4</v>
      </c>
      <c r="Q308" s="34">
        <f t="shared" si="8"/>
        <v>409</v>
      </c>
      <c r="R308" s="34">
        <v>0</v>
      </c>
      <c r="S308" s="34">
        <f t="shared" si="9"/>
        <v>413</v>
      </c>
      <c r="T308" s="34">
        <v>0</v>
      </c>
    </row>
    <row r="309" spans="1:20" s="3" customFormat="1" ht="24" customHeight="1">
      <c r="A309" s="46">
        <v>302</v>
      </c>
      <c r="B309" s="38">
        <v>338</v>
      </c>
      <c r="C309" s="38">
        <v>32</v>
      </c>
      <c r="D309" s="38">
        <v>339</v>
      </c>
      <c r="E309" s="38">
        <v>7</v>
      </c>
      <c r="F309" s="38">
        <v>2</v>
      </c>
      <c r="G309" s="38">
        <v>0</v>
      </c>
      <c r="H309" s="38">
        <v>0</v>
      </c>
      <c r="I309" s="38">
        <v>0</v>
      </c>
      <c r="J309" s="38">
        <v>2</v>
      </c>
      <c r="K309" s="38">
        <v>1</v>
      </c>
      <c r="L309" s="38">
        <v>3</v>
      </c>
      <c r="M309" s="38">
        <v>0</v>
      </c>
      <c r="N309" s="38">
        <v>4</v>
      </c>
      <c r="O309" s="38">
        <v>0</v>
      </c>
      <c r="P309" s="38">
        <v>8</v>
      </c>
      <c r="Q309" s="34">
        <f t="shared" si="8"/>
        <v>728</v>
      </c>
      <c r="R309" s="34">
        <v>0</v>
      </c>
      <c r="S309" s="34">
        <f t="shared" si="9"/>
        <v>736</v>
      </c>
      <c r="T309" s="34">
        <v>0</v>
      </c>
    </row>
    <row r="310" spans="1:20" s="3" customFormat="1" ht="24" customHeight="1">
      <c r="A310" s="46">
        <v>303</v>
      </c>
      <c r="B310" s="38">
        <v>300</v>
      </c>
      <c r="C310" s="38">
        <v>21</v>
      </c>
      <c r="D310" s="38">
        <v>339</v>
      </c>
      <c r="E310" s="38">
        <v>4</v>
      </c>
      <c r="F310" s="38">
        <v>0</v>
      </c>
      <c r="G310" s="38">
        <v>0</v>
      </c>
      <c r="H310" s="38">
        <v>1</v>
      </c>
      <c r="I310" s="38">
        <v>2</v>
      </c>
      <c r="J310" s="38">
        <v>6</v>
      </c>
      <c r="K310" s="38">
        <v>1</v>
      </c>
      <c r="L310" s="38">
        <v>2</v>
      </c>
      <c r="M310" s="38">
        <v>0</v>
      </c>
      <c r="N310" s="38">
        <v>4</v>
      </c>
      <c r="O310" s="38">
        <v>1</v>
      </c>
      <c r="P310" s="38">
        <v>5</v>
      </c>
      <c r="Q310" s="34">
        <f t="shared" si="8"/>
        <v>681</v>
      </c>
      <c r="R310" s="34">
        <v>0</v>
      </c>
      <c r="S310" s="34">
        <f t="shared" si="9"/>
        <v>686</v>
      </c>
      <c r="T310" s="34">
        <v>0</v>
      </c>
    </row>
    <row r="311" spans="1:20" s="3" customFormat="1" ht="24" customHeight="1">
      <c r="A311" s="46">
        <v>304</v>
      </c>
      <c r="B311" s="38">
        <v>412</v>
      </c>
      <c r="C311" s="38">
        <v>17</v>
      </c>
      <c r="D311" s="38">
        <v>120</v>
      </c>
      <c r="E311" s="38">
        <v>2</v>
      </c>
      <c r="F311" s="38">
        <v>0</v>
      </c>
      <c r="G311" s="38">
        <v>1</v>
      </c>
      <c r="H311" s="38">
        <v>0</v>
      </c>
      <c r="I311" s="38">
        <v>5</v>
      </c>
      <c r="J311" s="38">
        <v>0</v>
      </c>
      <c r="K311" s="38">
        <v>0</v>
      </c>
      <c r="L311" s="38">
        <v>3</v>
      </c>
      <c r="M311" s="38">
        <v>0</v>
      </c>
      <c r="N311" s="38">
        <v>2</v>
      </c>
      <c r="O311" s="38">
        <v>0</v>
      </c>
      <c r="P311" s="38">
        <v>10</v>
      </c>
      <c r="Q311" s="34">
        <f t="shared" si="8"/>
        <v>562</v>
      </c>
      <c r="R311" s="34">
        <v>0</v>
      </c>
      <c r="S311" s="34">
        <f t="shared" si="9"/>
        <v>572</v>
      </c>
      <c r="T311" s="34">
        <v>0</v>
      </c>
    </row>
    <row r="312" spans="1:20" s="3" customFormat="1" ht="24" customHeight="1">
      <c r="A312" s="46">
        <v>305</v>
      </c>
      <c r="B312" s="38">
        <v>294</v>
      </c>
      <c r="C312" s="38">
        <v>16</v>
      </c>
      <c r="D312" s="38">
        <v>261</v>
      </c>
      <c r="E312" s="38">
        <v>15</v>
      </c>
      <c r="F312" s="38">
        <v>3</v>
      </c>
      <c r="G312" s="38">
        <v>3</v>
      </c>
      <c r="H312" s="38">
        <v>4</v>
      </c>
      <c r="I312" s="38">
        <v>4</v>
      </c>
      <c r="J312" s="38">
        <v>3</v>
      </c>
      <c r="K312" s="38">
        <v>3</v>
      </c>
      <c r="L312" s="38">
        <v>6</v>
      </c>
      <c r="M312" s="38">
        <v>6</v>
      </c>
      <c r="N312" s="38">
        <v>9</v>
      </c>
      <c r="O312" s="38">
        <v>4</v>
      </c>
      <c r="P312" s="38">
        <v>8</v>
      </c>
      <c r="Q312" s="34">
        <f t="shared" si="8"/>
        <v>631</v>
      </c>
      <c r="R312" s="34">
        <v>0</v>
      </c>
      <c r="S312" s="34">
        <f t="shared" si="9"/>
        <v>639</v>
      </c>
      <c r="T312" s="34">
        <v>0</v>
      </c>
    </row>
    <row r="313" spans="1:20" s="3" customFormat="1" ht="24" customHeight="1">
      <c r="A313" s="46">
        <v>306</v>
      </c>
      <c r="B313" s="38">
        <v>283</v>
      </c>
      <c r="C313" s="38">
        <v>104</v>
      </c>
      <c r="D313" s="38">
        <v>130</v>
      </c>
      <c r="E313" s="38">
        <v>6</v>
      </c>
      <c r="F313" s="38">
        <v>0</v>
      </c>
      <c r="G313" s="38">
        <v>0</v>
      </c>
      <c r="H313" s="38">
        <v>1</v>
      </c>
      <c r="I313" s="38">
        <v>2</v>
      </c>
      <c r="J313" s="38">
        <v>0</v>
      </c>
      <c r="K313" s="38">
        <v>0</v>
      </c>
      <c r="L313" s="38">
        <v>1</v>
      </c>
      <c r="M313" s="38">
        <v>1</v>
      </c>
      <c r="N313" s="38">
        <v>1</v>
      </c>
      <c r="O313" s="38">
        <v>1</v>
      </c>
      <c r="P313" s="38">
        <v>2</v>
      </c>
      <c r="Q313" s="34">
        <f t="shared" si="8"/>
        <v>530</v>
      </c>
      <c r="R313" s="34">
        <v>0</v>
      </c>
      <c r="S313" s="34">
        <f t="shared" si="9"/>
        <v>532</v>
      </c>
      <c r="T313" s="34">
        <v>0</v>
      </c>
    </row>
    <row r="314" spans="1:20" s="3" customFormat="1" ht="24" customHeight="1">
      <c r="A314" s="46">
        <v>307</v>
      </c>
      <c r="B314" s="38">
        <v>213</v>
      </c>
      <c r="C314" s="38">
        <v>19</v>
      </c>
      <c r="D314" s="38">
        <v>128</v>
      </c>
      <c r="E314" s="38">
        <v>3</v>
      </c>
      <c r="F314" s="38">
        <v>1</v>
      </c>
      <c r="G314" s="38">
        <v>0</v>
      </c>
      <c r="H314" s="38">
        <v>0</v>
      </c>
      <c r="I314" s="38">
        <v>1</v>
      </c>
      <c r="J314" s="38">
        <v>1</v>
      </c>
      <c r="K314" s="38">
        <v>0</v>
      </c>
      <c r="L314" s="38">
        <v>0</v>
      </c>
      <c r="M314" s="38">
        <v>0</v>
      </c>
      <c r="N314" s="38">
        <v>0</v>
      </c>
      <c r="O314" s="38">
        <v>0</v>
      </c>
      <c r="P314" s="38">
        <v>2</v>
      </c>
      <c r="Q314" s="34">
        <f t="shared" si="8"/>
        <v>366</v>
      </c>
      <c r="R314" s="34">
        <v>0</v>
      </c>
      <c r="S314" s="34">
        <f t="shared" si="9"/>
        <v>368</v>
      </c>
      <c r="T314" s="34">
        <v>0</v>
      </c>
    </row>
    <row r="315" spans="1:20" s="3" customFormat="1" ht="24" customHeight="1">
      <c r="A315" s="46">
        <v>308</v>
      </c>
      <c r="B315" s="38">
        <v>362</v>
      </c>
      <c r="C315" s="38">
        <v>15</v>
      </c>
      <c r="D315" s="38">
        <v>165</v>
      </c>
      <c r="E315" s="38">
        <v>4</v>
      </c>
      <c r="F315" s="38">
        <v>0</v>
      </c>
      <c r="G315" s="38">
        <v>1</v>
      </c>
      <c r="H315" s="38">
        <v>0</v>
      </c>
      <c r="I315" s="38">
        <v>0</v>
      </c>
      <c r="J315" s="38">
        <v>0</v>
      </c>
      <c r="K315" s="38">
        <v>0</v>
      </c>
      <c r="L315" s="38">
        <v>0</v>
      </c>
      <c r="M315" s="38">
        <v>0</v>
      </c>
      <c r="N315" s="38">
        <v>0</v>
      </c>
      <c r="O315" s="38">
        <v>0</v>
      </c>
      <c r="P315" s="38">
        <v>7</v>
      </c>
      <c r="Q315" s="34">
        <f t="shared" si="8"/>
        <v>547</v>
      </c>
      <c r="R315" s="34">
        <v>0</v>
      </c>
      <c r="S315" s="34">
        <f t="shared" si="9"/>
        <v>554</v>
      </c>
      <c r="T315" s="34">
        <v>0</v>
      </c>
    </row>
    <row r="316" spans="1:20" s="3" customFormat="1" ht="24" customHeight="1">
      <c r="A316" s="49">
        <v>309</v>
      </c>
      <c r="B316" s="38">
        <v>426</v>
      </c>
      <c r="C316" s="38">
        <v>52</v>
      </c>
      <c r="D316" s="38">
        <v>215</v>
      </c>
      <c r="E316" s="38">
        <v>8</v>
      </c>
      <c r="F316" s="38">
        <v>0</v>
      </c>
      <c r="G316" s="38">
        <v>1</v>
      </c>
      <c r="H316" s="38">
        <v>0</v>
      </c>
      <c r="I316" s="38">
        <v>2</v>
      </c>
      <c r="J316" s="38">
        <v>0</v>
      </c>
      <c r="K316" s="38">
        <v>2</v>
      </c>
      <c r="L316" s="38">
        <v>0</v>
      </c>
      <c r="M316" s="38">
        <v>2</v>
      </c>
      <c r="N316" s="38">
        <v>1</v>
      </c>
      <c r="O316" s="38">
        <v>0</v>
      </c>
      <c r="P316" s="38">
        <v>9</v>
      </c>
      <c r="Q316" s="34">
        <f t="shared" si="8"/>
        <v>709</v>
      </c>
      <c r="R316" s="34">
        <v>0</v>
      </c>
      <c r="S316" s="34">
        <f t="shared" si="9"/>
        <v>718</v>
      </c>
      <c r="T316" s="34">
        <v>0</v>
      </c>
    </row>
    <row r="317" spans="1:20" s="3" customFormat="1" ht="24" customHeight="1">
      <c r="A317" s="49">
        <v>310</v>
      </c>
      <c r="B317" s="38">
        <v>227</v>
      </c>
      <c r="C317" s="38">
        <v>14</v>
      </c>
      <c r="D317" s="38">
        <v>293</v>
      </c>
      <c r="E317" s="38">
        <v>26</v>
      </c>
      <c r="F317" s="38">
        <v>1</v>
      </c>
      <c r="G317" s="38">
        <v>1</v>
      </c>
      <c r="H317" s="38">
        <v>0</v>
      </c>
      <c r="I317" s="38">
        <v>1</v>
      </c>
      <c r="J317" s="38">
        <v>6</v>
      </c>
      <c r="K317" s="38">
        <v>0</v>
      </c>
      <c r="L317" s="38">
        <v>1</v>
      </c>
      <c r="M317" s="38">
        <v>4</v>
      </c>
      <c r="N317" s="38">
        <v>2</v>
      </c>
      <c r="O317" s="38">
        <v>0</v>
      </c>
      <c r="P317" s="38">
        <v>6</v>
      </c>
      <c r="Q317" s="34">
        <f t="shared" si="8"/>
        <v>576</v>
      </c>
      <c r="R317" s="34">
        <v>0</v>
      </c>
      <c r="S317" s="34">
        <f t="shared" si="9"/>
        <v>582</v>
      </c>
      <c r="T317" s="34">
        <v>0</v>
      </c>
    </row>
    <row r="318" spans="1:20" s="3" customFormat="1" ht="24" customHeight="1">
      <c r="A318" s="49">
        <v>311</v>
      </c>
      <c r="B318" s="38">
        <v>335</v>
      </c>
      <c r="C318" s="38">
        <v>38</v>
      </c>
      <c r="D318" s="38">
        <v>115</v>
      </c>
      <c r="E318" s="38">
        <v>18</v>
      </c>
      <c r="F318" s="38">
        <v>1</v>
      </c>
      <c r="G318" s="38">
        <v>0</v>
      </c>
      <c r="H318" s="38">
        <v>0</v>
      </c>
      <c r="I318" s="38">
        <v>3</v>
      </c>
      <c r="J318" s="38">
        <v>0</v>
      </c>
      <c r="K318" s="38">
        <v>1</v>
      </c>
      <c r="L318" s="38">
        <v>2</v>
      </c>
      <c r="M318" s="38">
        <v>1</v>
      </c>
      <c r="N318" s="38">
        <v>0</v>
      </c>
      <c r="O318" s="38">
        <v>0</v>
      </c>
      <c r="P318" s="38">
        <v>2</v>
      </c>
      <c r="Q318" s="34">
        <f t="shared" si="8"/>
        <v>514</v>
      </c>
      <c r="R318" s="34">
        <v>0</v>
      </c>
      <c r="S318" s="34">
        <f t="shared" si="9"/>
        <v>516</v>
      </c>
      <c r="T318" s="34">
        <v>0</v>
      </c>
    </row>
    <row r="319" spans="1:20" s="3" customFormat="1" ht="24" customHeight="1">
      <c r="A319" s="49">
        <v>312</v>
      </c>
      <c r="B319" s="38">
        <v>354</v>
      </c>
      <c r="C319" s="38">
        <v>1</v>
      </c>
      <c r="D319" s="38">
        <v>92</v>
      </c>
      <c r="E319" s="38">
        <v>24</v>
      </c>
      <c r="F319" s="38">
        <v>1</v>
      </c>
      <c r="G319" s="38">
        <v>0</v>
      </c>
      <c r="H319" s="38">
        <v>0</v>
      </c>
      <c r="I319" s="38">
        <v>0</v>
      </c>
      <c r="J319" s="38">
        <v>0</v>
      </c>
      <c r="K319" s="38">
        <v>0</v>
      </c>
      <c r="L319" s="38">
        <v>0</v>
      </c>
      <c r="M319" s="38">
        <v>2</v>
      </c>
      <c r="N319" s="38">
        <v>1</v>
      </c>
      <c r="O319" s="38">
        <v>1</v>
      </c>
      <c r="P319" s="38">
        <v>4</v>
      </c>
      <c r="Q319" s="34">
        <f t="shared" si="8"/>
        <v>476</v>
      </c>
      <c r="R319" s="34">
        <v>0</v>
      </c>
      <c r="S319" s="34">
        <f t="shared" si="9"/>
        <v>480</v>
      </c>
      <c r="T319" s="34">
        <v>0</v>
      </c>
    </row>
    <row r="320" spans="1:20" s="3" customFormat="1" ht="24" customHeight="1">
      <c r="A320" s="49">
        <v>313</v>
      </c>
      <c r="B320" s="38">
        <v>369</v>
      </c>
      <c r="C320" s="38">
        <v>19</v>
      </c>
      <c r="D320" s="38">
        <v>271</v>
      </c>
      <c r="E320" s="38">
        <v>11</v>
      </c>
      <c r="F320" s="38">
        <v>0</v>
      </c>
      <c r="G320" s="38">
        <v>2</v>
      </c>
      <c r="H320" s="38">
        <v>2</v>
      </c>
      <c r="I320" s="38">
        <v>1</v>
      </c>
      <c r="J320" s="38">
        <v>0</v>
      </c>
      <c r="K320" s="38">
        <v>0</v>
      </c>
      <c r="L320" s="38">
        <v>1</v>
      </c>
      <c r="M320" s="38">
        <v>3</v>
      </c>
      <c r="N320" s="38">
        <v>3</v>
      </c>
      <c r="O320" s="38">
        <v>1</v>
      </c>
      <c r="P320" s="38">
        <v>4</v>
      </c>
      <c r="Q320" s="34">
        <f t="shared" si="8"/>
        <v>683</v>
      </c>
      <c r="R320" s="34">
        <v>0</v>
      </c>
      <c r="S320" s="34">
        <f t="shared" si="9"/>
        <v>687</v>
      </c>
      <c r="T320" s="34">
        <v>0</v>
      </c>
    </row>
    <row r="321" spans="1:20" s="3" customFormat="1" ht="24" customHeight="1">
      <c r="A321" s="49">
        <v>314</v>
      </c>
      <c r="B321" s="38">
        <v>336</v>
      </c>
      <c r="C321" s="38">
        <v>50</v>
      </c>
      <c r="D321" s="38">
        <v>236</v>
      </c>
      <c r="E321" s="38">
        <v>4</v>
      </c>
      <c r="F321" s="38">
        <v>0</v>
      </c>
      <c r="G321" s="38">
        <v>0</v>
      </c>
      <c r="H321" s="38">
        <v>0</v>
      </c>
      <c r="I321" s="38">
        <v>3</v>
      </c>
      <c r="J321" s="38">
        <v>2</v>
      </c>
      <c r="K321" s="38">
        <v>0</v>
      </c>
      <c r="L321" s="38">
        <v>3</v>
      </c>
      <c r="M321" s="38">
        <v>4</v>
      </c>
      <c r="N321" s="38">
        <v>1</v>
      </c>
      <c r="O321" s="38">
        <v>2</v>
      </c>
      <c r="P321" s="38">
        <v>6</v>
      </c>
      <c r="Q321" s="34">
        <f t="shared" si="8"/>
        <v>641</v>
      </c>
      <c r="R321" s="34">
        <v>0</v>
      </c>
      <c r="S321" s="34">
        <f t="shared" si="9"/>
        <v>647</v>
      </c>
      <c r="T321" s="34">
        <v>0</v>
      </c>
    </row>
    <row r="322" spans="1:20" s="3" customFormat="1" ht="24" customHeight="1">
      <c r="A322" s="49">
        <v>315</v>
      </c>
      <c r="B322" s="38">
        <v>194</v>
      </c>
      <c r="C322" s="38">
        <v>7</v>
      </c>
      <c r="D322" s="38">
        <v>39</v>
      </c>
      <c r="E322" s="38">
        <v>0</v>
      </c>
      <c r="F322" s="38">
        <v>0</v>
      </c>
      <c r="G322" s="38">
        <v>0</v>
      </c>
      <c r="H322" s="38">
        <v>0</v>
      </c>
      <c r="I322" s="38">
        <v>0</v>
      </c>
      <c r="J322" s="38">
        <v>0</v>
      </c>
      <c r="K322" s="38">
        <v>0</v>
      </c>
      <c r="L322" s="38">
        <v>0</v>
      </c>
      <c r="M322" s="38">
        <v>0</v>
      </c>
      <c r="N322" s="38">
        <v>0</v>
      </c>
      <c r="O322" s="38">
        <v>0</v>
      </c>
      <c r="P322" s="38">
        <v>1</v>
      </c>
      <c r="Q322" s="34">
        <f t="shared" si="8"/>
        <v>240</v>
      </c>
      <c r="R322" s="34">
        <v>0</v>
      </c>
      <c r="S322" s="34">
        <f t="shared" si="9"/>
        <v>241</v>
      </c>
      <c r="T322" s="34">
        <v>0</v>
      </c>
    </row>
    <row r="323" spans="1:20" s="3" customFormat="1" ht="24" customHeight="1">
      <c r="A323" s="49">
        <v>316</v>
      </c>
      <c r="B323" s="38">
        <v>386</v>
      </c>
      <c r="C323" s="38">
        <v>133</v>
      </c>
      <c r="D323" s="38">
        <v>299</v>
      </c>
      <c r="E323" s="38">
        <v>10</v>
      </c>
      <c r="F323" s="38">
        <v>0</v>
      </c>
      <c r="G323" s="38">
        <v>0</v>
      </c>
      <c r="H323" s="38">
        <v>1</v>
      </c>
      <c r="I323" s="38">
        <v>0</v>
      </c>
      <c r="J323" s="38">
        <v>3</v>
      </c>
      <c r="K323" s="38">
        <v>2</v>
      </c>
      <c r="L323" s="38">
        <v>2</v>
      </c>
      <c r="M323" s="38">
        <v>5</v>
      </c>
      <c r="N323" s="38">
        <v>3</v>
      </c>
      <c r="O323" s="38">
        <v>2</v>
      </c>
      <c r="P323" s="38">
        <v>4</v>
      </c>
      <c r="Q323" s="34">
        <f t="shared" si="8"/>
        <v>846</v>
      </c>
      <c r="R323" s="34">
        <v>0</v>
      </c>
      <c r="S323" s="34">
        <f t="shared" si="9"/>
        <v>850</v>
      </c>
      <c r="T323" s="34">
        <v>0</v>
      </c>
    </row>
    <row r="324" spans="1:20" s="3" customFormat="1" ht="24" customHeight="1">
      <c r="A324" s="49">
        <v>317</v>
      </c>
      <c r="B324" s="38">
        <v>286</v>
      </c>
      <c r="C324" s="38">
        <v>40</v>
      </c>
      <c r="D324" s="38">
        <v>281</v>
      </c>
      <c r="E324" s="38">
        <v>2</v>
      </c>
      <c r="F324" s="38">
        <v>1</v>
      </c>
      <c r="G324" s="38">
        <v>0</v>
      </c>
      <c r="H324" s="38">
        <v>0</v>
      </c>
      <c r="I324" s="38">
        <v>0</v>
      </c>
      <c r="J324" s="38">
        <v>0</v>
      </c>
      <c r="K324" s="38">
        <v>0</v>
      </c>
      <c r="L324" s="38">
        <v>0</v>
      </c>
      <c r="M324" s="38">
        <v>0</v>
      </c>
      <c r="N324" s="38">
        <v>0</v>
      </c>
      <c r="O324" s="38">
        <v>0</v>
      </c>
      <c r="P324" s="38">
        <v>1</v>
      </c>
      <c r="Q324" s="34">
        <f t="shared" si="8"/>
        <v>610</v>
      </c>
      <c r="R324" s="34">
        <v>0</v>
      </c>
      <c r="S324" s="34">
        <f t="shared" si="9"/>
        <v>611</v>
      </c>
      <c r="T324" s="34">
        <v>0</v>
      </c>
    </row>
    <row r="325" spans="1:20" s="3" customFormat="1" ht="24" customHeight="1">
      <c r="A325" s="49">
        <v>318</v>
      </c>
      <c r="B325" s="38">
        <v>285</v>
      </c>
      <c r="C325" s="38">
        <v>103</v>
      </c>
      <c r="D325" s="38">
        <v>212</v>
      </c>
      <c r="E325" s="38">
        <v>0</v>
      </c>
      <c r="F325" s="38">
        <v>0</v>
      </c>
      <c r="G325" s="38">
        <v>0</v>
      </c>
      <c r="H325" s="38">
        <v>1</v>
      </c>
      <c r="I325" s="38">
        <v>1</v>
      </c>
      <c r="J325" s="38">
        <v>9</v>
      </c>
      <c r="K325" s="38">
        <v>0</v>
      </c>
      <c r="L325" s="38">
        <v>1</v>
      </c>
      <c r="M325" s="38">
        <v>0</v>
      </c>
      <c r="N325" s="38">
        <v>2</v>
      </c>
      <c r="O325" s="38">
        <v>0</v>
      </c>
      <c r="P325" s="38">
        <v>3</v>
      </c>
      <c r="Q325" s="34">
        <f t="shared" si="8"/>
        <v>614</v>
      </c>
      <c r="R325" s="34">
        <v>0</v>
      </c>
      <c r="S325" s="34">
        <f t="shared" si="9"/>
        <v>617</v>
      </c>
      <c r="T325" s="34">
        <v>0</v>
      </c>
    </row>
    <row r="326" spans="1:20" s="3" customFormat="1" ht="24" customHeight="1">
      <c r="A326" s="49">
        <v>319</v>
      </c>
      <c r="B326" s="38">
        <v>144</v>
      </c>
      <c r="C326" s="38">
        <v>57</v>
      </c>
      <c r="D326" s="38">
        <v>109</v>
      </c>
      <c r="E326" s="38">
        <v>0</v>
      </c>
      <c r="F326" s="38">
        <v>0</v>
      </c>
      <c r="G326" s="38">
        <v>1</v>
      </c>
      <c r="H326" s="38">
        <v>0</v>
      </c>
      <c r="I326" s="38">
        <v>0</v>
      </c>
      <c r="J326" s="38">
        <v>4</v>
      </c>
      <c r="K326" s="38">
        <v>0</v>
      </c>
      <c r="L326" s="38">
        <v>0</v>
      </c>
      <c r="M326" s="38">
        <v>0</v>
      </c>
      <c r="N326" s="38">
        <v>0</v>
      </c>
      <c r="O326" s="38">
        <v>0</v>
      </c>
      <c r="P326" s="38">
        <v>0</v>
      </c>
      <c r="Q326" s="34">
        <f t="shared" si="8"/>
        <v>315</v>
      </c>
      <c r="R326" s="34">
        <v>0</v>
      </c>
      <c r="S326" s="34">
        <f t="shared" si="9"/>
        <v>315</v>
      </c>
      <c r="T326" s="34">
        <v>0</v>
      </c>
    </row>
    <row r="327" spans="1:20" s="3" customFormat="1" ht="24" customHeight="1">
      <c r="A327" s="49">
        <v>320</v>
      </c>
      <c r="B327" s="38">
        <v>311</v>
      </c>
      <c r="C327" s="38">
        <v>66</v>
      </c>
      <c r="D327" s="38">
        <v>176</v>
      </c>
      <c r="E327" s="38">
        <v>4</v>
      </c>
      <c r="F327" s="38">
        <v>0</v>
      </c>
      <c r="G327" s="38">
        <v>0</v>
      </c>
      <c r="H327" s="38">
        <v>0</v>
      </c>
      <c r="I327" s="38">
        <v>0</v>
      </c>
      <c r="J327" s="38">
        <v>9</v>
      </c>
      <c r="K327" s="38">
        <v>0</v>
      </c>
      <c r="L327" s="38">
        <v>1</v>
      </c>
      <c r="M327" s="38">
        <v>1</v>
      </c>
      <c r="N327" s="38">
        <v>0</v>
      </c>
      <c r="O327" s="38">
        <v>0</v>
      </c>
      <c r="P327" s="38">
        <v>0</v>
      </c>
      <c r="Q327" s="34">
        <f t="shared" si="8"/>
        <v>568</v>
      </c>
      <c r="R327" s="34">
        <v>0</v>
      </c>
      <c r="S327" s="34">
        <f t="shared" si="9"/>
        <v>568</v>
      </c>
      <c r="T327" s="34">
        <v>0</v>
      </c>
    </row>
    <row r="328" spans="1:20" s="3" customFormat="1" ht="24" customHeight="1">
      <c r="A328" s="49">
        <v>321</v>
      </c>
      <c r="B328" s="38">
        <v>336</v>
      </c>
      <c r="C328" s="38">
        <v>24</v>
      </c>
      <c r="D328" s="38">
        <v>101</v>
      </c>
      <c r="E328" s="38">
        <v>0</v>
      </c>
      <c r="F328" s="38">
        <v>0</v>
      </c>
      <c r="G328" s="38">
        <v>0</v>
      </c>
      <c r="H328" s="38">
        <v>0</v>
      </c>
      <c r="I328" s="38">
        <v>0</v>
      </c>
      <c r="J328" s="38">
        <v>3</v>
      </c>
      <c r="K328" s="38">
        <v>0</v>
      </c>
      <c r="L328" s="38">
        <v>0</v>
      </c>
      <c r="M328" s="38">
        <v>1</v>
      </c>
      <c r="N328" s="38">
        <v>1</v>
      </c>
      <c r="O328" s="38">
        <v>2</v>
      </c>
      <c r="P328" s="38">
        <v>2</v>
      </c>
      <c r="Q328" s="34">
        <f t="shared" si="8"/>
        <v>468</v>
      </c>
      <c r="R328" s="34">
        <v>0</v>
      </c>
      <c r="S328" s="34">
        <f t="shared" si="9"/>
        <v>470</v>
      </c>
      <c r="T328" s="34">
        <v>0</v>
      </c>
    </row>
    <row r="329" spans="1:20" s="3" customFormat="1" ht="24" customHeight="1">
      <c r="A329" s="49">
        <v>322</v>
      </c>
      <c r="B329" s="38">
        <v>396</v>
      </c>
      <c r="C329" s="38">
        <v>92</v>
      </c>
      <c r="D329" s="38">
        <v>117</v>
      </c>
      <c r="E329" s="38">
        <v>2</v>
      </c>
      <c r="F329" s="38">
        <v>0</v>
      </c>
      <c r="G329" s="38">
        <v>0</v>
      </c>
      <c r="H329" s="38">
        <v>1</v>
      </c>
      <c r="I329" s="38">
        <v>0</v>
      </c>
      <c r="J329" s="38">
        <v>2</v>
      </c>
      <c r="K329" s="38">
        <v>0</v>
      </c>
      <c r="L329" s="38">
        <v>0</v>
      </c>
      <c r="M329" s="38">
        <v>0</v>
      </c>
      <c r="N329" s="38">
        <v>0</v>
      </c>
      <c r="O329" s="38">
        <v>0</v>
      </c>
      <c r="P329" s="38">
        <v>2</v>
      </c>
      <c r="Q329" s="34">
        <f t="shared" ref="Q329:Q392" si="10">SUM(B329:O329)</f>
        <v>610</v>
      </c>
      <c r="R329" s="34">
        <v>0</v>
      </c>
      <c r="S329" s="34">
        <f t="shared" ref="S329:S392" si="11">P329+Q329</f>
        <v>612</v>
      </c>
      <c r="T329" s="34">
        <v>0</v>
      </c>
    </row>
    <row r="330" spans="1:20" s="3" customFormat="1" ht="24" customHeight="1">
      <c r="A330" s="46">
        <v>323</v>
      </c>
      <c r="B330" s="38">
        <v>183</v>
      </c>
      <c r="C330" s="38">
        <v>80</v>
      </c>
      <c r="D330" s="38">
        <v>188</v>
      </c>
      <c r="E330" s="38">
        <v>1</v>
      </c>
      <c r="F330" s="38">
        <v>0</v>
      </c>
      <c r="G330" s="38">
        <v>0</v>
      </c>
      <c r="H330" s="38">
        <v>0</v>
      </c>
      <c r="I330" s="38">
        <v>0</v>
      </c>
      <c r="J330" s="38">
        <v>15</v>
      </c>
      <c r="K330" s="38">
        <v>0</v>
      </c>
      <c r="L330" s="38">
        <v>1</v>
      </c>
      <c r="M330" s="38">
        <v>0</v>
      </c>
      <c r="N330" s="38">
        <v>0</v>
      </c>
      <c r="O330" s="38">
        <v>1</v>
      </c>
      <c r="P330" s="38">
        <v>1</v>
      </c>
      <c r="Q330" s="34">
        <f t="shared" si="10"/>
        <v>469</v>
      </c>
      <c r="R330" s="34">
        <v>0</v>
      </c>
      <c r="S330" s="34">
        <f t="shared" si="11"/>
        <v>470</v>
      </c>
      <c r="T330" s="34">
        <v>0</v>
      </c>
    </row>
    <row r="331" spans="1:20" s="3" customFormat="1" ht="24" customHeight="1">
      <c r="A331" s="46">
        <v>324</v>
      </c>
      <c r="B331" s="38">
        <v>198</v>
      </c>
      <c r="C331" s="38">
        <v>82</v>
      </c>
      <c r="D331" s="38">
        <v>262</v>
      </c>
      <c r="E331" s="38">
        <v>1</v>
      </c>
      <c r="F331" s="38">
        <v>0</v>
      </c>
      <c r="G331" s="38">
        <v>0</v>
      </c>
      <c r="H331" s="38">
        <v>3</v>
      </c>
      <c r="I331" s="38">
        <v>1</v>
      </c>
      <c r="J331" s="38">
        <v>6</v>
      </c>
      <c r="K331" s="38">
        <v>1</v>
      </c>
      <c r="L331" s="38">
        <v>0</v>
      </c>
      <c r="M331" s="38">
        <v>2</v>
      </c>
      <c r="N331" s="38">
        <v>2</v>
      </c>
      <c r="O331" s="38">
        <v>2</v>
      </c>
      <c r="P331" s="38">
        <v>1</v>
      </c>
      <c r="Q331" s="34">
        <f t="shared" si="10"/>
        <v>560</v>
      </c>
      <c r="R331" s="34">
        <v>0</v>
      </c>
      <c r="S331" s="34">
        <f t="shared" si="11"/>
        <v>561</v>
      </c>
      <c r="T331" s="34">
        <v>0</v>
      </c>
    </row>
    <row r="332" spans="1:20" s="3" customFormat="1" ht="24" customHeight="1">
      <c r="A332" s="46">
        <v>325</v>
      </c>
      <c r="B332" s="38">
        <v>378</v>
      </c>
      <c r="C332" s="38">
        <v>34</v>
      </c>
      <c r="D332" s="38">
        <v>121</v>
      </c>
      <c r="E332" s="38">
        <v>4</v>
      </c>
      <c r="F332" s="38">
        <v>0</v>
      </c>
      <c r="G332" s="38">
        <v>0</v>
      </c>
      <c r="H332" s="38">
        <v>0</v>
      </c>
      <c r="I332" s="38">
        <v>0</v>
      </c>
      <c r="J332" s="38">
        <v>12</v>
      </c>
      <c r="K332" s="38">
        <v>1</v>
      </c>
      <c r="L332" s="38">
        <v>0</v>
      </c>
      <c r="M332" s="38">
        <v>1</v>
      </c>
      <c r="N332" s="38">
        <v>1</v>
      </c>
      <c r="O332" s="38">
        <v>0</v>
      </c>
      <c r="P332" s="38">
        <v>4</v>
      </c>
      <c r="Q332" s="34">
        <f t="shared" si="10"/>
        <v>552</v>
      </c>
      <c r="R332" s="34">
        <v>0</v>
      </c>
      <c r="S332" s="34">
        <f t="shared" si="11"/>
        <v>556</v>
      </c>
      <c r="T332" s="34">
        <v>0</v>
      </c>
    </row>
    <row r="333" spans="1:20" s="3" customFormat="1" ht="24" customHeight="1">
      <c r="A333" s="46">
        <v>326</v>
      </c>
      <c r="B333" s="38">
        <v>221</v>
      </c>
      <c r="C333" s="38">
        <v>18</v>
      </c>
      <c r="D333" s="38">
        <v>140</v>
      </c>
      <c r="E333" s="38">
        <v>2</v>
      </c>
      <c r="F333" s="38">
        <v>1</v>
      </c>
      <c r="G333" s="38">
        <v>0</v>
      </c>
      <c r="H333" s="38">
        <v>1</v>
      </c>
      <c r="I333" s="38">
        <v>0</v>
      </c>
      <c r="J333" s="38">
        <v>11</v>
      </c>
      <c r="K333" s="38">
        <v>0</v>
      </c>
      <c r="L333" s="38">
        <v>0</v>
      </c>
      <c r="M333" s="38">
        <v>0</v>
      </c>
      <c r="N333" s="38">
        <v>0</v>
      </c>
      <c r="O333" s="38">
        <v>1</v>
      </c>
      <c r="P333" s="38">
        <v>2</v>
      </c>
      <c r="Q333" s="34">
        <f t="shared" si="10"/>
        <v>395</v>
      </c>
      <c r="R333" s="34">
        <v>0</v>
      </c>
      <c r="S333" s="34">
        <f t="shared" si="11"/>
        <v>397</v>
      </c>
      <c r="T333" s="34">
        <v>0</v>
      </c>
    </row>
    <row r="334" spans="1:20" s="3" customFormat="1" ht="24" customHeight="1">
      <c r="A334" s="46">
        <v>327</v>
      </c>
      <c r="B334" s="38">
        <v>128</v>
      </c>
      <c r="C334" s="38">
        <v>4</v>
      </c>
      <c r="D334" s="38">
        <v>78</v>
      </c>
      <c r="E334" s="38">
        <v>1</v>
      </c>
      <c r="F334" s="38">
        <v>0</v>
      </c>
      <c r="G334" s="38">
        <v>0</v>
      </c>
      <c r="H334" s="38">
        <v>0</v>
      </c>
      <c r="I334" s="38">
        <v>0</v>
      </c>
      <c r="J334" s="38">
        <v>2</v>
      </c>
      <c r="K334" s="38">
        <v>0</v>
      </c>
      <c r="L334" s="38">
        <v>0</v>
      </c>
      <c r="M334" s="38">
        <v>0</v>
      </c>
      <c r="N334" s="38">
        <v>0</v>
      </c>
      <c r="O334" s="38">
        <v>0</v>
      </c>
      <c r="P334" s="38">
        <v>1</v>
      </c>
      <c r="Q334" s="34">
        <f t="shared" si="10"/>
        <v>213</v>
      </c>
      <c r="R334" s="34">
        <v>0</v>
      </c>
      <c r="S334" s="34">
        <f t="shared" si="11"/>
        <v>214</v>
      </c>
      <c r="T334" s="34">
        <v>0</v>
      </c>
    </row>
    <row r="335" spans="1:20" s="3" customFormat="1" ht="24" customHeight="1">
      <c r="A335" s="46">
        <v>328</v>
      </c>
      <c r="B335" s="38">
        <v>153</v>
      </c>
      <c r="C335" s="38">
        <v>4</v>
      </c>
      <c r="D335" s="38">
        <v>90</v>
      </c>
      <c r="E335" s="38">
        <v>2</v>
      </c>
      <c r="F335" s="38">
        <v>0</v>
      </c>
      <c r="G335" s="38">
        <v>0</v>
      </c>
      <c r="H335" s="38">
        <v>0</v>
      </c>
      <c r="I335" s="38">
        <v>0</v>
      </c>
      <c r="J335" s="38">
        <v>7</v>
      </c>
      <c r="K335" s="38">
        <v>0</v>
      </c>
      <c r="L335" s="38">
        <v>0</v>
      </c>
      <c r="M335" s="38">
        <v>1</v>
      </c>
      <c r="N335" s="38">
        <v>0</v>
      </c>
      <c r="O335" s="38">
        <v>0</v>
      </c>
      <c r="P335" s="38">
        <v>1</v>
      </c>
      <c r="Q335" s="34">
        <f t="shared" si="10"/>
        <v>257</v>
      </c>
      <c r="R335" s="34">
        <v>0</v>
      </c>
      <c r="S335" s="34">
        <f t="shared" si="11"/>
        <v>258</v>
      </c>
      <c r="T335" s="34">
        <v>0</v>
      </c>
    </row>
    <row r="336" spans="1:20" s="3" customFormat="1" ht="24" customHeight="1">
      <c r="A336" s="46">
        <v>329</v>
      </c>
      <c r="B336" s="38">
        <v>237</v>
      </c>
      <c r="C336" s="38">
        <v>12</v>
      </c>
      <c r="D336" s="38">
        <v>201</v>
      </c>
      <c r="E336" s="38">
        <v>4</v>
      </c>
      <c r="F336" s="38">
        <v>4</v>
      </c>
      <c r="G336" s="38">
        <v>3</v>
      </c>
      <c r="H336" s="38">
        <v>3</v>
      </c>
      <c r="I336" s="38">
        <v>3</v>
      </c>
      <c r="J336" s="38">
        <v>6</v>
      </c>
      <c r="K336" s="38">
        <v>4</v>
      </c>
      <c r="L336" s="38">
        <v>3</v>
      </c>
      <c r="M336" s="38">
        <v>3</v>
      </c>
      <c r="N336" s="38">
        <v>3</v>
      </c>
      <c r="O336" s="38">
        <v>2</v>
      </c>
      <c r="P336" s="38">
        <v>4</v>
      </c>
      <c r="Q336" s="34">
        <f t="shared" si="10"/>
        <v>488</v>
      </c>
      <c r="R336" s="34">
        <v>0</v>
      </c>
      <c r="S336" s="34">
        <f t="shared" si="11"/>
        <v>492</v>
      </c>
      <c r="T336" s="34">
        <v>0</v>
      </c>
    </row>
    <row r="337" spans="1:20" s="3" customFormat="1" ht="24" customHeight="1">
      <c r="A337" s="46">
        <v>330</v>
      </c>
      <c r="B337" s="38">
        <v>195</v>
      </c>
      <c r="C337" s="38">
        <v>5</v>
      </c>
      <c r="D337" s="38">
        <v>97</v>
      </c>
      <c r="E337" s="38">
        <v>2</v>
      </c>
      <c r="F337" s="38">
        <v>0</v>
      </c>
      <c r="G337" s="38">
        <v>0</v>
      </c>
      <c r="H337" s="38">
        <v>0</v>
      </c>
      <c r="I337" s="38">
        <v>0</v>
      </c>
      <c r="J337" s="38">
        <v>2</v>
      </c>
      <c r="K337" s="38">
        <v>0</v>
      </c>
      <c r="L337" s="38">
        <v>0</v>
      </c>
      <c r="M337" s="38">
        <v>0</v>
      </c>
      <c r="N337" s="38">
        <v>0</v>
      </c>
      <c r="O337" s="38">
        <v>1</v>
      </c>
      <c r="P337" s="38">
        <v>3</v>
      </c>
      <c r="Q337" s="34">
        <f t="shared" si="10"/>
        <v>302</v>
      </c>
      <c r="R337" s="34">
        <v>0</v>
      </c>
      <c r="S337" s="34">
        <f t="shared" si="11"/>
        <v>305</v>
      </c>
      <c r="T337" s="34">
        <v>0</v>
      </c>
    </row>
    <row r="338" spans="1:20" s="3" customFormat="1" ht="24" customHeight="1">
      <c r="A338" s="46">
        <v>331</v>
      </c>
      <c r="B338" s="38">
        <v>193</v>
      </c>
      <c r="C338" s="38">
        <v>20</v>
      </c>
      <c r="D338" s="38">
        <v>323</v>
      </c>
      <c r="E338" s="38">
        <v>2</v>
      </c>
      <c r="F338" s="38">
        <v>2</v>
      </c>
      <c r="G338" s="38">
        <v>0</v>
      </c>
      <c r="H338" s="38">
        <v>0</v>
      </c>
      <c r="I338" s="38">
        <v>0</v>
      </c>
      <c r="J338" s="38">
        <v>17</v>
      </c>
      <c r="K338" s="38">
        <v>1</v>
      </c>
      <c r="L338" s="38">
        <v>0</v>
      </c>
      <c r="M338" s="38">
        <v>0</v>
      </c>
      <c r="N338" s="38">
        <v>0</v>
      </c>
      <c r="O338" s="38">
        <v>2</v>
      </c>
      <c r="P338" s="38">
        <v>4</v>
      </c>
      <c r="Q338" s="34">
        <f t="shared" si="10"/>
        <v>560</v>
      </c>
      <c r="R338" s="34">
        <v>0</v>
      </c>
      <c r="S338" s="34">
        <f t="shared" si="11"/>
        <v>564</v>
      </c>
      <c r="T338" s="34">
        <v>0</v>
      </c>
    </row>
    <row r="339" spans="1:20" s="3" customFormat="1" ht="24" customHeight="1">
      <c r="A339" s="46">
        <v>332</v>
      </c>
      <c r="B339" s="38">
        <v>154</v>
      </c>
      <c r="C339" s="38">
        <v>6</v>
      </c>
      <c r="D339" s="38">
        <v>257</v>
      </c>
      <c r="E339" s="38">
        <v>2</v>
      </c>
      <c r="F339" s="38">
        <v>0</v>
      </c>
      <c r="G339" s="38">
        <v>0</v>
      </c>
      <c r="H339" s="38">
        <v>0</v>
      </c>
      <c r="I339" s="38">
        <v>1</v>
      </c>
      <c r="J339" s="38">
        <v>78</v>
      </c>
      <c r="K339" s="38">
        <v>0</v>
      </c>
      <c r="L339" s="38">
        <v>0</v>
      </c>
      <c r="M339" s="38">
        <v>0</v>
      </c>
      <c r="N339" s="38">
        <v>0</v>
      </c>
      <c r="O339" s="38">
        <v>1</v>
      </c>
      <c r="P339" s="38">
        <v>2</v>
      </c>
      <c r="Q339" s="34">
        <f t="shared" si="10"/>
        <v>499</v>
      </c>
      <c r="R339" s="34">
        <v>0</v>
      </c>
      <c r="S339" s="34">
        <f t="shared" si="11"/>
        <v>501</v>
      </c>
      <c r="T339" s="34">
        <v>0</v>
      </c>
    </row>
    <row r="340" spans="1:20" s="3" customFormat="1" ht="24" customHeight="1">
      <c r="A340" s="46">
        <v>333</v>
      </c>
      <c r="B340" s="38">
        <v>228</v>
      </c>
      <c r="C340" s="38">
        <v>22</v>
      </c>
      <c r="D340" s="38">
        <v>256</v>
      </c>
      <c r="E340" s="38">
        <v>7</v>
      </c>
      <c r="F340" s="38">
        <v>0</v>
      </c>
      <c r="G340" s="38">
        <v>0</v>
      </c>
      <c r="H340" s="38">
        <v>0</v>
      </c>
      <c r="I340" s="38">
        <v>0</v>
      </c>
      <c r="J340" s="38">
        <v>33</v>
      </c>
      <c r="K340" s="38">
        <v>0</v>
      </c>
      <c r="L340" s="38">
        <v>1</v>
      </c>
      <c r="M340" s="38">
        <v>0</v>
      </c>
      <c r="N340" s="38">
        <v>3</v>
      </c>
      <c r="O340" s="38">
        <v>4</v>
      </c>
      <c r="P340" s="38">
        <v>5</v>
      </c>
      <c r="Q340" s="34">
        <f t="shared" si="10"/>
        <v>554</v>
      </c>
      <c r="R340" s="34">
        <v>0</v>
      </c>
      <c r="S340" s="34">
        <f t="shared" si="11"/>
        <v>559</v>
      </c>
      <c r="T340" s="34">
        <v>0</v>
      </c>
    </row>
    <row r="341" spans="1:20" s="3" customFormat="1" ht="24" customHeight="1">
      <c r="A341" s="46">
        <v>334</v>
      </c>
      <c r="B341" s="38">
        <v>402</v>
      </c>
      <c r="C341" s="38">
        <v>6</v>
      </c>
      <c r="D341" s="38">
        <v>63</v>
      </c>
      <c r="E341" s="38">
        <v>1</v>
      </c>
      <c r="F341" s="38">
        <v>3</v>
      </c>
      <c r="G341" s="38">
        <v>0</v>
      </c>
      <c r="H341" s="38">
        <v>0</v>
      </c>
      <c r="I341" s="38">
        <v>0</v>
      </c>
      <c r="J341" s="38">
        <v>7</v>
      </c>
      <c r="K341" s="38">
        <v>0</v>
      </c>
      <c r="L341" s="38">
        <v>2</v>
      </c>
      <c r="M341" s="38">
        <v>0</v>
      </c>
      <c r="N341" s="38">
        <v>2</v>
      </c>
      <c r="O341" s="38">
        <v>1</v>
      </c>
      <c r="P341" s="38">
        <v>9</v>
      </c>
      <c r="Q341" s="34">
        <f t="shared" si="10"/>
        <v>487</v>
      </c>
      <c r="R341" s="34">
        <v>0</v>
      </c>
      <c r="S341" s="34">
        <f t="shared" si="11"/>
        <v>496</v>
      </c>
      <c r="T341" s="34">
        <v>0</v>
      </c>
    </row>
    <row r="342" spans="1:20" s="3" customFormat="1" ht="24" customHeight="1">
      <c r="A342" s="46">
        <v>335</v>
      </c>
      <c r="B342" s="38">
        <v>301</v>
      </c>
      <c r="C342" s="38">
        <v>8</v>
      </c>
      <c r="D342" s="38">
        <v>175</v>
      </c>
      <c r="E342" s="38">
        <v>4</v>
      </c>
      <c r="F342" s="38">
        <v>0</v>
      </c>
      <c r="G342" s="38">
        <v>0</v>
      </c>
      <c r="H342" s="38">
        <v>0</v>
      </c>
      <c r="I342" s="38">
        <v>0</v>
      </c>
      <c r="J342" s="38">
        <v>3</v>
      </c>
      <c r="K342" s="38">
        <v>0</v>
      </c>
      <c r="L342" s="38">
        <v>0</v>
      </c>
      <c r="M342" s="38">
        <v>0</v>
      </c>
      <c r="N342" s="38">
        <v>2</v>
      </c>
      <c r="O342" s="38">
        <v>5</v>
      </c>
      <c r="P342" s="38">
        <v>5</v>
      </c>
      <c r="Q342" s="34">
        <f t="shared" si="10"/>
        <v>498</v>
      </c>
      <c r="R342" s="34">
        <v>0</v>
      </c>
      <c r="S342" s="34">
        <f t="shared" si="11"/>
        <v>503</v>
      </c>
      <c r="T342" s="34">
        <v>0</v>
      </c>
    </row>
    <row r="343" spans="1:20" s="3" customFormat="1" ht="24" customHeight="1">
      <c r="A343" s="46">
        <v>336</v>
      </c>
      <c r="B343" s="38">
        <v>199</v>
      </c>
      <c r="C343" s="38">
        <v>203</v>
      </c>
      <c r="D343" s="38">
        <v>202</v>
      </c>
      <c r="E343" s="38">
        <v>6</v>
      </c>
      <c r="F343" s="38">
        <v>1</v>
      </c>
      <c r="G343" s="38">
        <v>1</v>
      </c>
      <c r="H343" s="38">
        <v>1</v>
      </c>
      <c r="I343" s="38">
        <v>0</v>
      </c>
      <c r="J343" s="38">
        <v>10</v>
      </c>
      <c r="K343" s="38">
        <v>0</v>
      </c>
      <c r="L343" s="38">
        <v>1</v>
      </c>
      <c r="M343" s="38">
        <v>1</v>
      </c>
      <c r="N343" s="38">
        <v>1</v>
      </c>
      <c r="O343" s="38">
        <v>2</v>
      </c>
      <c r="P343" s="38">
        <v>3</v>
      </c>
      <c r="Q343" s="34">
        <f t="shared" si="10"/>
        <v>628</v>
      </c>
      <c r="R343" s="34">
        <v>0</v>
      </c>
      <c r="S343" s="34">
        <f t="shared" si="11"/>
        <v>631</v>
      </c>
      <c r="T343" s="34">
        <v>0</v>
      </c>
    </row>
    <row r="344" spans="1:20" s="3" customFormat="1" ht="24" customHeight="1">
      <c r="A344" s="49">
        <v>337</v>
      </c>
      <c r="B344" s="38">
        <v>46</v>
      </c>
      <c r="C344" s="38">
        <v>18</v>
      </c>
      <c r="D344" s="38">
        <v>448</v>
      </c>
      <c r="E344" s="38">
        <v>3</v>
      </c>
      <c r="F344" s="38">
        <v>0</v>
      </c>
      <c r="G344" s="38">
        <v>0</v>
      </c>
      <c r="H344" s="38">
        <v>1</v>
      </c>
      <c r="I344" s="38">
        <v>1</v>
      </c>
      <c r="J344" s="38">
        <v>46</v>
      </c>
      <c r="K344" s="38">
        <v>1</v>
      </c>
      <c r="L344" s="38">
        <v>0</v>
      </c>
      <c r="M344" s="38">
        <v>0</v>
      </c>
      <c r="N344" s="38">
        <v>1</v>
      </c>
      <c r="O344" s="38">
        <v>1</v>
      </c>
      <c r="P344" s="38">
        <v>0</v>
      </c>
      <c r="Q344" s="34">
        <f t="shared" si="10"/>
        <v>566</v>
      </c>
      <c r="R344" s="34">
        <v>0</v>
      </c>
      <c r="S344" s="34">
        <f t="shared" si="11"/>
        <v>566</v>
      </c>
      <c r="T344" s="34">
        <v>0</v>
      </c>
    </row>
    <row r="345" spans="1:20" s="3" customFormat="1" ht="24" customHeight="1">
      <c r="A345" s="49">
        <v>338</v>
      </c>
      <c r="B345" s="38">
        <v>65</v>
      </c>
      <c r="C345" s="38">
        <v>11</v>
      </c>
      <c r="D345" s="38">
        <v>261</v>
      </c>
      <c r="E345" s="38">
        <v>2</v>
      </c>
      <c r="F345" s="38">
        <v>1</v>
      </c>
      <c r="G345" s="38">
        <v>0</v>
      </c>
      <c r="H345" s="38">
        <v>0</v>
      </c>
      <c r="I345" s="38">
        <v>0</v>
      </c>
      <c r="J345" s="38">
        <v>23</v>
      </c>
      <c r="K345" s="38">
        <v>0</v>
      </c>
      <c r="L345" s="38">
        <v>1</v>
      </c>
      <c r="M345" s="38">
        <v>0</v>
      </c>
      <c r="N345" s="38">
        <v>0</v>
      </c>
      <c r="O345" s="38">
        <v>0</v>
      </c>
      <c r="P345" s="38">
        <v>1</v>
      </c>
      <c r="Q345" s="34">
        <f t="shared" si="10"/>
        <v>364</v>
      </c>
      <c r="R345" s="34">
        <v>0</v>
      </c>
      <c r="S345" s="34">
        <f t="shared" si="11"/>
        <v>365</v>
      </c>
      <c r="T345" s="34">
        <v>0</v>
      </c>
    </row>
    <row r="346" spans="1:20" s="3" customFormat="1" ht="24" customHeight="1">
      <c r="A346" s="49">
        <v>339</v>
      </c>
      <c r="B346" s="38">
        <v>309</v>
      </c>
      <c r="C346" s="38">
        <v>29</v>
      </c>
      <c r="D346" s="38">
        <v>250</v>
      </c>
      <c r="E346" s="38">
        <v>6</v>
      </c>
      <c r="F346" s="38">
        <v>0</v>
      </c>
      <c r="G346" s="38">
        <v>0</v>
      </c>
      <c r="H346" s="38">
        <v>1</v>
      </c>
      <c r="I346" s="38">
        <v>0</v>
      </c>
      <c r="J346" s="38">
        <v>3</v>
      </c>
      <c r="K346" s="38">
        <v>0</v>
      </c>
      <c r="L346" s="38">
        <v>0</v>
      </c>
      <c r="M346" s="38">
        <v>2</v>
      </c>
      <c r="N346" s="38">
        <v>2</v>
      </c>
      <c r="O346" s="38">
        <v>0</v>
      </c>
      <c r="P346" s="38">
        <v>0</v>
      </c>
      <c r="Q346" s="34">
        <f t="shared" si="10"/>
        <v>602</v>
      </c>
      <c r="R346" s="34">
        <v>0</v>
      </c>
      <c r="S346" s="34">
        <f t="shared" si="11"/>
        <v>602</v>
      </c>
      <c r="T346" s="34">
        <v>0</v>
      </c>
    </row>
    <row r="347" spans="1:20" s="3" customFormat="1" ht="24" customHeight="1">
      <c r="A347" s="49">
        <v>340</v>
      </c>
      <c r="B347" s="38">
        <v>397</v>
      </c>
      <c r="C347" s="38">
        <v>5</v>
      </c>
      <c r="D347" s="38">
        <v>145</v>
      </c>
      <c r="E347" s="38">
        <v>1</v>
      </c>
      <c r="F347" s="38">
        <v>0</v>
      </c>
      <c r="G347" s="38">
        <v>0</v>
      </c>
      <c r="H347" s="38">
        <v>1</v>
      </c>
      <c r="I347" s="38">
        <v>0</v>
      </c>
      <c r="J347" s="38">
        <v>2</v>
      </c>
      <c r="K347" s="38">
        <v>0</v>
      </c>
      <c r="L347" s="38">
        <v>0</v>
      </c>
      <c r="M347" s="38">
        <v>0</v>
      </c>
      <c r="N347" s="38">
        <v>1</v>
      </c>
      <c r="O347" s="38">
        <v>1</v>
      </c>
      <c r="P347" s="38">
        <v>3</v>
      </c>
      <c r="Q347" s="34">
        <f t="shared" si="10"/>
        <v>553</v>
      </c>
      <c r="R347" s="34">
        <v>0</v>
      </c>
      <c r="S347" s="34">
        <f t="shared" si="11"/>
        <v>556</v>
      </c>
      <c r="T347" s="34">
        <v>0</v>
      </c>
    </row>
    <row r="348" spans="1:20" s="3" customFormat="1" ht="24" customHeight="1">
      <c r="A348" s="49">
        <v>341</v>
      </c>
      <c r="B348" s="38">
        <v>238</v>
      </c>
      <c r="C348" s="38">
        <v>134</v>
      </c>
      <c r="D348" s="38">
        <v>83</v>
      </c>
      <c r="E348" s="38">
        <v>0</v>
      </c>
      <c r="F348" s="38">
        <v>0</v>
      </c>
      <c r="G348" s="38">
        <v>1</v>
      </c>
      <c r="H348" s="38">
        <v>0</v>
      </c>
      <c r="I348" s="38">
        <v>2</v>
      </c>
      <c r="J348" s="38">
        <v>0</v>
      </c>
      <c r="K348" s="38">
        <v>1</v>
      </c>
      <c r="L348" s="38">
        <v>1</v>
      </c>
      <c r="M348" s="38">
        <v>1</v>
      </c>
      <c r="N348" s="38">
        <v>0</v>
      </c>
      <c r="O348" s="38">
        <v>2</v>
      </c>
      <c r="P348" s="38">
        <v>2</v>
      </c>
      <c r="Q348" s="34">
        <f t="shared" si="10"/>
        <v>463</v>
      </c>
      <c r="R348" s="34">
        <v>0</v>
      </c>
      <c r="S348" s="34">
        <f t="shared" si="11"/>
        <v>465</v>
      </c>
      <c r="T348" s="34">
        <v>0</v>
      </c>
    </row>
    <row r="349" spans="1:20" s="3" customFormat="1" ht="24" customHeight="1">
      <c r="A349" s="49">
        <v>342</v>
      </c>
      <c r="B349" s="38">
        <v>309</v>
      </c>
      <c r="C349" s="38">
        <v>43</v>
      </c>
      <c r="D349" s="38">
        <v>313</v>
      </c>
      <c r="E349" s="38">
        <v>0</v>
      </c>
      <c r="F349" s="38">
        <v>1</v>
      </c>
      <c r="G349" s="38">
        <v>0</v>
      </c>
      <c r="H349" s="38">
        <v>0</v>
      </c>
      <c r="I349" s="38">
        <v>0</v>
      </c>
      <c r="J349" s="38">
        <v>1</v>
      </c>
      <c r="K349" s="38">
        <v>0</v>
      </c>
      <c r="L349" s="38">
        <v>0</v>
      </c>
      <c r="M349" s="38">
        <v>1</v>
      </c>
      <c r="N349" s="38">
        <v>0</v>
      </c>
      <c r="O349" s="38">
        <v>0</v>
      </c>
      <c r="P349" s="38">
        <v>2</v>
      </c>
      <c r="Q349" s="34">
        <f t="shared" si="10"/>
        <v>668</v>
      </c>
      <c r="R349" s="34">
        <v>0</v>
      </c>
      <c r="S349" s="34">
        <f t="shared" si="11"/>
        <v>670</v>
      </c>
      <c r="T349" s="34">
        <v>0</v>
      </c>
    </row>
    <row r="350" spans="1:20" s="3" customFormat="1" ht="24" customHeight="1">
      <c r="A350" s="49">
        <v>343</v>
      </c>
      <c r="B350" s="38">
        <v>373</v>
      </c>
      <c r="C350" s="38">
        <v>16</v>
      </c>
      <c r="D350" s="38">
        <v>199</v>
      </c>
      <c r="E350" s="38">
        <v>3</v>
      </c>
      <c r="F350" s="38">
        <v>0</v>
      </c>
      <c r="G350" s="38">
        <v>0</v>
      </c>
      <c r="H350" s="38">
        <v>0</v>
      </c>
      <c r="I350" s="38">
        <v>0</v>
      </c>
      <c r="J350" s="38">
        <v>2</v>
      </c>
      <c r="K350" s="38">
        <v>1</v>
      </c>
      <c r="L350" s="38">
        <v>0</v>
      </c>
      <c r="M350" s="38">
        <v>2</v>
      </c>
      <c r="N350" s="38">
        <v>2</v>
      </c>
      <c r="O350" s="38">
        <v>3</v>
      </c>
      <c r="P350" s="38">
        <v>6</v>
      </c>
      <c r="Q350" s="34">
        <f t="shared" si="10"/>
        <v>601</v>
      </c>
      <c r="R350" s="34">
        <v>0</v>
      </c>
      <c r="S350" s="34">
        <f t="shared" si="11"/>
        <v>607</v>
      </c>
      <c r="T350" s="34">
        <v>0</v>
      </c>
    </row>
    <row r="351" spans="1:20" s="3" customFormat="1" ht="24" customHeight="1">
      <c r="A351" s="49">
        <v>344</v>
      </c>
      <c r="B351" s="38">
        <v>406</v>
      </c>
      <c r="C351" s="38">
        <v>16</v>
      </c>
      <c r="D351" s="38">
        <v>113</v>
      </c>
      <c r="E351" s="38">
        <v>1</v>
      </c>
      <c r="F351" s="38">
        <v>0</v>
      </c>
      <c r="G351" s="38">
        <v>0</v>
      </c>
      <c r="H351" s="38">
        <v>0</v>
      </c>
      <c r="I351" s="38">
        <v>0</v>
      </c>
      <c r="J351" s="38">
        <v>0</v>
      </c>
      <c r="K351" s="38">
        <v>0</v>
      </c>
      <c r="L351" s="38">
        <v>0</v>
      </c>
      <c r="M351" s="38">
        <v>1</v>
      </c>
      <c r="N351" s="38">
        <v>0</v>
      </c>
      <c r="O351" s="38">
        <v>0</v>
      </c>
      <c r="P351" s="38">
        <v>7</v>
      </c>
      <c r="Q351" s="34">
        <f t="shared" si="10"/>
        <v>537</v>
      </c>
      <c r="R351" s="34">
        <v>0</v>
      </c>
      <c r="S351" s="34">
        <f t="shared" si="11"/>
        <v>544</v>
      </c>
      <c r="T351" s="34">
        <v>0</v>
      </c>
    </row>
    <row r="352" spans="1:20" s="3" customFormat="1" ht="24" customHeight="1">
      <c r="A352" s="49">
        <v>345</v>
      </c>
      <c r="B352" s="38">
        <v>257</v>
      </c>
      <c r="C352" s="38">
        <v>30</v>
      </c>
      <c r="D352" s="38">
        <v>114</v>
      </c>
      <c r="E352" s="38">
        <v>2</v>
      </c>
      <c r="F352" s="38">
        <v>0</v>
      </c>
      <c r="G352" s="38">
        <v>0</v>
      </c>
      <c r="H352" s="38">
        <v>0</v>
      </c>
      <c r="I352" s="38">
        <v>0</v>
      </c>
      <c r="J352" s="38">
        <v>0</v>
      </c>
      <c r="K352" s="38">
        <v>0</v>
      </c>
      <c r="L352" s="38">
        <v>0</v>
      </c>
      <c r="M352" s="38">
        <v>2</v>
      </c>
      <c r="N352" s="38">
        <v>0</v>
      </c>
      <c r="O352" s="38">
        <v>1</v>
      </c>
      <c r="P352" s="38">
        <v>2</v>
      </c>
      <c r="Q352" s="34">
        <f t="shared" si="10"/>
        <v>406</v>
      </c>
      <c r="R352" s="34">
        <v>0</v>
      </c>
      <c r="S352" s="34">
        <f t="shared" si="11"/>
        <v>408</v>
      </c>
      <c r="T352" s="34">
        <v>0</v>
      </c>
    </row>
    <row r="353" spans="1:20" s="3" customFormat="1" ht="24" customHeight="1">
      <c r="A353" s="49">
        <v>346</v>
      </c>
      <c r="B353" s="38">
        <v>258</v>
      </c>
      <c r="C353" s="38">
        <v>15</v>
      </c>
      <c r="D353" s="38">
        <v>214</v>
      </c>
      <c r="E353" s="38">
        <v>0</v>
      </c>
      <c r="F353" s="38">
        <v>0</v>
      </c>
      <c r="G353" s="38">
        <v>0</v>
      </c>
      <c r="H353" s="38">
        <v>0</v>
      </c>
      <c r="I353" s="38">
        <v>0</v>
      </c>
      <c r="J353" s="38">
        <v>0</v>
      </c>
      <c r="K353" s="38">
        <v>0</v>
      </c>
      <c r="L353" s="38">
        <v>0</v>
      </c>
      <c r="M353" s="38">
        <v>3</v>
      </c>
      <c r="N353" s="38">
        <v>4</v>
      </c>
      <c r="O353" s="38">
        <v>6</v>
      </c>
      <c r="P353" s="38">
        <v>3</v>
      </c>
      <c r="Q353" s="34">
        <f t="shared" si="10"/>
        <v>500</v>
      </c>
      <c r="R353" s="34">
        <v>0</v>
      </c>
      <c r="S353" s="34">
        <f t="shared" si="11"/>
        <v>503</v>
      </c>
      <c r="T353" s="34">
        <v>0</v>
      </c>
    </row>
    <row r="354" spans="1:20" s="3" customFormat="1" ht="24" customHeight="1">
      <c r="A354" s="49">
        <v>347</v>
      </c>
      <c r="B354" s="38">
        <v>486</v>
      </c>
      <c r="C354" s="38">
        <v>29</v>
      </c>
      <c r="D354" s="38">
        <v>119</v>
      </c>
      <c r="E354" s="38">
        <v>2</v>
      </c>
      <c r="F354" s="38">
        <v>0</v>
      </c>
      <c r="G354" s="38">
        <v>0</v>
      </c>
      <c r="H354" s="38">
        <v>1</v>
      </c>
      <c r="I354" s="38">
        <v>0</v>
      </c>
      <c r="J354" s="38">
        <v>1</v>
      </c>
      <c r="K354" s="38">
        <v>2</v>
      </c>
      <c r="L354" s="38">
        <v>1</v>
      </c>
      <c r="M354" s="38">
        <v>1</v>
      </c>
      <c r="N354" s="38">
        <v>3</v>
      </c>
      <c r="O354" s="38">
        <v>3</v>
      </c>
      <c r="P354" s="38">
        <v>10</v>
      </c>
      <c r="Q354" s="34">
        <f t="shared" si="10"/>
        <v>648</v>
      </c>
      <c r="R354" s="34">
        <v>0</v>
      </c>
      <c r="S354" s="34">
        <f t="shared" si="11"/>
        <v>658</v>
      </c>
      <c r="T354" s="34">
        <v>0</v>
      </c>
    </row>
    <row r="355" spans="1:20" s="3" customFormat="1" ht="24" customHeight="1">
      <c r="A355" s="49">
        <v>348</v>
      </c>
      <c r="B355" s="38">
        <v>326</v>
      </c>
      <c r="C355" s="38">
        <v>16</v>
      </c>
      <c r="D355" s="38">
        <v>379</v>
      </c>
      <c r="E355" s="38">
        <v>5</v>
      </c>
      <c r="F355" s="38">
        <v>0</v>
      </c>
      <c r="G355" s="38">
        <v>0</v>
      </c>
      <c r="H355" s="38">
        <v>1</v>
      </c>
      <c r="I355" s="38">
        <v>0</v>
      </c>
      <c r="J355" s="38">
        <v>5</v>
      </c>
      <c r="K355" s="38">
        <v>1</v>
      </c>
      <c r="L355" s="38">
        <v>2</v>
      </c>
      <c r="M355" s="38">
        <v>4</v>
      </c>
      <c r="N355" s="38">
        <v>1</v>
      </c>
      <c r="O355" s="38">
        <v>1</v>
      </c>
      <c r="P355" s="38">
        <v>2</v>
      </c>
      <c r="Q355" s="34">
        <f t="shared" si="10"/>
        <v>741</v>
      </c>
      <c r="R355" s="34">
        <v>0</v>
      </c>
      <c r="S355" s="34">
        <f t="shared" si="11"/>
        <v>743</v>
      </c>
      <c r="T355" s="34">
        <v>0</v>
      </c>
    </row>
    <row r="356" spans="1:20" s="3" customFormat="1" ht="24" customHeight="1">
      <c r="A356" s="49">
        <v>349</v>
      </c>
      <c r="B356" s="38">
        <v>529</v>
      </c>
      <c r="C356" s="38">
        <v>25</v>
      </c>
      <c r="D356" s="38">
        <v>140</v>
      </c>
      <c r="E356" s="38">
        <v>3</v>
      </c>
      <c r="F356" s="38">
        <v>1</v>
      </c>
      <c r="G356" s="38">
        <v>1</v>
      </c>
      <c r="H356" s="38">
        <v>0</v>
      </c>
      <c r="I356" s="38">
        <v>1</v>
      </c>
      <c r="J356" s="38">
        <v>1</v>
      </c>
      <c r="K356" s="38">
        <v>0</v>
      </c>
      <c r="L356" s="38">
        <v>2</v>
      </c>
      <c r="M356" s="38">
        <v>2</v>
      </c>
      <c r="N356" s="38">
        <v>4</v>
      </c>
      <c r="O356" s="38">
        <v>1</v>
      </c>
      <c r="P356" s="38">
        <v>5</v>
      </c>
      <c r="Q356" s="34">
        <f t="shared" si="10"/>
        <v>710</v>
      </c>
      <c r="R356" s="34">
        <v>0</v>
      </c>
      <c r="S356" s="34">
        <f t="shared" si="11"/>
        <v>715</v>
      </c>
      <c r="T356" s="34">
        <v>0</v>
      </c>
    </row>
    <row r="357" spans="1:20" s="3" customFormat="1" ht="24" customHeight="1">
      <c r="A357" s="49">
        <v>350</v>
      </c>
      <c r="B357" s="38">
        <v>343</v>
      </c>
      <c r="C357" s="38">
        <v>32</v>
      </c>
      <c r="D357" s="38">
        <v>279</v>
      </c>
      <c r="E357" s="38">
        <v>4</v>
      </c>
      <c r="F357" s="38">
        <v>0</v>
      </c>
      <c r="G357" s="38">
        <v>0</v>
      </c>
      <c r="H357" s="38">
        <v>1</v>
      </c>
      <c r="I357" s="38">
        <v>4</v>
      </c>
      <c r="J357" s="38">
        <v>3</v>
      </c>
      <c r="K357" s="38">
        <v>0</v>
      </c>
      <c r="L357" s="38">
        <v>0</v>
      </c>
      <c r="M357" s="38">
        <v>2</v>
      </c>
      <c r="N357" s="38">
        <v>2</v>
      </c>
      <c r="O357" s="38">
        <v>1</v>
      </c>
      <c r="P357" s="38">
        <v>3</v>
      </c>
      <c r="Q357" s="34">
        <f t="shared" si="10"/>
        <v>671</v>
      </c>
      <c r="R357" s="34">
        <v>0</v>
      </c>
      <c r="S357" s="34">
        <f t="shared" si="11"/>
        <v>674</v>
      </c>
      <c r="T357" s="34">
        <v>0</v>
      </c>
    </row>
    <row r="358" spans="1:20" s="3" customFormat="1" ht="24" customHeight="1">
      <c r="A358" s="37">
        <v>351</v>
      </c>
      <c r="B358" s="38">
        <v>366</v>
      </c>
      <c r="C358" s="38">
        <v>9</v>
      </c>
      <c r="D358" s="38">
        <v>248</v>
      </c>
      <c r="E358" s="38">
        <v>2</v>
      </c>
      <c r="F358" s="38">
        <v>0</v>
      </c>
      <c r="G358" s="38">
        <v>1</v>
      </c>
      <c r="H358" s="38">
        <v>1</v>
      </c>
      <c r="I358" s="38">
        <v>0</v>
      </c>
      <c r="J358" s="38">
        <v>0</v>
      </c>
      <c r="K358" s="38">
        <v>0</v>
      </c>
      <c r="L358" s="38">
        <v>2</v>
      </c>
      <c r="M358" s="38">
        <v>0</v>
      </c>
      <c r="N358" s="38">
        <v>2</v>
      </c>
      <c r="O358" s="38">
        <v>2</v>
      </c>
      <c r="P358" s="38">
        <v>2</v>
      </c>
      <c r="Q358" s="34">
        <f t="shared" si="10"/>
        <v>633</v>
      </c>
      <c r="R358" s="34">
        <v>0</v>
      </c>
      <c r="S358" s="34">
        <f t="shared" si="11"/>
        <v>635</v>
      </c>
      <c r="T358" s="34">
        <v>0</v>
      </c>
    </row>
    <row r="359" spans="1:20" s="3" customFormat="1" ht="24" customHeight="1">
      <c r="A359" s="37">
        <v>352</v>
      </c>
      <c r="B359" s="38">
        <v>423</v>
      </c>
      <c r="C359" s="38">
        <v>33</v>
      </c>
      <c r="D359" s="38">
        <v>183</v>
      </c>
      <c r="E359" s="38">
        <v>7</v>
      </c>
      <c r="F359" s="38">
        <v>0</v>
      </c>
      <c r="G359" s="38">
        <v>1</v>
      </c>
      <c r="H359" s="38">
        <v>1</v>
      </c>
      <c r="I359" s="38">
        <v>1</v>
      </c>
      <c r="J359" s="38">
        <v>1</v>
      </c>
      <c r="K359" s="38">
        <v>2</v>
      </c>
      <c r="L359" s="38">
        <v>0</v>
      </c>
      <c r="M359" s="38">
        <v>1</v>
      </c>
      <c r="N359" s="38">
        <v>1</v>
      </c>
      <c r="O359" s="38">
        <v>2</v>
      </c>
      <c r="P359" s="38">
        <v>1</v>
      </c>
      <c r="Q359" s="34">
        <f t="shared" si="10"/>
        <v>656</v>
      </c>
      <c r="R359" s="34">
        <v>0</v>
      </c>
      <c r="S359" s="34">
        <f t="shared" si="11"/>
        <v>657</v>
      </c>
      <c r="T359" s="34">
        <v>0</v>
      </c>
    </row>
    <row r="360" spans="1:20" s="3" customFormat="1" ht="24" customHeight="1">
      <c r="A360" s="37">
        <v>353</v>
      </c>
      <c r="B360" s="38">
        <v>262</v>
      </c>
      <c r="C360" s="38">
        <v>18</v>
      </c>
      <c r="D360" s="38">
        <v>233</v>
      </c>
      <c r="E360" s="38">
        <v>4</v>
      </c>
      <c r="F360" s="38">
        <v>0</v>
      </c>
      <c r="G360" s="38">
        <v>0</v>
      </c>
      <c r="H360" s="38">
        <v>0</v>
      </c>
      <c r="I360" s="38">
        <v>3</v>
      </c>
      <c r="J360" s="38">
        <v>4</v>
      </c>
      <c r="K360" s="38">
        <v>0</v>
      </c>
      <c r="L360" s="38">
        <v>0</v>
      </c>
      <c r="M360" s="38">
        <v>3</v>
      </c>
      <c r="N360" s="38">
        <v>4</v>
      </c>
      <c r="O360" s="38">
        <v>1</v>
      </c>
      <c r="P360" s="38">
        <v>3</v>
      </c>
      <c r="Q360" s="34">
        <f t="shared" si="10"/>
        <v>532</v>
      </c>
      <c r="R360" s="34">
        <v>0</v>
      </c>
      <c r="S360" s="34">
        <f t="shared" si="11"/>
        <v>535</v>
      </c>
      <c r="T360" s="34">
        <v>0</v>
      </c>
    </row>
    <row r="361" spans="1:20" s="3" customFormat="1" ht="24" customHeight="1">
      <c r="A361" s="37">
        <v>354</v>
      </c>
      <c r="B361" s="38">
        <v>157</v>
      </c>
      <c r="C361" s="38">
        <v>44</v>
      </c>
      <c r="D361" s="38">
        <v>194</v>
      </c>
      <c r="E361" s="38">
        <v>0</v>
      </c>
      <c r="F361" s="38">
        <v>0</v>
      </c>
      <c r="G361" s="38">
        <v>0</v>
      </c>
      <c r="H361" s="38">
        <v>0</v>
      </c>
      <c r="I361" s="38">
        <v>0</v>
      </c>
      <c r="J361" s="38">
        <v>2</v>
      </c>
      <c r="K361" s="38">
        <v>0</v>
      </c>
      <c r="L361" s="38">
        <v>0</v>
      </c>
      <c r="M361" s="38">
        <v>1</v>
      </c>
      <c r="N361" s="38">
        <v>1</v>
      </c>
      <c r="O361" s="38">
        <v>3</v>
      </c>
      <c r="P361" s="38">
        <v>4</v>
      </c>
      <c r="Q361" s="34">
        <f t="shared" si="10"/>
        <v>402</v>
      </c>
      <c r="R361" s="34">
        <v>0</v>
      </c>
      <c r="S361" s="34">
        <f t="shared" si="11"/>
        <v>406</v>
      </c>
      <c r="T361" s="34">
        <v>0</v>
      </c>
    </row>
    <row r="362" spans="1:20" s="3" customFormat="1" ht="24" customHeight="1">
      <c r="A362" s="37">
        <v>355</v>
      </c>
      <c r="B362" s="38">
        <v>160</v>
      </c>
      <c r="C362" s="38">
        <v>6</v>
      </c>
      <c r="D362" s="38">
        <v>207</v>
      </c>
      <c r="E362" s="38">
        <v>3</v>
      </c>
      <c r="F362" s="38">
        <v>0</v>
      </c>
      <c r="G362" s="38">
        <v>0</v>
      </c>
      <c r="H362" s="38">
        <v>0</v>
      </c>
      <c r="I362" s="38">
        <v>0</v>
      </c>
      <c r="J362" s="38">
        <v>2</v>
      </c>
      <c r="K362" s="38">
        <v>0</v>
      </c>
      <c r="L362" s="38">
        <v>0</v>
      </c>
      <c r="M362" s="38">
        <v>1</v>
      </c>
      <c r="N362" s="38">
        <v>1</v>
      </c>
      <c r="O362" s="38">
        <v>0</v>
      </c>
      <c r="P362" s="38">
        <v>3</v>
      </c>
      <c r="Q362" s="34">
        <f t="shared" si="10"/>
        <v>380</v>
      </c>
      <c r="R362" s="34">
        <v>0</v>
      </c>
      <c r="S362" s="34">
        <f t="shared" si="11"/>
        <v>383</v>
      </c>
      <c r="T362" s="34">
        <v>0</v>
      </c>
    </row>
    <row r="363" spans="1:20" s="3" customFormat="1" ht="24" customHeight="1">
      <c r="A363" s="37">
        <v>356</v>
      </c>
      <c r="B363" s="38">
        <v>270</v>
      </c>
      <c r="C363" s="38">
        <v>78</v>
      </c>
      <c r="D363" s="38">
        <v>164</v>
      </c>
      <c r="E363" s="38">
        <v>8</v>
      </c>
      <c r="F363" s="38">
        <v>1</v>
      </c>
      <c r="G363" s="38">
        <v>0</v>
      </c>
      <c r="H363" s="38">
        <v>1</v>
      </c>
      <c r="I363" s="38">
        <v>0</v>
      </c>
      <c r="J363" s="38">
        <v>0</v>
      </c>
      <c r="K363" s="38">
        <v>1</v>
      </c>
      <c r="L363" s="38">
        <v>1</v>
      </c>
      <c r="M363" s="38">
        <v>4</v>
      </c>
      <c r="N363" s="38">
        <v>1</v>
      </c>
      <c r="O363" s="38">
        <v>0</v>
      </c>
      <c r="P363" s="38">
        <v>1</v>
      </c>
      <c r="Q363" s="34">
        <f t="shared" si="10"/>
        <v>529</v>
      </c>
      <c r="R363" s="34">
        <v>0</v>
      </c>
      <c r="S363" s="34">
        <f t="shared" si="11"/>
        <v>530</v>
      </c>
      <c r="T363" s="34">
        <v>0</v>
      </c>
    </row>
    <row r="364" spans="1:20" s="3" customFormat="1" ht="24" customHeight="1">
      <c r="A364" s="37">
        <v>357</v>
      </c>
      <c r="B364" s="38">
        <v>363</v>
      </c>
      <c r="C364" s="38">
        <v>80</v>
      </c>
      <c r="D364" s="38">
        <v>306</v>
      </c>
      <c r="E364" s="38">
        <v>4</v>
      </c>
      <c r="F364" s="38">
        <v>0</v>
      </c>
      <c r="G364" s="38">
        <v>0</v>
      </c>
      <c r="H364" s="38">
        <v>0</v>
      </c>
      <c r="I364" s="38">
        <v>2</v>
      </c>
      <c r="J364" s="38">
        <v>1</v>
      </c>
      <c r="K364" s="38">
        <v>1</v>
      </c>
      <c r="L364" s="38">
        <v>1</v>
      </c>
      <c r="M364" s="38">
        <v>0</v>
      </c>
      <c r="N364" s="38">
        <v>3</v>
      </c>
      <c r="O364" s="38">
        <v>2</v>
      </c>
      <c r="P364" s="38">
        <v>7</v>
      </c>
      <c r="Q364" s="34">
        <f t="shared" si="10"/>
        <v>763</v>
      </c>
      <c r="R364" s="34">
        <v>0</v>
      </c>
      <c r="S364" s="34">
        <f t="shared" si="11"/>
        <v>770</v>
      </c>
      <c r="T364" s="34">
        <v>0</v>
      </c>
    </row>
    <row r="365" spans="1:20" s="3" customFormat="1" ht="24" customHeight="1">
      <c r="A365" s="37">
        <v>358</v>
      </c>
      <c r="B365" s="38">
        <v>86</v>
      </c>
      <c r="C365" s="38">
        <v>40</v>
      </c>
      <c r="D365" s="38">
        <v>274</v>
      </c>
      <c r="E365" s="38">
        <v>4</v>
      </c>
      <c r="F365" s="38">
        <v>1</v>
      </c>
      <c r="G365" s="38">
        <v>0</v>
      </c>
      <c r="H365" s="38">
        <v>0</v>
      </c>
      <c r="I365" s="38">
        <v>1</v>
      </c>
      <c r="J365" s="38">
        <v>0</v>
      </c>
      <c r="K365" s="38">
        <v>1</v>
      </c>
      <c r="L365" s="38">
        <v>1</v>
      </c>
      <c r="M365" s="38">
        <v>0</v>
      </c>
      <c r="N365" s="38">
        <v>0</v>
      </c>
      <c r="O365" s="38">
        <v>1</v>
      </c>
      <c r="P365" s="38">
        <v>2</v>
      </c>
      <c r="Q365" s="34">
        <f t="shared" si="10"/>
        <v>409</v>
      </c>
      <c r="R365" s="34">
        <v>0</v>
      </c>
      <c r="S365" s="34">
        <f t="shared" si="11"/>
        <v>411</v>
      </c>
      <c r="T365" s="34">
        <v>0</v>
      </c>
    </row>
    <row r="366" spans="1:20" s="3" customFormat="1" ht="24" customHeight="1">
      <c r="A366" s="37">
        <v>359</v>
      </c>
      <c r="B366" s="38">
        <v>237</v>
      </c>
      <c r="C366" s="38">
        <v>18</v>
      </c>
      <c r="D366" s="38">
        <v>144</v>
      </c>
      <c r="E366" s="38">
        <v>1</v>
      </c>
      <c r="F366" s="38">
        <v>0</v>
      </c>
      <c r="G366" s="38">
        <v>0</v>
      </c>
      <c r="H366" s="38">
        <v>0</v>
      </c>
      <c r="I366" s="38">
        <v>3</v>
      </c>
      <c r="J366" s="38">
        <v>0</v>
      </c>
      <c r="K366" s="38">
        <v>0</v>
      </c>
      <c r="L366" s="38">
        <v>1</v>
      </c>
      <c r="M366" s="38">
        <v>0</v>
      </c>
      <c r="N366" s="38">
        <v>1</v>
      </c>
      <c r="O366" s="38">
        <v>2</v>
      </c>
      <c r="P366" s="38">
        <v>2</v>
      </c>
      <c r="Q366" s="34">
        <f t="shared" si="10"/>
        <v>407</v>
      </c>
      <c r="R366" s="34">
        <v>0</v>
      </c>
      <c r="S366" s="34">
        <f t="shared" si="11"/>
        <v>409</v>
      </c>
      <c r="T366" s="34">
        <v>0</v>
      </c>
    </row>
    <row r="367" spans="1:20" s="3" customFormat="1" ht="24" customHeight="1">
      <c r="A367" s="37">
        <v>360</v>
      </c>
      <c r="B367" s="38">
        <v>256</v>
      </c>
      <c r="C367" s="38">
        <v>28</v>
      </c>
      <c r="D367" s="38">
        <v>29</v>
      </c>
      <c r="E367" s="38">
        <v>0</v>
      </c>
      <c r="F367" s="38">
        <v>0</v>
      </c>
      <c r="G367" s="38">
        <v>1</v>
      </c>
      <c r="H367" s="38">
        <v>0</v>
      </c>
      <c r="I367" s="38">
        <v>7</v>
      </c>
      <c r="J367" s="38">
        <v>0</v>
      </c>
      <c r="K367" s="38">
        <v>0</v>
      </c>
      <c r="L367" s="38">
        <v>0</v>
      </c>
      <c r="M367" s="38">
        <v>2</v>
      </c>
      <c r="N367" s="38">
        <v>2</v>
      </c>
      <c r="O367" s="38">
        <v>1</v>
      </c>
      <c r="P367" s="38">
        <v>7</v>
      </c>
      <c r="Q367" s="34">
        <f t="shared" si="10"/>
        <v>326</v>
      </c>
      <c r="R367" s="34">
        <v>0</v>
      </c>
      <c r="S367" s="34">
        <f t="shared" si="11"/>
        <v>333</v>
      </c>
      <c r="T367" s="34">
        <v>0</v>
      </c>
    </row>
    <row r="368" spans="1:20" s="3" customFormat="1" ht="24" customHeight="1">
      <c r="A368" s="37">
        <v>361</v>
      </c>
      <c r="B368" s="38">
        <v>238</v>
      </c>
      <c r="C368" s="38">
        <v>10</v>
      </c>
      <c r="D368" s="38">
        <v>124</v>
      </c>
      <c r="E368" s="38">
        <v>6</v>
      </c>
      <c r="F368" s="38">
        <v>0</v>
      </c>
      <c r="G368" s="38">
        <v>0</v>
      </c>
      <c r="H368" s="38">
        <v>1</v>
      </c>
      <c r="I368" s="38">
        <v>2</v>
      </c>
      <c r="J368" s="38">
        <v>1</v>
      </c>
      <c r="K368" s="38">
        <v>0</v>
      </c>
      <c r="L368" s="38">
        <v>2</v>
      </c>
      <c r="M368" s="38">
        <v>1</v>
      </c>
      <c r="N368" s="38">
        <v>2</v>
      </c>
      <c r="O368" s="38">
        <v>1</v>
      </c>
      <c r="P368" s="38">
        <v>3</v>
      </c>
      <c r="Q368" s="34">
        <f t="shared" si="10"/>
        <v>388</v>
      </c>
      <c r="R368" s="34">
        <v>0</v>
      </c>
      <c r="S368" s="34">
        <f t="shared" si="11"/>
        <v>391</v>
      </c>
      <c r="T368" s="34">
        <v>0</v>
      </c>
    </row>
    <row r="369" spans="1:20" s="3" customFormat="1" ht="24" customHeight="1">
      <c r="A369" s="37">
        <v>362</v>
      </c>
      <c r="B369" s="38">
        <v>532</v>
      </c>
      <c r="C369" s="38">
        <v>21</v>
      </c>
      <c r="D369" s="38">
        <v>146</v>
      </c>
      <c r="E369" s="38">
        <v>4</v>
      </c>
      <c r="F369" s="38">
        <v>1</v>
      </c>
      <c r="G369" s="38">
        <v>0</v>
      </c>
      <c r="H369" s="38">
        <v>1</v>
      </c>
      <c r="I369" s="38">
        <v>2</v>
      </c>
      <c r="J369" s="38">
        <v>3</v>
      </c>
      <c r="K369" s="38">
        <v>2</v>
      </c>
      <c r="L369" s="38">
        <v>1</v>
      </c>
      <c r="M369" s="38">
        <v>3</v>
      </c>
      <c r="N369" s="38">
        <v>2</v>
      </c>
      <c r="O369" s="38">
        <v>4</v>
      </c>
      <c r="P369" s="38">
        <v>7</v>
      </c>
      <c r="Q369" s="34">
        <f t="shared" si="10"/>
        <v>722</v>
      </c>
      <c r="R369" s="34">
        <v>0</v>
      </c>
      <c r="S369" s="34">
        <f t="shared" si="11"/>
        <v>729</v>
      </c>
      <c r="T369" s="34">
        <v>0</v>
      </c>
    </row>
    <row r="370" spans="1:20" s="3" customFormat="1" ht="24" customHeight="1">
      <c r="A370" s="37">
        <v>363</v>
      </c>
      <c r="B370" s="38">
        <v>385</v>
      </c>
      <c r="C370" s="38">
        <v>28</v>
      </c>
      <c r="D370" s="38">
        <v>196</v>
      </c>
      <c r="E370" s="38">
        <v>6</v>
      </c>
      <c r="F370" s="38">
        <v>0</v>
      </c>
      <c r="G370" s="38">
        <v>0</v>
      </c>
      <c r="H370" s="38">
        <v>0</v>
      </c>
      <c r="I370" s="38">
        <v>3</v>
      </c>
      <c r="J370" s="38">
        <v>6</v>
      </c>
      <c r="K370" s="38">
        <v>1</v>
      </c>
      <c r="L370" s="38">
        <v>0</v>
      </c>
      <c r="M370" s="38">
        <v>1</v>
      </c>
      <c r="N370" s="38">
        <v>0</v>
      </c>
      <c r="O370" s="38">
        <v>1</v>
      </c>
      <c r="P370" s="38">
        <v>4</v>
      </c>
      <c r="Q370" s="34">
        <f t="shared" si="10"/>
        <v>627</v>
      </c>
      <c r="R370" s="34">
        <v>0</v>
      </c>
      <c r="S370" s="34">
        <f t="shared" si="11"/>
        <v>631</v>
      </c>
      <c r="T370" s="34">
        <v>0</v>
      </c>
    </row>
    <row r="371" spans="1:20" s="3" customFormat="1" ht="24" customHeight="1">
      <c r="A371" s="37">
        <v>364</v>
      </c>
      <c r="B371" s="38">
        <v>264</v>
      </c>
      <c r="C371" s="38">
        <v>48</v>
      </c>
      <c r="D371" s="38">
        <v>91</v>
      </c>
      <c r="E371" s="38">
        <v>2</v>
      </c>
      <c r="F371" s="38">
        <v>0</v>
      </c>
      <c r="G371" s="38">
        <v>2</v>
      </c>
      <c r="H371" s="38">
        <v>0</v>
      </c>
      <c r="I371" s="38">
        <v>22</v>
      </c>
      <c r="J371" s="38">
        <v>2</v>
      </c>
      <c r="K371" s="38">
        <v>0</v>
      </c>
      <c r="L371" s="38">
        <v>2</v>
      </c>
      <c r="M371" s="38">
        <v>3</v>
      </c>
      <c r="N371" s="38">
        <v>2</v>
      </c>
      <c r="O371" s="38">
        <v>2</v>
      </c>
      <c r="P371" s="38">
        <v>5</v>
      </c>
      <c r="Q371" s="34">
        <f t="shared" si="10"/>
        <v>440</v>
      </c>
      <c r="R371" s="34">
        <v>0</v>
      </c>
      <c r="S371" s="34">
        <f t="shared" si="11"/>
        <v>445</v>
      </c>
      <c r="T371" s="34">
        <v>0</v>
      </c>
    </row>
    <row r="372" spans="1:20" s="3" customFormat="1" ht="24" customHeight="1">
      <c r="A372" s="44">
        <v>365</v>
      </c>
      <c r="B372" s="38">
        <v>385</v>
      </c>
      <c r="C372" s="38">
        <v>99</v>
      </c>
      <c r="D372" s="38">
        <v>199</v>
      </c>
      <c r="E372" s="38">
        <v>12</v>
      </c>
      <c r="F372" s="38">
        <v>0</v>
      </c>
      <c r="G372" s="38">
        <v>0</v>
      </c>
      <c r="H372" s="38">
        <v>1</v>
      </c>
      <c r="I372" s="38">
        <v>3</v>
      </c>
      <c r="J372" s="38">
        <v>1</v>
      </c>
      <c r="K372" s="38">
        <v>3</v>
      </c>
      <c r="L372" s="38">
        <v>1</v>
      </c>
      <c r="M372" s="38">
        <v>1</v>
      </c>
      <c r="N372" s="38">
        <v>2</v>
      </c>
      <c r="O372" s="38">
        <v>4</v>
      </c>
      <c r="P372" s="38">
        <v>8</v>
      </c>
      <c r="Q372" s="34">
        <f t="shared" si="10"/>
        <v>711</v>
      </c>
      <c r="R372" s="34">
        <v>0</v>
      </c>
      <c r="S372" s="34">
        <f t="shared" si="11"/>
        <v>719</v>
      </c>
      <c r="T372" s="34">
        <v>0</v>
      </c>
    </row>
    <row r="373" spans="1:20" s="3" customFormat="1" ht="24" customHeight="1">
      <c r="A373" s="44">
        <v>366</v>
      </c>
      <c r="B373" s="38">
        <v>327</v>
      </c>
      <c r="C373" s="38">
        <v>62</v>
      </c>
      <c r="D373" s="38">
        <v>76</v>
      </c>
      <c r="E373" s="38">
        <v>11</v>
      </c>
      <c r="F373" s="38">
        <v>1</v>
      </c>
      <c r="G373" s="38">
        <v>1</v>
      </c>
      <c r="H373" s="38">
        <v>3</v>
      </c>
      <c r="I373" s="38">
        <v>0</v>
      </c>
      <c r="J373" s="38">
        <v>1</v>
      </c>
      <c r="K373" s="38">
        <v>0</v>
      </c>
      <c r="L373" s="38">
        <v>1</v>
      </c>
      <c r="M373" s="38">
        <v>2</v>
      </c>
      <c r="N373" s="38">
        <v>0</v>
      </c>
      <c r="O373" s="38">
        <v>1</v>
      </c>
      <c r="P373" s="38">
        <v>4</v>
      </c>
      <c r="Q373" s="34">
        <f t="shared" si="10"/>
        <v>486</v>
      </c>
      <c r="R373" s="34">
        <v>0</v>
      </c>
      <c r="S373" s="34">
        <f t="shared" si="11"/>
        <v>490</v>
      </c>
      <c r="T373" s="34">
        <v>0</v>
      </c>
    </row>
    <row r="374" spans="1:20" s="3" customFormat="1" ht="24" customHeight="1">
      <c r="A374" s="44">
        <v>367</v>
      </c>
      <c r="B374" s="38">
        <v>378</v>
      </c>
      <c r="C374" s="38">
        <v>25</v>
      </c>
      <c r="D374" s="38">
        <v>124</v>
      </c>
      <c r="E374" s="38">
        <v>0</v>
      </c>
      <c r="F374" s="38">
        <v>0</v>
      </c>
      <c r="G374" s="38">
        <v>0</v>
      </c>
      <c r="H374" s="38">
        <v>0</v>
      </c>
      <c r="I374" s="38">
        <v>1</v>
      </c>
      <c r="J374" s="38">
        <v>4</v>
      </c>
      <c r="K374" s="38">
        <v>2</v>
      </c>
      <c r="L374" s="38">
        <v>0</v>
      </c>
      <c r="M374" s="38">
        <v>2</v>
      </c>
      <c r="N374" s="38">
        <v>1</v>
      </c>
      <c r="O374" s="38">
        <v>1</v>
      </c>
      <c r="P374" s="38">
        <v>5</v>
      </c>
      <c r="Q374" s="34">
        <f t="shared" si="10"/>
        <v>538</v>
      </c>
      <c r="R374" s="34">
        <v>0</v>
      </c>
      <c r="S374" s="34">
        <f t="shared" si="11"/>
        <v>543</v>
      </c>
      <c r="T374" s="34">
        <v>0</v>
      </c>
    </row>
    <row r="375" spans="1:20" s="3" customFormat="1" ht="24" customHeight="1">
      <c r="A375" s="44">
        <v>368</v>
      </c>
      <c r="B375" s="38">
        <v>191</v>
      </c>
      <c r="C375" s="38">
        <v>31</v>
      </c>
      <c r="D375" s="38">
        <v>150</v>
      </c>
      <c r="E375" s="38">
        <v>3</v>
      </c>
      <c r="F375" s="38">
        <v>0</v>
      </c>
      <c r="G375" s="38">
        <v>1</v>
      </c>
      <c r="H375" s="38">
        <v>0</v>
      </c>
      <c r="I375" s="38">
        <v>2</v>
      </c>
      <c r="J375" s="38">
        <v>0</v>
      </c>
      <c r="K375" s="38">
        <v>0</v>
      </c>
      <c r="L375" s="38">
        <v>0</v>
      </c>
      <c r="M375" s="38">
        <v>3</v>
      </c>
      <c r="N375" s="38">
        <v>1</v>
      </c>
      <c r="O375" s="38">
        <v>0</v>
      </c>
      <c r="P375" s="38">
        <v>4</v>
      </c>
      <c r="Q375" s="34">
        <f t="shared" si="10"/>
        <v>382</v>
      </c>
      <c r="R375" s="34">
        <v>0</v>
      </c>
      <c r="S375" s="34">
        <f t="shared" si="11"/>
        <v>386</v>
      </c>
      <c r="T375" s="34">
        <v>0</v>
      </c>
    </row>
    <row r="376" spans="1:20" s="3" customFormat="1" ht="24" customHeight="1">
      <c r="A376" s="44">
        <v>369</v>
      </c>
      <c r="B376" s="38">
        <v>304</v>
      </c>
      <c r="C376" s="38">
        <v>63</v>
      </c>
      <c r="D376" s="38">
        <v>150</v>
      </c>
      <c r="E376" s="38">
        <v>3</v>
      </c>
      <c r="F376" s="38">
        <v>2</v>
      </c>
      <c r="G376" s="38">
        <v>1</v>
      </c>
      <c r="H376" s="38">
        <v>0</v>
      </c>
      <c r="I376" s="38">
        <v>3</v>
      </c>
      <c r="J376" s="38">
        <v>0</v>
      </c>
      <c r="K376" s="38">
        <v>1</v>
      </c>
      <c r="L376" s="38">
        <v>2</v>
      </c>
      <c r="M376" s="38">
        <v>2</v>
      </c>
      <c r="N376" s="38">
        <v>3</v>
      </c>
      <c r="O376" s="38">
        <v>2</v>
      </c>
      <c r="P376" s="38">
        <v>7</v>
      </c>
      <c r="Q376" s="34">
        <f t="shared" si="10"/>
        <v>536</v>
      </c>
      <c r="R376" s="34">
        <v>0</v>
      </c>
      <c r="S376" s="34">
        <f t="shared" si="11"/>
        <v>543</v>
      </c>
      <c r="T376" s="34">
        <v>0</v>
      </c>
    </row>
    <row r="377" spans="1:20" s="3" customFormat="1" ht="24" customHeight="1">
      <c r="A377" s="44">
        <v>370</v>
      </c>
      <c r="B377" s="38">
        <v>346</v>
      </c>
      <c r="C377" s="38">
        <v>27</v>
      </c>
      <c r="D377" s="38">
        <v>119</v>
      </c>
      <c r="E377" s="38">
        <v>1</v>
      </c>
      <c r="F377" s="38">
        <v>1</v>
      </c>
      <c r="G377" s="38">
        <v>1</v>
      </c>
      <c r="H377" s="38">
        <v>0</v>
      </c>
      <c r="I377" s="38">
        <v>0</v>
      </c>
      <c r="J377" s="38">
        <v>0</v>
      </c>
      <c r="K377" s="38">
        <v>0</v>
      </c>
      <c r="L377" s="38">
        <v>1</v>
      </c>
      <c r="M377" s="38">
        <v>0</v>
      </c>
      <c r="N377" s="38">
        <v>2</v>
      </c>
      <c r="O377" s="38">
        <v>0</v>
      </c>
      <c r="P377" s="38">
        <v>4</v>
      </c>
      <c r="Q377" s="34">
        <f t="shared" si="10"/>
        <v>498</v>
      </c>
      <c r="R377" s="34">
        <v>0</v>
      </c>
      <c r="S377" s="34">
        <f t="shared" si="11"/>
        <v>502</v>
      </c>
      <c r="T377" s="34">
        <v>0</v>
      </c>
    </row>
    <row r="378" spans="1:20" s="3" customFormat="1" ht="24" customHeight="1">
      <c r="A378" s="44">
        <v>371</v>
      </c>
      <c r="B378" s="38">
        <v>370</v>
      </c>
      <c r="C378" s="38">
        <v>110</v>
      </c>
      <c r="D378" s="38">
        <v>201</v>
      </c>
      <c r="E378" s="38">
        <v>2</v>
      </c>
      <c r="F378" s="38">
        <v>0</v>
      </c>
      <c r="G378" s="38">
        <v>0</v>
      </c>
      <c r="H378" s="38">
        <v>0</v>
      </c>
      <c r="I378" s="38">
        <v>0</v>
      </c>
      <c r="J378" s="38">
        <v>2</v>
      </c>
      <c r="K378" s="38">
        <v>1</v>
      </c>
      <c r="L378" s="38">
        <v>2</v>
      </c>
      <c r="M378" s="38">
        <v>2</v>
      </c>
      <c r="N378" s="38">
        <v>6</v>
      </c>
      <c r="O378" s="38">
        <v>3</v>
      </c>
      <c r="P378" s="38">
        <v>4</v>
      </c>
      <c r="Q378" s="34">
        <f t="shared" si="10"/>
        <v>699</v>
      </c>
      <c r="R378" s="34">
        <v>0</v>
      </c>
      <c r="S378" s="34">
        <f t="shared" si="11"/>
        <v>703</v>
      </c>
      <c r="T378" s="34">
        <v>0</v>
      </c>
    </row>
    <row r="379" spans="1:20" s="3" customFormat="1" ht="24" customHeight="1">
      <c r="A379" s="44">
        <v>372</v>
      </c>
      <c r="B379" s="38">
        <v>216</v>
      </c>
      <c r="C379" s="38">
        <v>22</v>
      </c>
      <c r="D379" s="38">
        <v>141</v>
      </c>
      <c r="E379" s="38">
        <v>7</v>
      </c>
      <c r="F379" s="38">
        <v>0</v>
      </c>
      <c r="G379" s="38">
        <v>0</v>
      </c>
      <c r="H379" s="38">
        <v>0</v>
      </c>
      <c r="I379" s="38">
        <v>0</v>
      </c>
      <c r="J379" s="38">
        <v>7</v>
      </c>
      <c r="K379" s="38">
        <v>2</v>
      </c>
      <c r="L379" s="38">
        <v>0</v>
      </c>
      <c r="M379" s="38">
        <v>0</v>
      </c>
      <c r="N379" s="38">
        <v>1</v>
      </c>
      <c r="O379" s="38">
        <v>1</v>
      </c>
      <c r="P379" s="38">
        <v>3</v>
      </c>
      <c r="Q379" s="34">
        <f t="shared" si="10"/>
        <v>397</v>
      </c>
      <c r="R379" s="34">
        <v>0</v>
      </c>
      <c r="S379" s="34">
        <f t="shared" si="11"/>
        <v>400</v>
      </c>
      <c r="T379" s="34">
        <v>0</v>
      </c>
    </row>
    <row r="380" spans="1:20" s="3" customFormat="1" ht="24" customHeight="1">
      <c r="A380" s="44">
        <v>373</v>
      </c>
      <c r="B380" s="38">
        <v>365</v>
      </c>
      <c r="C380" s="38">
        <v>15</v>
      </c>
      <c r="D380" s="38">
        <v>57</v>
      </c>
      <c r="E380" s="38">
        <v>2</v>
      </c>
      <c r="F380" s="38">
        <v>1</v>
      </c>
      <c r="G380" s="38">
        <v>0</v>
      </c>
      <c r="H380" s="38">
        <v>0</v>
      </c>
      <c r="I380" s="38">
        <v>0</v>
      </c>
      <c r="J380" s="38">
        <v>1</v>
      </c>
      <c r="K380" s="38">
        <v>0</v>
      </c>
      <c r="L380" s="38">
        <v>0</v>
      </c>
      <c r="M380" s="38">
        <v>1</v>
      </c>
      <c r="N380" s="38">
        <v>0</v>
      </c>
      <c r="O380" s="38">
        <v>3</v>
      </c>
      <c r="P380" s="38">
        <v>1</v>
      </c>
      <c r="Q380" s="34">
        <f t="shared" si="10"/>
        <v>445</v>
      </c>
      <c r="R380" s="34">
        <v>0</v>
      </c>
      <c r="S380" s="34">
        <f t="shared" si="11"/>
        <v>446</v>
      </c>
      <c r="T380" s="34">
        <v>0</v>
      </c>
    </row>
    <row r="381" spans="1:20" s="3" customFormat="1" ht="24" customHeight="1">
      <c r="A381" s="44">
        <v>374</v>
      </c>
      <c r="B381" s="38">
        <v>302</v>
      </c>
      <c r="C381" s="38">
        <v>51</v>
      </c>
      <c r="D381" s="38">
        <v>439</v>
      </c>
      <c r="E381" s="38">
        <v>2</v>
      </c>
      <c r="F381" s="38">
        <v>1</v>
      </c>
      <c r="G381" s="38">
        <v>3</v>
      </c>
      <c r="H381" s="38">
        <v>1</v>
      </c>
      <c r="I381" s="38">
        <v>0</v>
      </c>
      <c r="J381" s="38">
        <v>11</v>
      </c>
      <c r="K381" s="38">
        <v>1</v>
      </c>
      <c r="L381" s="38">
        <v>1</v>
      </c>
      <c r="M381" s="38">
        <v>2</v>
      </c>
      <c r="N381" s="38">
        <v>5</v>
      </c>
      <c r="O381" s="38">
        <v>4</v>
      </c>
      <c r="P381" s="38">
        <v>5</v>
      </c>
      <c r="Q381" s="34">
        <f t="shared" si="10"/>
        <v>823</v>
      </c>
      <c r="R381" s="34">
        <v>0</v>
      </c>
      <c r="S381" s="34">
        <f t="shared" si="11"/>
        <v>828</v>
      </c>
      <c r="T381" s="34">
        <v>0</v>
      </c>
    </row>
    <row r="382" spans="1:20" s="3" customFormat="1" ht="24" customHeight="1">
      <c r="A382" s="44">
        <v>375</v>
      </c>
      <c r="B382" s="38">
        <v>237</v>
      </c>
      <c r="C382" s="38">
        <v>5</v>
      </c>
      <c r="D382" s="38">
        <v>189</v>
      </c>
      <c r="E382" s="38">
        <v>2</v>
      </c>
      <c r="F382" s="38">
        <v>0</v>
      </c>
      <c r="G382" s="38">
        <v>0</v>
      </c>
      <c r="H382" s="38">
        <v>1</v>
      </c>
      <c r="I382" s="38">
        <v>0</v>
      </c>
      <c r="J382" s="38">
        <v>19</v>
      </c>
      <c r="K382" s="38">
        <v>1</v>
      </c>
      <c r="L382" s="38">
        <v>1</v>
      </c>
      <c r="M382" s="38">
        <v>0</v>
      </c>
      <c r="N382" s="38">
        <v>0</v>
      </c>
      <c r="O382" s="38">
        <v>2</v>
      </c>
      <c r="P382" s="38">
        <v>0</v>
      </c>
      <c r="Q382" s="34">
        <f t="shared" si="10"/>
        <v>457</v>
      </c>
      <c r="R382" s="34">
        <v>0</v>
      </c>
      <c r="S382" s="34">
        <f t="shared" si="11"/>
        <v>457</v>
      </c>
      <c r="T382" s="34">
        <v>0</v>
      </c>
    </row>
    <row r="383" spans="1:20" s="3" customFormat="1" ht="24" customHeight="1">
      <c r="A383" s="44">
        <v>376</v>
      </c>
      <c r="B383" s="38">
        <v>332</v>
      </c>
      <c r="C383" s="38">
        <v>31</v>
      </c>
      <c r="D383" s="38">
        <v>312</v>
      </c>
      <c r="E383" s="38">
        <v>4</v>
      </c>
      <c r="F383" s="38">
        <v>0</v>
      </c>
      <c r="G383" s="38">
        <v>0</v>
      </c>
      <c r="H383" s="38">
        <v>0</v>
      </c>
      <c r="I383" s="38">
        <v>0</v>
      </c>
      <c r="J383" s="38">
        <v>4</v>
      </c>
      <c r="K383" s="38">
        <v>0</v>
      </c>
      <c r="L383" s="38">
        <v>1</v>
      </c>
      <c r="M383" s="38">
        <v>0</v>
      </c>
      <c r="N383" s="38">
        <v>2</v>
      </c>
      <c r="O383" s="38">
        <v>1</v>
      </c>
      <c r="P383" s="38">
        <v>2</v>
      </c>
      <c r="Q383" s="34">
        <f t="shared" si="10"/>
        <v>687</v>
      </c>
      <c r="R383" s="34">
        <v>0</v>
      </c>
      <c r="S383" s="34">
        <f t="shared" si="11"/>
        <v>689</v>
      </c>
      <c r="T383" s="34">
        <v>0</v>
      </c>
    </row>
    <row r="384" spans="1:20" s="3" customFormat="1" ht="24" customHeight="1">
      <c r="A384" s="44">
        <v>377</v>
      </c>
      <c r="B384" s="38">
        <v>292</v>
      </c>
      <c r="C384" s="38">
        <v>15</v>
      </c>
      <c r="D384" s="38">
        <v>167</v>
      </c>
      <c r="E384" s="38">
        <v>3</v>
      </c>
      <c r="F384" s="38">
        <v>1</v>
      </c>
      <c r="G384" s="38">
        <v>0</v>
      </c>
      <c r="H384" s="38">
        <v>0</v>
      </c>
      <c r="I384" s="38">
        <v>1</v>
      </c>
      <c r="J384" s="38">
        <v>9</v>
      </c>
      <c r="K384" s="38">
        <v>0</v>
      </c>
      <c r="L384" s="38">
        <v>0</v>
      </c>
      <c r="M384" s="38">
        <v>0</v>
      </c>
      <c r="N384" s="38">
        <v>0</v>
      </c>
      <c r="O384" s="38">
        <v>0</v>
      </c>
      <c r="P384" s="38">
        <v>2</v>
      </c>
      <c r="Q384" s="34">
        <f t="shared" si="10"/>
        <v>488</v>
      </c>
      <c r="R384" s="34">
        <v>0</v>
      </c>
      <c r="S384" s="34">
        <f t="shared" si="11"/>
        <v>490</v>
      </c>
      <c r="T384" s="34">
        <v>0</v>
      </c>
    </row>
    <row r="385" spans="1:20" s="3" customFormat="1" ht="24" customHeight="1">
      <c r="A385" s="44">
        <v>378</v>
      </c>
      <c r="B385" s="38">
        <v>329</v>
      </c>
      <c r="C385" s="38">
        <v>65</v>
      </c>
      <c r="D385" s="38">
        <v>156</v>
      </c>
      <c r="E385" s="38">
        <v>2</v>
      </c>
      <c r="F385" s="38">
        <v>0</v>
      </c>
      <c r="G385" s="38">
        <v>1</v>
      </c>
      <c r="H385" s="38">
        <v>0</v>
      </c>
      <c r="I385" s="38">
        <v>0</v>
      </c>
      <c r="J385" s="38">
        <v>3</v>
      </c>
      <c r="K385" s="38">
        <v>2</v>
      </c>
      <c r="L385" s="38">
        <v>1</v>
      </c>
      <c r="M385" s="38">
        <v>4</v>
      </c>
      <c r="N385" s="38">
        <v>2</v>
      </c>
      <c r="O385" s="38">
        <v>2</v>
      </c>
      <c r="P385" s="38">
        <v>2</v>
      </c>
      <c r="Q385" s="34">
        <f t="shared" si="10"/>
        <v>567</v>
      </c>
      <c r="R385" s="34">
        <v>0</v>
      </c>
      <c r="S385" s="34">
        <f t="shared" si="11"/>
        <v>569</v>
      </c>
      <c r="T385" s="34">
        <v>0</v>
      </c>
    </row>
    <row r="386" spans="1:20" s="3" customFormat="1" ht="24" customHeight="1">
      <c r="A386" s="53">
        <v>379</v>
      </c>
      <c r="B386" s="38">
        <v>285</v>
      </c>
      <c r="C386" s="38">
        <v>4</v>
      </c>
      <c r="D386" s="38">
        <v>44</v>
      </c>
      <c r="E386" s="38">
        <v>3</v>
      </c>
      <c r="F386" s="38">
        <v>0</v>
      </c>
      <c r="G386" s="38">
        <v>0</v>
      </c>
      <c r="H386" s="38">
        <v>0</v>
      </c>
      <c r="I386" s="38">
        <v>0</v>
      </c>
      <c r="J386" s="38">
        <v>0</v>
      </c>
      <c r="K386" s="38">
        <v>2</v>
      </c>
      <c r="L386" s="38">
        <v>0</v>
      </c>
      <c r="M386" s="38">
        <v>0</v>
      </c>
      <c r="N386" s="38">
        <v>1</v>
      </c>
      <c r="O386" s="38">
        <v>0</v>
      </c>
      <c r="P386" s="38">
        <v>2</v>
      </c>
      <c r="Q386" s="34">
        <f t="shared" si="10"/>
        <v>339</v>
      </c>
      <c r="R386" s="34">
        <v>0</v>
      </c>
      <c r="S386" s="34">
        <f t="shared" si="11"/>
        <v>341</v>
      </c>
      <c r="T386" s="34">
        <v>0</v>
      </c>
    </row>
    <row r="387" spans="1:20" s="3" customFormat="1" ht="24" customHeight="1">
      <c r="A387" s="53">
        <v>380</v>
      </c>
      <c r="B387" s="38">
        <v>207</v>
      </c>
      <c r="C387" s="38">
        <v>10</v>
      </c>
      <c r="D387" s="38">
        <v>54</v>
      </c>
      <c r="E387" s="38">
        <v>23</v>
      </c>
      <c r="F387" s="38">
        <v>0</v>
      </c>
      <c r="G387" s="38">
        <v>0</v>
      </c>
      <c r="H387" s="38">
        <v>0</v>
      </c>
      <c r="I387" s="38">
        <v>1</v>
      </c>
      <c r="J387" s="38">
        <v>2</v>
      </c>
      <c r="K387" s="38">
        <v>0</v>
      </c>
      <c r="L387" s="38">
        <v>0</v>
      </c>
      <c r="M387" s="38">
        <v>0</v>
      </c>
      <c r="N387" s="38">
        <v>1</v>
      </c>
      <c r="O387" s="38">
        <v>0</v>
      </c>
      <c r="P387" s="38">
        <v>2</v>
      </c>
      <c r="Q387" s="34">
        <f t="shared" si="10"/>
        <v>298</v>
      </c>
      <c r="R387" s="34">
        <v>0</v>
      </c>
      <c r="S387" s="34">
        <f t="shared" si="11"/>
        <v>300</v>
      </c>
      <c r="T387" s="34">
        <v>0</v>
      </c>
    </row>
    <row r="388" spans="1:20" s="3" customFormat="1" ht="24" customHeight="1">
      <c r="A388" s="53">
        <v>381</v>
      </c>
      <c r="B388" s="38">
        <v>136</v>
      </c>
      <c r="C388" s="38">
        <v>1</v>
      </c>
      <c r="D388" s="38">
        <v>78</v>
      </c>
      <c r="E388" s="38">
        <v>0</v>
      </c>
      <c r="F388" s="38">
        <v>0</v>
      </c>
      <c r="G388" s="38">
        <v>0</v>
      </c>
      <c r="H388" s="38">
        <v>0</v>
      </c>
      <c r="I388" s="38">
        <v>1</v>
      </c>
      <c r="J388" s="38">
        <v>0</v>
      </c>
      <c r="K388" s="38">
        <v>0</v>
      </c>
      <c r="L388" s="38">
        <v>0</v>
      </c>
      <c r="M388" s="38">
        <v>0</v>
      </c>
      <c r="N388" s="38">
        <v>0</v>
      </c>
      <c r="O388" s="38">
        <v>0</v>
      </c>
      <c r="P388" s="38">
        <v>0</v>
      </c>
      <c r="Q388" s="34">
        <f t="shared" si="10"/>
        <v>216</v>
      </c>
      <c r="R388" s="34">
        <v>0</v>
      </c>
      <c r="S388" s="34">
        <f t="shared" si="11"/>
        <v>216</v>
      </c>
      <c r="T388" s="34">
        <v>0</v>
      </c>
    </row>
    <row r="389" spans="1:20" s="3" customFormat="1" ht="24" customHeight="1">
      <c r="A389" s="53">
        <v>382</v>
      </c>
      <c r="B389" s="38">
        <v>519</v>
      </c>
      <c r="C389" s="38">
        <v>10</v>
      </c>
      <c r="D389" s="38">
        <v>162</v>
      </c>
      <c r="E389" s="38">
        <v>6</v>
      </c>
      <c r="F389" s="38">
        <v>0</v>
      </c>
      <c r="G389" s="38">
        <v>0</v>
      </c>
      <c r="H389" s="38">
        <v>1</v>
      </c>
      <c r="I389" s="38">
        <v>2</v>
      </c>
      <c r="J389" s="38">
        <v>0</v>
      </c>
      <c r="K389" s="38">
        <v>2</v>
      </c>
      <c r="L389" s="38">
        <v>0</v>
      </c>
      <c r="M389" s="38">
        <v>0</v>
      </c>
      <c r="N389" s="38">
        <v>2</v>
      </c>
      <c r="O389" s="38">
        <v>2</v>
      </c>
      <c r="P389" s="38">
        <v>10</v>
      </c>
      <c r="Q389" s="34">
        <f t="shared" si="10"/>
        <v>706</v>
      </c>
      <c r="R389" s="34">
        <v>0</v>
      </c>
      <c r="S389" s="34">
        <f t="shared" si="11"/>
        <v>716</v>
      </c>
      <c r="T389" s="34">
        <v>0</v>
      </c>
    </row>
    <row r="390" spans="1:20" s="3" customFormat="1" ht="24" customHeight="1">
      <c r="A390" s="53">
        <v>383</v>
      </c>
      <c r="B390" s="38">
        <v>483</v>
      </c>
      <c r="C390" s="38">
        <v>12</v>
      </c>
      <c r="D390" s="38">
        <v>225</v>
      </c>
      <c r="E390" s="38">
        <v>4</v>
      </c>
      <c r="F390" s="38">
        <v>1</v>
      </c>
      <c r="G390" s="38">
        <v>0</v>
      </c>
      <c r="H390" s="38">
        <v>2</v>
      </c>
      <c r="I390" s="38">
        <v>2</v>
      </c>
      <c r="J390" s="38">
        <v>5</v>
      </c>
      <c r="K390" s="38">
        <v>2</v>
      </c>
      <c r="L390" s="38">
        <v>2</v>
      </c>
      <c r="M390" s="38">
        <v>1</v>
      </c>
      <c r="N390" s="38">
        <v>1</v>
      </c>
      <c r="O390" s="38">
        <v>2</v>
      </c>
      <c r="P390" s="38">
        <v>7</v>
      </c>
      <c r="Q390" s="34">
        <f t="shared" si="10"/>
        <v>742</v>
      </c>
      <c r="R390" s="34">
        <v>0</v>
      </c>
      <c r="S390" s="34">
        <f t="shared" si="11"/>
        <v>749</v>
      </c>
      <c r="T390" s="34">
        <v>0</v>
      </c>
    </row>
    <row r="391" spans="1:20" s="3" customFormat="1" ht="24" customHeight="1">
      <c r="A391" s="53">
        <v>384</v>
      </c>
      <c r="B391" s="38">
        <v>166</v>
      </c>
      <c r="C391" s="38">
        <v>64</v>
      </c>
      <c r="D391" s="38">
        <v>212</v>
      </c>
      <c r="E391" s="38">
        <v>5</v>
      </c>
      <c r="F391" s="38">
        <v>0</v>
      </c>
      <c r="G391" s="38">
        <v>0</v>
      </c>
      <c r="H391" s="38">
        <v>1</v>
      </c>
      <c r="I391" s="38">
        <v>3</v>
      </c>
      <c r="J391" s="38">
        <v>4</v>
      </c>
      <c r="K391" s="38">
        <v>0</v>
      </c>
      <c r="L391" s="38">
        <v>1</v>
      </c>
      <c r="M391" s="38">
        <v>4</v>
      </c>
      <c r="N391" s="38">
        <v>3</v>
      </c>
      <c r="O391" s="38">
        <v>3</v>
      </c>
      <c r="P391" s="38">
        <v>1</v>
      </c>
      <c r="Q391" s="34">
        <f t="shared" si="10"/>
        <v>466</v>
      </c>
      <c r="R391" s="34">
        <v>0</v>
      </c>
      <c r="S391" s="34">
        <f t="shared" si="11"/>
        <v>467</v>
      </c>
      <c r="T391" s="34">
        <v>0</v>
      </c>
    </row>
    <row r="392" spans="1:20" s="3" customFormat="1" ht="24" customHeight="1">
      <c r="A392" s="53">
        <v>385</v>
      </c>
      <c r="B392" s="38">
        <v>179</v>
      </c>
      <c r="C392" s="38">
        <v>3</v>
      </c>
      <c r="D392" s="38">
        <v>280</v>
      </c>
      <c r="E392" s="38">
        <v>1</v>
      </c>
      <c r="F392" s="38">
        <v>2</v>
      </c>
      <c r="G392" s="38">
        <v>0</v>
      </c>
      <c r="H392" s="38">
        <v>0</v>
      </c>
      <c r="I392" s="38">
        <v>7</v>
      </c>
      <c r="J392" s="38">
        <v>2</v>
      </c>
      <c r="K392" s="38">
        <v>0</v>
      </c>
      <c r="L392" s="38">
        <v>0</v>
      </c>
      <c r="M392" s="38">
        <v>2</v>
      </c>
      <c r="N392" s="38">
        <v>0</v>
      </c>
      <c r="O392" s="38">
        <v>0</v>
      </c>
      <c r="P392" s="38">
        <v>5</v>
      </c>
      <c r="Q392" s="34">
        <f t="shared" si="10"/>
        <v>476</v>
      </c>
      <c r="R392" s="34">
        <v>0</v>
      </c>
      <c r="S392" s="34">
        <f t="shared" si="11"/>
        <v>481</v>
      </c>
      <c r="T392" s="34">
        <v>0</v>
      </c>
    </row>
    <row r="393" spans="1:20" s="3" customFormat="1" ht="24" customHeight="1">
      <c r="A393" s="53">
        <v>386</v>
      </c>
      <c r="B393" s="38">
        <v>320</v>
      </c>
      <c r="C393" s="38">
        <v>4</v>
      </c>
      <c r="D393" s="38">
        <v>159</v>
      </c>
      <c r="E393" s="38">
        <v>4</v>
      </c>
      <c r="F393" s="38">
        <v>0</v>
      </c>
      <c r="G393" s="38">
        <v>1</v>
      </c>
      <c r="H393" s="38">
        <v>0</v>
      </c>
      <c r="I393" s="38">
        <v>0</v>
      </c>
      <c r="J393" s="38">
        <v>3</v>
      </c>
      <c r="K393" s="38">
        <v>1</v>
      </c>
      <c r="L393" s="38">
        <v>2</v>
      </c>
      <c r="M393" s="38">
        <v>0</v>
      </c>
      <c r="N393" s="38">
        <v>1</v>
      </c>
      <c r="O393" s="38">
        <v>3</v>
      </c>
      <c r="P393" s="38">
        <v>3</v>
      </c>
      <c r="Q393" s="34">
        <f t="shared" ref="Q393:Q440" si="12">SUM(B393:O393)</f>
        <v>498</v>
      </c>
      <c r="R393" s="34">
        <v>0</v>
      </c>
      <c r="S393" s="34">
        <f t="shared" ref="S393:S441" si="13">P393+Q393</f>
        <v>501</v>
      </c>
      <c r="T393" s="34">
        <v>0</v>
      </c>
    </row>
    <row r="394" spans="1:20" s="3" customFormat="1" ht="24" customHeight="1">
      <c r="A394" s="53">
        <v>387</v>
      </c>
      <c r="B394" s="38">
        <v>179</v>
      </c>
      <c r="C394" s="38">
        <v>55</v>
      </c>
      <c r="D394" s="38">
        <v>156</v>
      </c>
      <c r="E394" s="38">
        <v>3</v>
      </c>
      <c r="F394" s="38">
        <v>1</v>
      </c>
      <c r="G394" s="38">
        <v>1</v>
      </c>
      <c r="H394" s="38">
        <v>0</v>
      </c>
      <c r="I394" s="38">
        <v>0</v>
      </c>
      <c r="J394" s="38">
        <v>1</v>
      </c>
      <c r="K394" s="38">
        <v>0</v>
      </c>
      <c r="L394" s="38">
        <v>1</v>
      </c>
      <c r="M394" s="38">
        <v>1</v>
      </c>
      <c r="N394" s="38">
        <v>1</v>
      </c>
      <c r="O394" s="38">
        <v>3</v>
      </c>
      <c r="P394" s="38">
        <v>2</v>
      </c>
      <c r="Q394" s="34">
        <f t="shared" si="12"/>
        <v>402</v>
      </c>
      <c r="R394" s="34">
        <v>0</v>
      </c>
      <c r="S394" s="34">
        <f t="shared" si="13"/>
        <v>404</v>
      </c>
      <c r="T394" s="34">
        <v>0</v>
      </c>
    </row>
    <row r="395" spans="1:20" s="3" customFormat="1" ht="24" customHeight="1">
      <c r="A395" s="53">
        <v>388</v>
      </c>
      <c r="B395" s="38">
        <v>319</v>
      </c>
      <c r="C395" s="38">
        <v>22</v>
      </c>
      <c r="D395" s="38">
        <v>95</v>
      </c>
      <c r="E395" s="38">
        <v>3</v>
      </c>
      <c r="F395" s="38">
        <v>0</v>
      </c>
      <c r="G395" s="38">
        <v>1</v>
      </c>
      <c r="H395" s="38">
        <v>0</v>
      </c>
      <c r="I395" s="38">
        <v>1</v>
      </c>
      <c r="J395" s="38">
        <v>0</v>
      </c>
      <c r="K395" s="38">
        <v>2</v>
      </c>
      <c r="L395" s="38">
        <v>0</v>
      </c>
      <c r="M395" s="38">
        <v>1</v>
      </c>
      <c r="N395" s="38">
        <v>1</v>
      </c>
      <c r="O395" s="38">
        <v>5</v>
      </c>
      <c r="P395" s="38">
        <v>7</v>
      </c>
      <c r="Q395" s="34">
        <f t="shared" si="12"/>
        <v>450</v>
      </c>
      <c r="R395" s="34">
        <v>0</v>
      </c>
      <c r="S395" s="34">
        <f t="shared" si="13"/>
        <v>457</v>
      </c>
      <c r="T395" s="34">
        <v>0</v>
      </c>
    </row>
    <row r="396" spans="1:20" s="3" customFormat="1" ht="24" customHeight="1">
      <c r="A396" s="53">
        <v>389</v>
      </c>
      <c r="B396" s="38">
        <v>343</v>
      </c>
      <c r="C396" s="38">
        <v>38</v>
      </c>
      <c r="D396" s="38">
        <v>180</v>
      </c>
      <c r="E396" s="38">
        <v>2</v>
      </c>
      <c r="F396" s="38">
        <v>0</v>
      </c>
      <c r="G396" s="38">
        <v>2</v>
      </c>
      <c r="H396" s="38">
        <v>0</v>
      </c>
      <c r="I396" s="38">
        <v>0</v>
      </c>
      <c r="J396" s="38">
        <v>3</v>
      </c>
      <c r="K396" s="38">
        <v>0</v>
      </c>
      <c r="L396" s="38">
        <v>2</v>
      </c>
      <c r="M396" s="38">
        <v>1</v>
      </c>
      <c r="N396" s="38">
        <v>0</v>
      </c>
      <c r="O396" s="38">
        <v>2</v>
      </c>
      <c r="P396" s="38">
        <v>3</v>
      </c>
      <c r="Q396" s="34">
        <f t="shared" si="12"/>
        <v>573</v>
      </c>
      <c r="R396" s="34">
        <v>0</v>
      </c>
      <c r="S396" s="34">
        <f t="shared" si="13"/>
        <v>576</v>
      </c>
      <c r="T396" s="34">
        <v>0</v>
      </c>
    </row>
    <row r="397" spans="1:20" s="3" customFormat="1" ht="24" customHeight="1">
      <c r="A397" s="53">
        <v>390</v>
      </c>
      <c r="B397" s="38">
        <v>456</v>
      </c>
      <c r="C397" s="38">
        <v>11</v>
      </c>
      <c r="D397" s="38">
        <v>139</v>
      </c>
      <c r="E397" s="38">
        <v>7</v>
      </c>
      <c r="F397" s="38">
        <v>0</v>
      </c>
      <c r="G397" s="38">
        <v>0</v>
      </c>
      <c r="H397" s="38">
        <v>0</v>
      </c>
      <c r="I397" s="38">
        <v>0</v>
      </c>
      <c r="J397" s="38">
        <v>0</v>
      </c>
      <c r="K397" s="38">
        <v>0</v>
      </c>
      <c r="L397" s="38">
        <v>0</v>
      </c>
      <c r="M397" s="38">
        <v>0</v>
      </c>
      <c r="N397" s="38">
        <v>2</v>
      </c>
      <c r="O397" s="38">
        <v>2</v>
      </c>
      <c r="P397" s="38">
        <v>10</v>
      </c>
      <c r="Q397" s="34">
        <f t="shared" si="12"/>
        <v>617</v>
      </c>
      <c r="R397" s="34">
        <v>0</v>
      </c>
      <c r="S397" s="34">
        <f t="shared" si="13"/>
        <v>627</v>
      </c>
      <c r="T397" s="34">
        <v>0</v>
      </c>
    </row>
    <row r="398" spans="1:20" s="3" customFormat="1" ht="24" customHeight="1">
      <c r="A398" s="53">
        <v>391</v>
      </c>
      <c r="B398" s="38">
        <v>491</v>
      </c>
      <c r="C398" s="38">
        <v>1</v>
      </c>
      <c r="D398" s="38">
        <v>185</v>
      </c>
      <c r="E398" s="38">
        <v>2</v>
      </c>
      <c r="F398" s="38">
        <v>0</v>
      </c>
      <c r="G398" s="38">
        <v>0</v>
      </c>
      <c r="H398" s="38">
        <v>0</v>
      </c>
      <c r="I398" s="38">
        <v>2</v>
      </c>
      <c r="J398" s="38">
        <v>2</v>
      </c>
      <c r="K398" s="38">
        <v>0</v>
      </c>
      <c r="L398" s="38">
        <v>1</v>
      </c>
      <c r="M398" s="38">
        <v>0</v>
      </c>
      <c r="N398" s="38">
        <v>0</v>
      </c>
      <c r="O398" s="38">
        <v>1</v>
      </c>
      <c r="P398" s="38">
        <v>1</v>
      </c>
      <c r="Q398" s="34">
        <f t="shared" si="12"/>
        <v>685</v>
      </c>
      <c r="R398" s="34">
        <v>0</v>
      </c>
      <c r="S398" s="34">
        <f t="shared" si="13"/>
        <v>686</v>
      </c>
      <c r="T398" s="34">
        <v>0</v>
      </c>
    </row>
    <row r="399" spans="1:20" s="3" customFormat="1" ht="24" customHeight="1">
      <c r="A399" s="53">
        <v>392</v>
      </c>
      <c r="B399" s="38">
        <v>170</v>
      </c>
      <c r="C399" s="38">
        <v>1</v>
      </c>
      <c r="D399" s="38">
        <v>114</v>
      </c>
      <c r="E399" s="38">
        <v>9</v>
      </c>
      <c r="F399" s="38">
        <v>0</v>
      </c>
      <c r="G399" s="38">
        <v>0</v>
      </c>
      <c r="H399" s="38">
        <v>0</v>
      </c>
      <c r="I399" s="38">
        <v>1</v>
      </c>
      <c r="J399" s="38">
        <v>0</v>
      </c>
      <c r="K399" s="38">
        <v>0</v>
      </c>
      <c r="L399" s="38">
        <v>0</v>
      </c>
      <c r="M399" s="38">
        <v>0</v>
      </c>
      <c r="N399" s="38">
        <v>2</v>
      </c>
      <c r="O399" s="38">
        <v>1</v>
      </c>
      <c r="P399" s="38">
        <v>3</v>
      </c>
      <c r="Q399" s="34">
        <f t="shared" si="12"/>
        <v>298</v>
      </c>
      <c r="R399" s="34">
        <v>0</v>
      </c>
      <c r="S399" s="34">
        <f t="shared" si="13"/>
        <v>301</v>
      </c>
      <c r="T399" s="34">
        <v>0</v>
      </c>
    </row>
    <row r="400" spans="1:20" s="3" customFormat="1" ht="24" customHeight="1">
      <c r="A400" s="43">
        <v>393</v>
      </c>
      <c r="B400" s="38">
        <v>394</v>
      </c>
      <c r="C400" s="38">
        <v>10</v>
      </c>
      <c r="D400" s="38">
        <v>128</v>
      </c>
      <c r="E400" s="38">
        <v>0</v>
      </c>
      <c r="F400" s="38">
        <v>0</v>
      </c>
      <c r="G400" s="38">
        <v>0</v>
      </c>
      <c r="H400" s="38">
        <v>0</v>
      </c>
      <c r="I400" s="38">
        <v>0</v>
      </c>
      <c r="J400" s="38">
        <v>0</v>
      </c>
      <c r="K400" s="38">
        <v>1</v>
      </c>
      <c r="L400" s="38">
        <v>0</v>
      </c>
      <c r="M400" s="38">
        <v>3</v>
      </c>
      <c r="N400" s="38">
        <v>0</v>
      </c>
      <c r="O400" s="38">
        <v>1</v>
      </c>
      <c r="P400" s="38">
        <v>4</v>
      </c>
      <c r="Q400" s="34">
        <f t="shared" si="12"/>
        <v>537</v>
      </c>
      <c r="R400" s="34">
        <v>0</v>
      </c>
      <c r="S400" s="34">
        <f t="shared" si="13"/>
        <v>541</v>
      </c>
      <c r="T400" s="34">
        <v>0</v>
      </c>
    </row>
    <row r="401" spans="1:20" s="3" customFormat="1" ht="24" customHeight="1">
      <c r="A401" s="43">
        <v>394</v>
      </c>
      <c r="B401" s="38">
        <v>436</v>
      </c>
      <c r="C401" s="38">
        <v>41</v>
      </c>
      <c r="D401" s="38">
        <v>46</v>
      </c>
      <c r="E401" s="38">
        <v>3</v>
      </c>
      <c r="F401" s="38">
        <v>0</v>
      </c>
      <c r="G401" s="38">
        <v>0</v>
      </c>
      <c r="H401" s="38">
        <v>0</v>
      </c>
      <c r="I401" s="38">
        <v>0</v>
      </c>
      <c r="J401" s="38">
        <v>1</v>
      </c>
      <c r="K401" s="38">
        <v>2</v>
      </c>
      <c r="L401" s="38">
        <v>0</v>
      </c>
      <c r="M401" s="38">
        <v>1</v>
      </c>
      <c r="N401" s="38">
        <v>1</v>
      </c>
      <c r="O401" s="38">
        <v>5</v>
      </c>
      <c r="P401" s="38">
        <v>8</v>
      </c>
      <c r="Q401" s="34">
        <f t="shared" si="12"/>
        <v>536</v>
      </c>
      <c r="R401" s="34">
        <v>0</v>
      </c>
      <c r="S401" s="34">
        <f t="shared" si="13"/>
        <v>544</v>
      </c>
      <c r="T401" s="34">
        <v>0</v>
      </c>
    </row>
    <row r="402" spans="1:20" s="3" customFormat="1" ht="24" customHeight="1">
      <c r="A402" s="43">
        <v>395</v>
      </c>
      <c r="B402" s="38">
        <v>277</v>
      </c>
      <c r="C402" s="38">
        <v>72</v>
      </c>
      <c r="D402" s="38">
        <v>92</v>
      </c>
      <c r="E402" s="38">
        <v>2</v>
      </c>
      <c r="F402" s="38">
        <v>0</v>
      </c>
      <c r="G402" s="38">
        <v>0</v>
      </c>
      <c r="H402" s="38">
        <v>0</v>
      </c>
      <c r="I402" s="38">
        <v>0</v>
      </c>
      <c r="J402" s="38">
        <v>0</v>
      </c>
      <c r="K402" s="38">
        <v>0</v>
      </c>
      <c r="L402" s="38">
        <v>0</v>
      </c>
      <c r="M402" s="38">
        <v>0</v>
      </c>
      <c r="N402" s="38">
        <v>1</v>
      </c>
      <c r="O402" s="38">
        <v>2</v>
      </c>
      <c r="P402" s="38">
        <v>3</v>
      </c>
      <c r="Q402" s="34">
        <f t="shared" si="12"/>
        <v>446</v>
      </c>
      <c r="R402" s="34">
        <v>0</v>
      </c>
      <c r="S402" s="34">
        <f t="shared" si="13"/>
        <v>449</v>
      </c>
      <c r="T402" s="34">
        <v>0</v>
      </c>
    </row>
    <row r="403" spans="1:20" s="3" customFormat="1" ht="24" customHeight="1">
      <c r="A403" s="43">
        <v>396</v>
      </c>
      <c r="B403" s="38">
        <v>404</v>
      </c>
      <c r="C403" s="38">
        <v>18</v>
      </c>
      <c r="D403" s="38">
        <v>206</v>
      </c>
      <c r="E403" s="38">
        <v>1</v>
      </c>
      <c r="F403" s="38">
        <v>0</v>
      </c>
      <c r="G403" s="38">
        <v>0</v>
      </c>
      <c r="H403" s="38">
        <v>0</v>
      </c>
      <c r="I403" s="38">
        <v>0</v>
      </c>
      <c r="J403" s="38">
        <v>5</v>
      </c>
      <c r="K403" s="38">
        <v>0</v>
      </c>
      <c r="L403" s="38">
        <v>1</v>
      </c>
      <c r="M403" s="38">
        <v>3</v>
      </c>
      <c r="N403" s="38">
        <v>4</v>
      </c>
      <c r="O403" s="38">
        <v>3</v>
      </c>
      <c r="P403" s="38">
        <v>9</v>
      </c>
      <c r="Q403" s="34">
        <f t="shared" si="12"/>
        <v>645</v>
      </c>
      <c r="R403" s="34">
        <v>0</v>
      </c>
      <c r="S403" s="34">
        <f t="shared" si="13"/>
        <v>654</v>
      </c>
      <c r="T403" s="34">
        <v>0</v>
      </c>
    </row>
    <row r="404" spans="1:20" s="3" customFormat="1" ht="24" customHeight="1">
      <c r="A404" s="43">
        <v>397</v>
      </c>
      <c r="B404" s="38">
        <v>408</v>
      </c>
      <c r="C404" s="38">
        <v>173</v>
      </c>
      <c r="D404" s="38">
        <v>118</v>
      </c>
      <c r="E404" s="38">
        <v>4</v>
      </c>
      <c r="F404" s="38">
        <v>0</v>
      </c>
      <c r="G404" s="38">
        <v>0</v>
      </c>
      <c r="H404" s="38">
        <v>3</v>
      </c>
      <c r="I404" s="38">
        <v>0</v>
      </c>
      <c r="J404" s="38">
        <v>2</v>
      </c>
      <c r="K404" s="38">
        <v>3</v>
      </c>
      <c r="L404" s="38">
        <v>3</v>
      </c>
      <c r="M404" s="38">
        <v>4</v>
      </c>
      <c r="N404" s="38">
        <v>0</v>
      </c>
      <c r="O404" s="38">
        <v>1</v>
      </c>
      <c r="P404" s="38">
        <v>4</v>
      </c>
      <c r="Q404" s="34">
        <f t="shared" si="12"/>
        <v>719</v>
      </c>
      <c r="R404" s="34">
        <v>0</v>
      </c>
      <c r="S404" s="34">
        <f t="shared" si="13"/>
        <v>723</v>
      </c>
      <c r="T404" s="34">
        <v>0</v>
      </c>
    </row>
    <row r="405" spans="1:20" s="3" customFormat="1" ht="24" customHeight="1">
      <c r="A405" s="43">
        <v>398</v>
      </c>
      <c r="B405" s="38">
        <v>494</v>
      </c>
      <c r="C405" s="38">
        <v>11</v>
      </c>
      <c r="D405" s="38">
        <v>166</v>
      </c>
      <c r="E405" s="38">
        <v>6</v>
      </c>
      <c r="F405" s="38">
        <v>0</v>
      </c>
      <c r="G405" s="38">
        <v>1</v>
      </c>
      <c r="H405" s="38">
        <v>1</v>
      </c>
      <c r="I405" s="38">
        <v>0</v>
      </c>
      <c r="J405" s="38">
        <v>2</v>
      </c>
      <c r="K405" s="38">
        <v>0</v>
      </c>
      <c r="L405" s="38">
        <v>2</v>
      </c>
      <c r="M405" s="38">
        <v>2</v>
      </c>
      <c r="N405" s="38">
        <v>3</v>
      </c>
      <c r="O405" s="38">
        <v>2</v>
      </c>
      <c r="P405" s="38">
        <v>6</v>
      </c>
      <c r="Q405" s="34">
        <f t="shared" si="12"/>
        <v>690</v>
      </c>
      <c r="R405" s="34">
        <v>0</v>
      </c>
      <c r="S405" s="34">
        <f t="shared" si="13"/>
        <v>696</v>
      </c>
      <c r="T405" s="34">
        <v>0</v>
      </c>
    </row>
    <row r="406" spans="1:20" s="3" customFormat="1" ht="24" customHeight="1">
      <c r="A406" s="43">
        <v>399</v>
      </c>
      <c r="B406" s="38">
        <v>333</v>
      </c>
      <c r="C406" s="38">
        <v>30</v>
      </c>
      <c r="D406" s="38">
        <v>261</v>
      </c>
      <c r="E406" s="38">
        <v>1</v>
      </c>
      <c r="F406" s="38">
        <v>0</v>
      </c>
      <c r="G406" s="38">
        <v>2</v>
      </c>
      <c r="H406" s="38">
        <v>0</v>
      </c>
      <c r="I406" s="38">
        <v>1</v>
      </c>
      <c r="J406" s="38">
        <v>0</v>
      </c>
      <c r="K406" s="38">
        <v>3</v>
      </c>
      <c r="L406" s="38">
        <v>4</v>
      </c>
      <c r="M406" s="38">
        <v>3</v>
      </c>
      <c r="N406" s="38">
        <v>6</v>
      </c>
      <c r="O406" s="38">
        <v>3</v>
      </c>
      <c r="P406" s="38">
        <v>8</v>
      </c>
      <c r="Q406" s="34">
        <f t="shared" si="12"/>
        <v>647</v>
      </c>
      <c r="R406" s="34">
        <v>0</v>
      </c>
      <c r="S406" s="34">
        <f t="shared" si="13"/>
        <v>655</v>
      </c>
      <c r="T406" s="34">
        <v>0</v>
      </c>
    </row>
    <row r="407" spans="1:20" s="3" customFormat="1" ht="24" customHeight="1">
      <c r="A407" s="43">
        <v>400</v>
      </c>
      <c r="B407" s="38">
        <v>425</v>
      </c>
      <c r="C407" s="38">
        <v>6</v>
      </c>
      <c r="D407" s="38">
        <v>223</v>
      </c>
      <c r="E407" s="38">
        <v>1</v>
      </c>
      <c r="F407" s="38">
        <v>0</v>
      </c>
      <c r="G407" s="38">
        <v>0</v>
      </c>
      <c r="H407" s="38">
        <v>3</v>
      </c>
      <c r="I407" s="38">
        <v>1</v>
      </c>
      <c r="J407" s="38">
        <v>3</v>
      </c>
      <c r="K407" s="38">
        <v>0</v>
      </c>
      <c r="L407" s="38">
        <v>2</v>
      </c>
      <c r="M407" s="38">
        <v>5</v>
      </c>
      <c r="N407" s="38">
        <v>1</v>
      </c>
      <c r="O407" s="38">
        <v>4</v>
      </c>
      <c r="P407" s="38">
        <v>10</v>
      </c>
      <c r="Q407" s="34">
        <f t="shared" si="12"/>
        <v>674</v>
      </c>
      <c r="R407" s="34">
        <v>0</v>
      </c>
      <c r="S407" s="34">
        <f t="shared" si="13"/>
        <v>684</v>
      </c>
      <c r="T407" s="34">
        <v>0</v>
      </c>
    </row>
    <row r="408" spans="1:20" s="3" customFormat="1" ht="24" customHeight="1">
      <c r="A408" s="43">
        <v>401</v>
      </c>
      <c r="B408" s="38">
        <v>233</v>
      </c>
      <c r="C408" s="38">
        <v>8</v>
      </c>
      <c r="D408" s="38">
        <v>179</v>
      </c>
      <c r="E408" s="38">
        <v>0</v>
      </c>
      <c r="F408" s="38">
        <v>0</v>
      </c>
      <c r="G408" s="38">
        <v>9</v>
      </c>
      <c r="H408" s="38">
        <v>1</v>
      </c>
      <c r="I408" s="38">
        <v>0</v>
      </c>
      <c r="J408" s="38">
        <v>1</v>
      </c>
      <c r="K408" s="38">
        <v>0</v>
      </c>
      <c r="L408" s="38">
        <v>1</v>
      </c>
      <c r="M408" s="38">
        <v>4</v>
      </c>
      <c r="N408" s="38">
        <v>2</v>
      </c>
      <c r="O408" s="38">
        <v>0</v>
      </c>
      <c r="P408" s="38">
        <v>8</v>
      </c>
      <c r="Q408" s="34">
        <f t="shared" si="12"/>
        <v>438</v>
      </c>
      <c r="R408" s="34">
        <v>0</v>
      </c>
      <c r="S408" s="34">
        <f t="shared" si="13"/>
        <v>446</v>
      </c>
      <c r="T408" s="34">
        <v>0</v>
      </c>
    </row>
    <row r="409" spans="1:20" s="3" customFormat="1" ht="24" customHeight="1">
      <c r="A409" s="43">
        <v>402</v>
      </c>
      <c r="B409" s="38">
        <v>304</v>
      </c>
      <c r="C409" s="38">
        <v>27</v>
      </c>
      <c r="D409" s="38">
        <v>120</v>
      </c>
      <c r="E409" s="38">
        <v>3</v>
      </c>
      <c r="F409" s="38">
        <v>0</v>
      </c>
      <c r="G409" s="38">
        <v>0</v>
      </c>
      <c r="H409" s="38">
        <v>0</v>
      </c>
      <c r="I409" s="38">
        <v>0</v>
      </c>
      <c r="J409" s="38">
        <v>0</v>
      </c>
      <c r="K409" s="38">
        <v>1</v>
      </c>
      <c r="L409" s="38">
        <v>5</v>
      </c>
      <c r="M409" s="38">
        <v>5</v>
      </c>
      <c r="N409" s="38">
        <v>4</v>
      </c>
      <c r="O409" s="38">
        <v>0</v>
      </c>
      <c r="P409" s="38">
        <v>3</v>
      </c>
      <c r="Q409" s="34">
        <f t="shared" si="12"/>
        <v>469</v>
      </c>
      <c r="R409" s="34">
        <v>0</v>
      </c>
      <c r="S409" s="34">
        <f t="shared" si="13"/>
        <v>472</v>
      </c>
      <c r="T409" s="34">
        <v>0</v>
      </c>
    </row>
    <row r="410" spans="1:20" s="3" customFormat="1" ht="24" customHeight="1">
      <c r="A410" s="43">
        <v>403</v>
      </c>
      <c r="B410" s="38">
        <v>263</v>
      </c>
      <c r="C410" s="38">
        <v>20</v>
      </c>
      <c r="D410" s="38">
        <v>71</v>
      </c>
      <c r="E410" s="38">
        <v>1</v>
      </c>
      <c r="F410" s="38">
        <v>0</v>
      </c>
      <c r="G410" s="38">
        <v>1</v>
      </c>
      <c r="H410" s="38">
        <v>0</v>
      </c>
      <c r="I410" s="38">
        <v>1</v>
      </c>
      <c r="J410" s="38">
        <v>3</v>
      </c>
      <c r="K410" s="38">
        <v>1</v>
      </c>
      <c r="L410" s="38">
        <v>1</v>
      </c>
      <c r="M410" s="38">
        <v>1</v>
      </c>
      <c r="N410" s="38">
        <v>2</v>
      </c>
      <c r="O410" s="38">
        <v>4</v>
      </c>
      <c r="P410" s="38">
        <v>6</v>
      </c>
      <c r="Q410" s="34">
        <f t="shared" si="12"/>
        <v>369</v>
      </c>
      <c r="R410" s="34">
        <v>0</v>
      </c>
      <c r="S410" s="34">
        <f t="shared" si="13"/>
        <v>375</v>
      </c>
      <c r="T410" s="34">
        <v>0</v>
      </c>
    </row>
    <row r="411" spans="1:20" s="3" customFormat="1" ht="24" customHeight="1">
      <c r="A411" s="43">
        <v>404</v>
      </c>
      <c r="B411" s="38">
        <v>321</v>
      </c>
      <c r="C411" s="38">
        <v>17</v>
      </c>
      <c r="D411" s="38">
        <v>136</v>
      </c>
      <c r="E411" s="38">
        <v>5</v>
      </c>
      <c r="F411" s="38">
        <v>0</v>
      </c>
      <c r="G411" s="38">
        <v>2</v>
      </c>
      <c r="H411" s="38">
        <v>1</v>
      </c>
      <c r="I411" s="38">
        <v>1</v>
      </c>
      <c r="J411" s="38">
        <v>2</v>
      </c>
      <c r="K411" s="38">
        <v>0</v>
      </c>
      <c r="L411" s="38">
        <v>1</v>
      </c>
      <c r="M411" s="38">
        <v>1</v>
      </c>
      <c r="N411" s="38">
        <v>1</v>
      </c>
      <c r="O411" s="38">
        <v>1</v>
      </c>
      <c r="P411" s="38">
        <v>3</v>
      </c>
      <c r="Q411" s="34">
        <f t="shared" si="12"/>
        <v>489</v>
      </c>
      <c r="R411" s="34">
        <v>0</v>
      </c>
      <c r="S411" s="34">
        <f t="shared" si="13"/>
        <v>492</v>
      </c>
      <c r="T411" s="34">
        <v>0</v>
      </c>
    </row>
    <row r="412" spans="1:20" s="3" customFormat="1" ht="24" customHeight="1">
      <c r="A412" s="43">
        <v>405</v>
      </c>
      <c r="B412" s="38">
        <v>277</v>
      </c>
      <c r="C412" s="38">
        <v>15</v>
      </c>
      <c r="D412" s="38">
        <v>263</v>
      </c>
      <c r="E412" s="38">
        <v>0</v>
      </c>
      <c r="F412" s="38">
        <v>0</v>
      </c>
      <c r="G412" s="38">
        <v>1</v>
      </c>
      <c r="H412" s="38">
        <v>0</v>
      </c>
      <c r="I412" s="38">
        <v>7</v>
      </c>
      <c r="J412" s="38">
        <v>6</v>
      </c>
      <c r="K412" s="38">
        <v>1</v>
      </c>
      <c r="L412" s="38">
        <v>2</v>
      </c>
      <c r="M412" s="38">
        <v>3</v>
      </c>
      <c r="N412" s="38">
        <v>1</v>
      </c>
      <c r="O412" s="38">
        <v>3</v>
      </c>
      <c r="P412" s="38">
        <v>6</v>
      </c>
      <c r="Q412" s="34">
        <f t="shared" si="12"/>
        <v>579</v>
      </c>
      <c r="R412" s="34">
        <v>0</v>
      </c>
      <c r="S412" s="34">
        <f t="shared" si="13"/>
        <v>585</v>
      </c>
      <c r="T412" s="34">
        <v>0</v>
      </c>
    </row>
    <row r="413" spans="1:20" s="3" customFormat="1" ht="24" customHeight="1">
      <c r="A413" s="43">
        <v>406</v>
      </c>
      <c r="B413" s="38">
        <v>315</v>
      </c>
      <c r="C413" s="38">
        <v>5</v>
      </c>
      <c r="D413" s="38">
        <v>229</v>
      </c>
      <c r="E413" s="38">
        <v>3</v>
      </c>
      <c r="F413" s="38">
        <v>1</v>
      </c>
      <c r="G413" s="38">
        <v>0</v>
      </c>
      <c r="H413" s="38">
        <v>0</v>
      </c>
      <c r="I413" s="38">
        <v>8</v>
      </c>
      <c r="J413" s="38">
        <v>5</v>
      </c>
      <c r="K413" s="38">
        <v>0</v>
      </c>
      <c r="L413" s="38">
        <v>0</v>
      </c>
      <c r="M413" s="38">
        <v>2</v>
      </c>
      <c r="N413" s="38">
        <v>2</v>
      </c>
      <c r="O413" s="38">
        <v>3</v>
      </c>
      <c r="P413" s="38">
        <v>7</v>
      </c>
      <c r="Q413" s="34">
        <f t="shared" si="12"/>
        <v>573</v>
      </c>
      <c r="R413" s="34">
        <v>0</v>
      </c>
      <c r="S413" s="34">
        <f t="shared" si="13"/>
        <v>580</v>
      </c>
      <c r="T413" s="34">
        <v>0</v>
      </c>
    </row>
    <row r="414" spans="1:20" s="3" customFormat="1" ht="24" customHeight="1">
      <c r="A414" s="37">
        <v>407</v>
      </c>
      <c r="B414" s="38">
        <v>507</v>
      </c>
      <c r="C414" s="38">
        <v>20</v>
      </c>
      <c r="D414" s="38">
        <v>82</v>
      </c>
      <c r="E414" s="38">
        <v>2</v>
      </c>
      <c r="F414" s="38">
        <v>4</v>
      </c>
      <c r="G414" s="38">
        <v>0</v>
      </c>
      <c r="H414" s="38">
        <v>0</v>
      </c>
      <c r="I414" s="38">
        <v>0</v>
      </c>
      <c r="J414" s="38">
        <v>2</v>
      </c>
      <c r="K414" s="38">
        <v>2</v>
      </c>
      <c r="L414" s="38">
        <v>2</v>
      </c>
      <c r="M414" s="38">
        <v>3</v>
      </c>
      <c r="N414" s="38">
        <v>6</v>
      </c>
      <c r="O414" s="38">
        <v>1</v>
      </c>
      <c r="P414" s="38">
        <v>12</v>
      </c>
      <c r="Q414" s="34">
        <f t="shared" si="12"/>
        <v>631</v>
      </c>
      <c r="R414" s="34">
        <v>0</v>
      </c>
      <c r="S414" s="34">
        <f t="shared" si="13"/>
        <v>643</v>
      </c>
      <c r="T414" s="34">
        <v>0</v>
      </c>
    </row>
    <row r="415" spans="1:20" s="3" customFormat="1" ht="24" customHeight="1">
      <c r="A415" s="37">
        <v>408</v>
      </c>
      <c r="B415" s="38">
        <v>349</v>
      </c>
      <c r="C415" s="38">
        <v>65</v>
      </c>
      <c r="D415" s="38">
        <v>122</v>
      </c>
      <c r="E415" s="38">
        <v>2</v>
      </c>
      <c r="F415" s="38">
        <v>2</v>
      </c>
      <c r="G415" s="38">
        <v>1</v>
      </c>
      <c r="H415" s="38">
        <v>1</v>
      </c>
      <c r="I415" s="38">
        <v>0</v>
      </c>
      <c r="J415" s="38">
        <v>0</v>
      </c>
      <c r="K415" s="38">
        <v>1</v>
      </c>
      <c r="L415" s="38">
        <v>2</v>
      </c>
      <c r="M415" s="38">
        <v>2</v>
      </c>
      <c r="N415" s="38">
        <v>2</v>
      </c>
      <c r="O415" s="38">
        <v>6</v>
      </c>
      <c r="P415" s="38">
        <v>10</v>
      </c>
      <c r="Q415" s="34">
        <f t="shared" si="12"/>
        <v>555</v>
      </c>
      <c r="R415" s="34">
        <v>0</v>
      </c>
      <c r="S415" s="34">
        <f t="shared" si="13"/>
        <v>565</v>
      </c>
      <c r="T415" s="34">
        <v>0</v>
      </c>
    </row>
    <row r="416" spans="1:20" s="3" customFormat="1" ht="24" customHeight="1">
      <c r="A416" s="37">
        <v>409</v>
      </c>
      <c r="B416" s="38">
        <v>361</v>
      </c>
      <c r="C416" s="38">
        <v>15</v>
      </c>
      <c r="D416" s="38">
        <v>165</v>
      </c>
      <c r="E416" s="38">
        <v>4</v>
      </c>
      <c r="F416" s="38">
        <v>1</v>
      </c>
      <c r="G416" s="38">
        <v>0</v>
      </c>
      <c r="H416" s="38">
        <v>1</v>
      </c>
      <c r="I416" s="38">
        <v>2</v>
      </c>
      <c r="J416" s="38">
        <v>1</v>
      </c>
      <c r="K416" s="38">
        <v>1</v>
      </c>
      <c r="L416" s="38">
        <v>3</v>
      </c>
      <c r="M416" s="38">
        <v>4</v>
      </c>
      <c r="N416" s="38">
        <v>5</v>
      </c>
      <c r="O416" s="38">
        <v>5</v>
      </c>
      <c r="P416" s="38">
        <v>16</v>
      </c>
      <c r="Q416" s="34">
        <f t="shared" si="12"/>
        <v>568</v>
      </c>
      <c r="R416" s="34">
        <v>0</v>
      </c>
      <c r="S416" s="34">
        <f t="shared" si="13"/>
        <v>584</v>
      </c>
      <c r="T416" s="34">
        <v>0</v>
      </c>
    </row>
    <row r="417" spans="1:20" s="3" customFormat="1" ht="24" customHeight="1">
      <c r="A417" s="37">
        <v>410</v>
      </c>
      <c r="B417" s="38">
        <v>398</v>
      </c>
      <c r="C417" s="38">
        <v>23</v>
      </c>
      <c r="D417" s="38">
        <v>146</v>
      </c>
      <c r="E417" s="38">
        <v>5</v>
      </c>
      <c r="F417" s="38">
        <v>0</v>
      </c>
      <c r="G417" s="38">
        <v>0</v>
      </c>
      <c r="H417" s="38">
        <v>0</v>
      </c>
      <c r="I417" s="38">
        <v>0</v>
      </c>
      <c r="J417" s="38">
        <v>4</v>
      </c>
      <c r="K417" s="38">
        <v>0</v>
      </c>
      <c r="L417" s="38">
        <v>2</v>
      </c>
      <c r="M417" s="38">
        <v>3</v>
      </c>
      <c r="N417" s="38">
        <v>0</v>
      </c>
      <c r="O417" s="38">
        <v>5</v>
      </c>
      <c r="P417" s="38">
        <v>9</v>
      </c>
      <c r="Q417" s="34">
        <f t="shared" si="12"/>
        <v>586</v>
      </c>
      <c r="R417" s="34">
        <v>0</v>
      </c>
      <c r="S417" s="34">
        <f t="shared" si="13"/>
        <v>595</v>
      </c>
      <c r="T417" s="34">
        <v>0</v>
      </c>
    </row>
    <row r="418" spans="1:20" s="3" customFormat="1" ht="24" customHeight="1">
      <c r="A418" s="37">
        <v>411</v>
      </c>
      <c r="B418" s="38">
        <v>298</v>
      </c>
      <c r="C418" s="38">
        <v>210</v>
      </c>
      <c r="D418" s="38">
        <v>140</v>
      </c>
      <c r="E418" s="38">
        <v>7</v>
      </c>
      <c r="F418" s="38">
        <v>1</v>
      </c>
      <c r="G418" s="38">
        <v>1</v>
      </c>
      <c r="H418" s="38">
        <v>0</v>
      </c>
      <c r="I418" s="38">
        <v>1</v>
      </c>
      <c r="J418" s="38">
        <v>0</v>
      </c>
      <c r="K418" s="38">
        <v>1</v>
      </c>
      <c r="L418" s="38">
        <v>1</v>
      </c>
      <c r="M418" s="38">
        <v>0</v>
      </c>
      <c r="N418" s="38">
        <v>1</v>
      </c>
      <c r="O418" s="38">
        <v>1</v>
      </c>
      <c r="P418" s="38">
        <v>7</v>
      </c>
      <c r="Q418" s="34">
        <f t="shared" si="12"/>
        <v>662</v>
      </c>
      <c r="R418" s="34">
        <v>0</v>
      </c>
      <c r="S418" s="34">
        <f t="shared" si="13"/>
        <v>669</v>
      </c>
      <c r="T418" s="34">
        <v>0</v>
      </c>
    </row>
    <row r="419" spans="1:20" s="3" customFormat="1" ht="24" customHeight="1">
      <c r="A419" s="37">
        <v>412</v>
      </c>
      <c r="B419" s="38">
        <v>355</v>
      </c>
      <c r="C419" s="38">
        <v>13</v>
      </c>
      <c r="D419" s="38">
        <v>273</v>
      </c>
      <c r="E419" s="38">
        <v>0</v>
      </c>
      <c r="F419" s="38">
        <v>1</v>
      </c>
      <c r="G419" s="38">
        <v>0</v>
      </c>
      <c r="H419" s="38">
        <v>0</v>
      </c>
      <c r="I419" s="38">
        <v>1</v>
      </c>
      <c r="J419" s="38">
        <v>0</v>
      </c>
      <c r="K419" s="38">
        <v>0</v>
      </c>
      <c r="L419" s="38">
        <v>0</v>
      </c>
      <c r="M419" s="38">
        <v>1</v>
      </c>
      <c r="N419" s="38">
        <v>7</v>
      </c>
      <c r="O419" s="38">
        <v>1</v>
      </c>
      <c r="P419" s="38">
        <v>2</v>
      </c>
      <c r="Q419" s="34">
        <f t="shared" si="12"/>
        <v>652</v>
      </c>
      <c r="R419" s="34">
        <v>0</v>
      </c>
      <c r="S419" s="34">
        <f t="shared" si="13"/>
        <v>654</v>
      </c>
      <c r="T419" s="34">
        <v>0</v>
      </c>
    </row>
    <row r="420" spans="1:20" s="3" customFormat="1" ht="24" customHeight="1">
      <c r="A420" s="37">
        <v>413</v>
      </c>
      <c r="B420" s="38">
        <v>502</v>
      </c>
      <c r="C420" s="38">
        <v>11</v>
      </c>
      <c r="D420" s="38">
        <v>104</v>
      </c>
      <c r="E420" s="38">
        <v>3</v>
      </c>
      <c r="F420" s="38">
        <v>0</v>
      </c>
      <c r="G420" s="38">
        <v>0</v>
      </c>
      <c r="H420" s="38">
        <v>2</v>
      </c>
      <c r="I420" s="38">
        <v>1</v>
      </c>
      <c r="J420" s="38">
        <v>1</v>
      </c>
      <c r="K420" s="38">
        <v>0</v>
      </c>
      <c r="L420" s="38">
        <v>1</v>
      </c>
      <c r="M420" s="38">
        <v>0</v>
      </c>
      <c r="N420" s="38">
        <v>2</v>
      </c>
      <c r="O420" s="38">
        <v>1</v>
      </c>
      <c r="P420" s="38">
        <v>7</v>
      </c>
      <c r="Q420" s="34">
        <f t="shared" si="12"/>
        <v>628</v>
      </c>
      <c r="R420" s="34">
        <v>0</v>
      </c>
      <c r="S420" s="34">
        <f t="shared" si="13"/>
        <v>635</v>
      </c>
      <c r="T420" s="34">
        <v>0</v>
      </c>
    </row>
    <row r="421" spans="1:20" s="3" customFormat="1" ht="24" customHeight="1">
      <c r="A421" s="37">
        <v>414</v>
      </c>
      <c r="B421" s="38">
        <v>295</v>
      </c>
      <c r="C421" s="38">
        <v>2</v>
      </c>
      <c r="D421" s="38">
        <v>70</v>
      </c>
      <c r="E421" s="38">
        <v>0</v>
      </c>
      <c r="F421" s="38">
        <v>0</v>
      </c>
      <c r="G421" s="38">
        <v>1</v>
      </c>
      <c r="H421" s="38">
        <v>0</v>
      </c>
      <c r="I421" s="38">
        <v>0</v>
      </c>
      <c r="J421" s="38">
        <v>3</v>
      </c>
      <c r="K421" s="38">
        <v>0</v>
      </c>
      <c r="L421" s="38">
        <v>0</v>
      </c>
      <c r="M421" s="38">
        <v>0</v>
      </c>
      <c r="N421" s="38">
        <v>2</v>
      </c>
      <c r="O421" s="38">
        <v>1</v>
      </c>
      <c r="P421" s="38">
        <v>2</v>
      </c>
      <c r="Q421" s="34">
        <f t="shared" si="12"/>
        <v>374</v>
      </c>
      <c r="R421" s="34">
        <v>0</v>
      </c>
      <c r="S421" s="34">
        <f t="shared" si="13"/>
        <v>376</v>
      </c>
      <c r="T421" s="34">
        <v>0</v>
      </c>
    </row>
    <row r="422" spans="1:20" s="3" customFormat="1" ht="24" customHeight="1">
      <c r="A422" s="37">
        <v>415</v>
      </c>
      <c r="B422" s="38">
        <v>447</v>
      </c>
      <c r="C422" s="38">
        <v>40</v>
      </c>
      <c r="D422" s="38">
        <v>186</v>
      </c>
      <c r="E422" s="38">
        <v>13</v>
      </c>
      <c r="F422" s="38">
        <v>0</v>
      </c>
      <c r="G422" s="38">
        <v>0</v>
      </c>
      <c r="H422" s="38">
        <v>0</v>
      </c>
      <c r="I422" s="38">
        <v>2</v>
      </c>
      <c r="J422" s="38">
        <v>2</v>
      </c>
      <c r="K422" s="38">
        <v>2</v>
      </c>
      <c r="L422" s="38">
        <v>4</v>
      </c>
      <c r="M422" s="38">
        <v>5</v>
      </c>
      <c r="N422" s="38">
        <v>5</v>
      </c>
      <c r="O422" s="38">
        <v>3</v>
      </c>
      <c r="P422" s="38">
        <v>16</v>
      </c>
      <c r="Q422" s="34">
        <f t="shared" si="12"/>
        <v>709</v>
      </c>
      <c r="R422" s="34">
        <v>0</v>
      </c>
      <c r="S422" s="34">
        <f t="shared" si="13"/>
        <v>725</v>
      </c>
      <c r="T422" s="34">
        <v>0</v>
      </c>
    </row>
    <row r="423" spans="1:20" s="3" customFormat="1" ht="24" customHeight="1">
      <c r="A423" s="37">
        <v>416</v>
      </c>
      <c r="B423" s="38">
        <v>293</v>
      </c>
      <c r="C423" s="38">
        <v>99</v>
      </c>
      <c r="D423" s="38">
        <v>142</v>
      </c>
      <c r="E423" s="38">
        <v>3</v>
      </c>
      <c r="F423" s="38">
        <v>0</v>
      </c>
      <c r="G423" s="38">
        <v>0</v>
      </c>
      <c r="H423" s="38">
        <v>0</v>
      </c>
      <c r="I423" s="38">
        <v>0</v>
      </c>
      <c r="J423" s="38">
        <v>1</v>
      </c>
      <c r="K423" s="38">
        <v>1</v>
      </c>
      <c r="L423" s="38">
        <v>1</v>
      </c>
      <c r="M423" s="38">
        <v>0</v>
      </c>
      <c r="N423" s="38">
        <v>2</v>
      </c>
      <c r="O423" s="38">
        <v>0</v>
      </c>
      <c r="P423" s="38">
        <v>3</v>
      </c>
      <c r="Q423" s="34">
        <f t="shared" si="12"/>
        <v>542</v>
      </c>
      <c r="R423" s="34">
        <v>0</v>
      </c>
      <c r="S423" s="34">
        <f t="shared" si="13"/>
        <v>545</v>
      </c>
      <c r="T423" s="34">
        <v>0</v>
      </c>
    </row>
    <row r="424" spans="1:20" s="3" customFormat="1" ht="24" customHeight="1">
      <c r="A424" s="37">
        <v>417</v>
      </c>
      <c r="B424" s="38">
        <v>277</v>
      </c>
      <c r="C424" s="38">
        <v>41</v>
      </c>
      <c r="D424" s="38">
        <v>151</v>
      </c>
      <c r="E424" s="38">
        <v>2</v>
      </c>
      <c r="F424" s="38">
        <v>0</v>
      </c>
      <c r="G424" s="38">
        <v>0</v>
      </c>
      <c r="H424" s="38">
        <v>0</v>
      </c>
      <c r="I424" s="38">
        <v>1</v>
      </c>
      <c r="J424" s="38">
        <v>1</v>
      </c>
      <c r="K424" s="38">
        <v>0</v>
      </c>
      <c r="L424" s="38">
        <v>0</v>
      </c>
      <c r="M424" s="38">
        <v>2</v>
      </c>
      <c r="N424" s="38">
        <v>1</v>
      </c>
      <c r="O424" s="38">
        <v>3</v>
      </c>
      <c r="P424" s="38">
        <v>3</v>
      </c>
      <c r="Q424" s="34">
        <f t="shared" si="12"/>
        <v>479</v>
      </c>
      <c r="R424" s="34">
        <v>0</v>
      </c>
      <c r="S424" s="34">
        <f t="shared" si="13"/>
        <v>482</v>
      </c>
      <c r="T424" s="34">
        <v>0</v>
      </c>
    </row>
    <row r="425" spans="1:20" s="3" customFormat="1" ht="24" customHeight="1">
      <c r="A425" s="37">
        <v>418</v>
      </c>
      <c r="B425" s="38">
        <v>185</v>
      </c>
      <c r="C425" s="38">
        <v>46</v>
      </c>
      <c r="D425" s="38">
        <v>414</v>
      </c>
      <c r="E425" s="38">
        <v>2</v>
      </c>
      <c r="F425" s="38">
        <v>0</v>
      </c>
      <c r="G425" s="38">
        <v>0</v>
      </c>
      <c r="H425" s="38">
        <v>0</v>
      </c>
      <c r="I425" s="38">
        <v>1</v>
      </c>
      <c r="J425" s="38">
        <v>9</v>
      </c>
      <c r="K425" s="38">
        <v>1</v>
      </c>
      <c r="L425" s="38">
        <v>1</v>
      </c>
      <c r="M425" s="38">
        <v>1</v>
      </c>
      <c r="N425" s="38">
        <v>0</v>
      </c>
      <c r="O425" s="38">
        <v>0</v>
      </c>
      <c r="P425" s="38">
        <v>3</v>
      </c>
      <c r="Q425" s="34">
        <f t="shared" si="12"/>
        <v>660</v>
      </c>
      <c r="R425" s="34">
        <v>0</v>
      </c>
      <c r="S425" s="34">
        <f t="shared" si="13"/>
        <v>663</v>
      </c>
      <c r="T425" s="34">
        <v>0</v>
      </c>
    </row>
    <row r="426" spans="1:20" s="3" customFormat="1" ht="24" customHeight="1">
      <c r="A426" s="37">
        <v>419</v>
      </c>
      <c r="B426" s="38">
        <v>204</v>
      </c>
      <c r="C426" s="38">
        <v>37</v>
      </c>
      <c r="D426" s="38">
        <v>95</v>
      </c>
      <c r="E426" s="38">
        <v>7</v>
      </c>
      <c r="F426" s="38">
        <v>0</v>
      </c>
      <c r="G426" s="38">
        <v>0</v>
      </c>
      <c r="H426" s="38">
        <v>0</v>
      </c>
      <c r="I426" s="38">
        <v>0</v>
      </c>
      <c r="J426" s="38">
        <v>0</v>
      </c>
      <c r="K426" s="38">
        <v>0</v>
      </c>
      <c r="L426" s="38">
        <v>0</v>
      </c>
      <c r="M426" s="38">
        <v>1</v>
      </c>
      <c r="N426" s="38">
        <v>2</v>
      </c>
      <c r="O426" s="38">
        <v>9</v>
      </c>
      <c r="P426" s="38">
        <v>1</v>
      </c>
      <c r="Q426" s="34">
        <f t="shared" si="12"/>
        <v>355</v>
      </c>
      <c r="R426" s="34">
        <v>0</v>
      </c>
      <c r="S426" s="34">
        <f t="shared" si="13"/>
        <v>356</v>
      </c>
      <c r="T426" s="34">
        <v>0</v>
      </c>
    </row>
    <row r="427" spans="1:20" s="3" customFormat="1" ht="24" customHeight="1">
      <c r="A427" s="37">
        <v>420</v>
      </c>
      <c r="B427" s="38">
        <v>226</v>
      </c>
      <c r="C427" s="38">
        <v>25</v>
      </c>
      <c r="D427" s="38">
        <v>98</v>
      </c>
      <c r="E427" s="38">
        <v>5</v>
      </c>
      <c r="F427" s="38">
        <v>0</v>
      </c>
      <c r="G427" s="38">
        <v>0</v>
      </c>
      <c r="H427" s="38">
        <v>0</v>
      </c>
      <c r="I427" s="38">
        <v>0</v>
      </c>
      <c r="J427" s="38">
        <v>0</v>
      </c>
      <c r="K427" s="38">
        <v>1</v>
      </c>
      <c r="L427" s="38">
        <v>0</v>
      </c>
      <c r="M427" s="38">
        <v>1</v>
      </c>
      <c r="N427" s="38">
        <v>2</v>
      </c>
      <c r="O427" s="38">
        <v>10</v>
      </c>
      <c r="P427" s="38">
        <v>1</v>
      </c>
      <c r="Q427" s="34">
        <f t="shared" si="12"/>
        <v>368</v>
      </c>
      <c r="R427" s="34">
        <v>0</v>
      </c>
      <c r="S427" s="34">
        <f t="shared" si="13"/>
        <v>369</v>
      </c>
      <c r="T427" s="34">
        <v>0</v>
      </c>
    </row>
    <row r="428" spans="1:20" s="3" customFormat="1" ht="24" customHeight="1">
      <c r="A428" s="54">
        <v>421</v>
      </c>
      <c r="B428" s="38">
        <v>147</v>
      </c>
      <c r="C428" s="38">
        <v>15</v>
      </c>
      <c r="D428" s="38">
        <v>197</v>
      </c>
      <c r="E428" s="38">
        <v>0</v>
      </c>
      <c r="F428" s="38">
        <v>0</v>
      </c>
      <c r="G428" s="38">
        <v>0</v>
      </c>
      <c r="H428" s="38">
        <v>0</v>
      </c>
      <c r="I428" s="38">
        <v>0</v>
      </c>
      <c r="J428" s="38">
        <v>3</v>
      </c>
      <c r="K428" s="38">
        <v>0</v>
      </c>
      <c r="L428" s="38">
        <v>0</v>
      </c>
      <c r="M428" s="38">
        <v>0</v>
      </c>
      <c r="N428" s="38">
        <v>0</v>
      </c>
      <c r="O428" s="38">
        <v>2</v>
      </c>
      <c r="P428" s="38">
        <v>1</v>
      </c>
      <c r="Q428" s="34">
        <f t="shared" si="12"/>
        <v>364</v>
      </c>
      <c r="R428" s="34">
        <v>0</v>
      </c>
      <c r="S428" s="34">
        <f t="shared" si="13"/>
        <v>365</v>
      </c>
      <c r="T428" s="34">
        <v>0</v>
      </c>
    </row>
    <row r="429" spans="1:20" s="3" customFormat="1" ht="24" customHeight="1">
      <c r="A429" s="54">
        <v>422</v>
      </c>
      <c r="B429" s="38">
        <v>184</v>
      </c>
      <c r="C429" s="38">
        <v>10</v>
      </c>
      <c r="D429" s="38">
        <v>168</v>
      </c>
      <c r="E429" s="38">
        <v>6</v>
      </c>
      <c r="F429" s="38">
        <v>0</v>
      </c>
      <c r="G429" s="38">
        <v>0</v>
      </c>
      <c r="H429" s="38">
        <v>0</v>
      </c>
      <c r="I429" s="38">
        <v>1</v>
      </c>
      <c r="J429" s="38">
        <v>0</v>
      </c>
      <c r="K429" s="38">
        <v>4</v>
      </c>
      <c r="L429" s="38">
        <v>0</v>
      </c>
      <c r="M429" s="38">
        <v>2</v>
      </c>
      <c r="N429" s="38">
        <v>3</v>
      </c>
      <c r="O429" s="38">
        <v>0</v>
      </c>
      <c r="P429" s="38">
        <v>0</v>
      </c>
      <c r="Q429" s="34">
        <f t="shared" si="12"/>
        <v>378</v>
      </c>
      <c r="R429" s="34">
        <v>0</v>
      </c>
      <c r="S429" s="34">
        <f t="shared" si="13"/>
        <v>378</v>
      </c>
      <c r="T429" s="34">
        <v>0</v>
      </c>
    </row>
    <row r="430" spans="1:20" s="3" customFormat="1" ht="24" customHeight="1">
      <c r="A430" s="54">
        <v>423</v>
      </c>
      <c r="B430" s="38">
        <v>331</v>
      </c>
      <c r="C430" s="38">
        <v>57</v>
      </c>
      <c r="D430" s="38">
        <v>193</v>
      </c>
      <c r="E430" s="38">
        <v>2</v>
      </c>
      <c r="F430" s="38">
        <v>0</v>
      </c>
      <c r="G430" s="38">
        <v>0</v>
      </c>
      <c r="H430" s="38">
        <v>0</v>
      </c>
      <c r="I430" s="38">
        <v>0</v>
      </c>
      <c r="J430" s="38">
        <v>0</v>
      </c>
      <c r="K430" s="38">
        <v>0</v>
      </c>
      <c r="L430" s="38">
        <v>6</v>
      </c>
      <c r="M430" s="38">
        <v>0</v>
      </c>
      <c r="N430" s="38">
        <v>3</v>
      </c>
      <c r="O430" s="38">
        <v>4</v>
      </c>
      <c r="P430" s="38">
        <v>3</v>
      </c>
      <c r="Q430" s="34">
        <f t="shared" si="12"/>
        <v>596</v>
      </c>
      <c r="R430" s="34">
        <v>0</v>
      </c>
      <c r="S430" s="34">
        <f t="shared" si="13"/>
        <v>599</v>
      </c>
      <c r="T430" s="34">
        <v>0</v>
      </c>
    </row>
    <row r="431" spans="1:20" s="3" customFormat="1" ht="24" customHeight="1">
      <c r="A431" s="54">
        <v>424</v>
      </c>
      <c r="B431" s="38">
        <v>352</v>
      </c>
      <c r="C431" s="38">
        <v>36</v>
      </c>
      <c r="D431" s="38">
        <v>150</v>
      </c>
      <c r="E431" s="38">
        <v>1</v>
      </c>
      <c r="F431" s="38">
        <v>0</v>
      </c>
      <c r="G431" s="38">
        <v>0</v>
      </c>
      <c r="H431" s="38">
        <v>2</v>
      </c>
      <c r="I431" s="38">
        <v>0</v>
      </c>
      <c r="J431" s="38">
        <v>0</v>
      </c>
      <c r="K431" s="38">
        <v>0</v>
      </c>
      <c r="L431" s="38">
        <v>1</v>
      </c>
      <c r="M431" s="38">
        <v>0</v>
      </c>
      <c r="N431" s="38">
        <v>1</v>
      </c>
      <c r="O431" s="38">
        <v>0</v>
      </c>
      <c r="P431" s="38">
        <v>4</v>
      </c>
      <c r="Q431" s="34">
        <f t="shared" si="12"/>
        <v>543</v>
      </c>
      <c r="R431" s="34">
        <v>0</v>
      </c>
      <c r="S431" s="34">
        <f t="shared" si="13"/>
        <v>547</v>
      </c>
      <c r="T431" s="34">
        <v>0</v>
      </c>
    </row>
    <row r="432" spans="1:20" s="3" customFormat="1" ht="24" customHeight="1">
      <c r="A432" s="54">
        <v>425</v>
      </c>
      <c r="B432" s="38">
        <v>133</v>
      </c>
      <c r="C432" s="38">
        <v>25</v>
      </c>
      <c r="D432" s="38">
        <v>97</v>
      </c>
      <c r="E432" s="38">
        <v>3</v>
      </c>
      <c r="F432" s="38">
        <v>0</v>
      </c>
      <c r="G432" s="38">
        <v>0</v>
      </c>
      <c r="H432" s="38">
        <v>1</v>
      </c>
      <c r="I432" s="38">
        <v>0</v>
      </c>
      <c r="J432" s="38">
        <v>0</v>
      </c>
      <c r="K432" s="38">
        <v>0</v>
      </c>
      <c r="L432" s="38">
        <v>0</v>
      </c>
      <c r="M432" s="38">
        <v>0</v>
      </c>
      <c r="N432" s="38">
        <v>0</v>
      </c>
      <c r="O432" s="38">
        <v>2</v>
      </c>
      <c r="P432" s="38">
        <v>2</v>
      </c>
      <c r="Q432" s="34">
        <f t="shared" si="12"/>
        <v>261</v>
      </c>
      <c r="R432" s="34">
        <v>0</v>
      </c>
      <c r="S432" s="34">
        <f t="shared" si="13"/>
        <v>263</v>
      </c>
      <c r="T432" s="34">
        <v>0</v>
      </c>
    </row>
    <row r="433" spans="1:20" s="3" customFormat="1" ht="24" customHeight="1">
      <c r="A433" s="54">
        <v>426</v>
      </c>
      <c r="B433" s="38">
        <v>167</v>
      </c>
      <c r="C433" s="38">
        <v>71</v>
      </c>
      <c r="D433" s="38">
        <v>230</v>
      </c>
      <c r="E433" s="38">
        <v>2</v>
      </c>
      <c r="F433" s="38">
        <v>0</v>
      </c>
      <c r="G433" s="38">
        <v>0</v>
      </c>
      <c r="H433" s="38">
        <v>0</v>
      </c>
      <c r="I433" s="38">
        <v>0</v>
      </c>
      <c r="J433" s="38">
        <v>3</v>
      </c>
      <c r="K433" s="38">
        <v>1</v>
      </c>
      <c r="L433" s="38">
        <v>0</v>
      </c>
      <c r="M433" s="38">
        <v>2</v>
      </c>
      <c r="N433" s="38">
        <v>2</v>
      </c>
      <c r="O433" s="38">
        <v>1</v>
      </c>
      <c r="P433" s="38">
        <v>3</v>
      </c>
      <c r="Q433" s="34">
        <f t="shared" si="12"/>
        <v>479</v>
      </c>
      <c r="R433" s="34">
        <v>0</v>
      </c>
      <c r="S433" s="34">
        <f t="shared" si="13"/>
        <v>482</v>
      </c>
      <c r="T433" s="34">
        <v>0</v>
      </c>
    </row>
    <row r="434" spans="1:20" s="3" customFormat="1" ht="24" customHeight="1">
      <c r="A434" s="54">
        <v>427</v>
      </c>
      <c r="B434" s="38">
        <v>214</v>
      </c>
      <c r="C434" s="38">
        <v>5</v>
      </c>
      <c r="D434" s="38">
        <v>163</v>
      </c>
      <c r="E434" s="38">
        <v>3</v>
      </c>
      <c r="F434" s="38">
        <v>0</v>
      </c>
      <c r="G434" s="38">
        <v>0</v>
      </c>
      <c r="H434" s="38">
        <v>0</v>
      </c>
      <c r="I434" s="38">
        <v>0</v>
      </c>
      <c r="J434" s="38">
        <v>9</v>
      </c>
      <c r="K434" s="38">
        <v>0</v>
      </c>
      <c r="L434" s="38">
        <v>0</v>
      </c>
      <c r="M434" s="38">
        <v>1</v>
      </c>
      <c r="N434" s="38">
        <v>0</v>
      </c>
      <c r="O434" s="38">
        <v>1</v>
      </c>
      <c r="P434" s="38">
        <v>2</v>
      </c>
      <c r="Q434" s="34">
        <f t="shared" si="12"/>
        <v>396</v>
      </c>
      <c r="R434" s="34">
        <v>0</v>
      </c>
      <c r="S434" s="34">
        <f t="shared" si="13"/>
        <v>398</v>
      </c>
      <c r="T434" s="34">
        <v>0</v>
      </c>
    </row>
    <row r="435" spans="1:20" s="3" customFormat="1" ht="24" customHeight="1">
      <c r="A435" s="54">
        <v>428</v>
      </c>
      <c r="B435" s="38">
        <v>380</v>
      </c>
      <c r="C435" s="38">
        <v>5</v>
      </c>
      <c r="D435" s="38">
        <v>87</v>
      </c>
      <c r="E435" s="38">
        <v>0</v>
      </c>
      <c r="F435" s="38">
        <v>1</v>
      </c>
      <c r="G435" s="38">
        <v>0</v>
      </c>
      <c r="H435" s="38">
        <v>0</v>
      </c>
      <c r="I435" s="38">
        <v>6</v>
      </c>
      <c r="J435" s="38">
        <v>0</v>
      </c>
      <c r="K435" s="38">
        <v>0</v>
      </c>
      <c r="L435" s="38">
        <v>2</v>
      </c>
      <c r="M435" s="38">
        <v>0</v>
      </c>
      <c r="N435" s="38">
        <v>1</v>
      </c>
      <c r="O435" s="38">
        <v>2</v>
      </c>
      <c r="P435" s="38">
        <v>3</v>
      </c>
      <c r="Q435" s="34">
        <f t="shared" si="12"/>
        <v>484</v>
      </c>
      <c r="R435" s="34">
        <v>0</v>
      </c>
      <c r="S435" s="34">
        <f t="shared" si="13"/>
        <v>487</v>
      </c>
      <c r="T435" s="34">
        <v>0</v>
      </c>
    </row>
    <row r="436" spans="1:20" s="3" customFormat="1" ht="24" customHeight="1">
      <c r="A436" s="54">
        <v>429</v>
      </c>
      <c r="B436" s="38">
        <v>233</v>
      </c>
      <c r="C436" s="38">
        <v>3</v>
      </c>
      <c r="D436" s="38">
        <v>86</v>
      </c>
      <c r="E436" s="38">
        <v>3</v>
      </c>
      <c r="F436" s="38">
        <v>0</v>
      </c>
      <c r="G436" s="38">
        <v>0</v>
      </c>
      <c r="H436" s="38">
        <v>0</v>
      </c>
      <c r="I436" s="38">
        <v>0</v>
      </c>
      <c r="J436" s="38">
        <v>1</v>
      </c>
      <c r="K436" s="38">
        <v>0</v>
      </c>
      <c r="L436" s="38">
        <v>0</v>
      </c>
      <c r="M436" s="38">
        <v>0</v>
      </c>
      <c r="N436" s="38">
        <v>1</v>
      </c>
      <c r="O436" s="38">
        <v>0</v>
      </c>
      <c r="P436" s="38">
        <v>5</v>
      </c>
      <c r="Q436" s="34">
        <f t="shared" si="12"/>
        <v>327</v>
      </c>
      <c r="R436" s="34">
        <v>0</v>
      </c>
      <c r="S436" s="34">
        <f t="shared" si="13"/>
        <v>332</v>
      </c>
      <c r="T436" s="34">
        <v>0</v>
      </c>
    </row>
    <row r="437" spans="1:20" s="3" customFormat="1" ht="24" customHeight="1">
      <c r="A437" s="54">
        <v>430</v>
      </c>
      <c r="B437" s="38">
        <v>347</v>
      </c>
      <c r="C437" s="38">
        <v>5</v>
      </c>
      <c r="D437" s="38">
        <v>215</v>
      </c>
      <c r="E437" s="38">
        <v>0</v>
      </c>
      <c r="F437" s="38">
        <v>1</v>
      </c>
      <c r="G437" s="38">
        <v>0</v>
      </c>
      <c r="H437" s="38">
        <v>0</v>
      </c>
      <c r="I437" s="38">
        <v>0</v>
      </c>
      <c r="J437" s="38">
        <v>4</v>
      </c>
      <c r="K437" s="38">
        <v>1</v>
      </c>
      <c r="L437" s="38">
        <v>0</v>
      </c>
      <c r="M437" s="38">
        <v>0</v>
      </c>
      <c r="N437" s="38">
        <v>0</v>
      </c>
      <c r="O437" s="38">
        <v>1</v>
      </c>
      <c r="P437" s="38">
        <v>4</v>
      </c>
      <c r="Q437" s="34">
        <f t="shared" si="12"/>
        <v>574</v>
      </c>
      <c r="R437" s="34">
        <v>0</v>
      </c>
      <c r="S437" s="34">
        <f t="shared" si="13"/>
        <v>578</v>
      </c>
      <c r="T437" s="34">
        <v>0</v>
      </c>
    </row>
    <row r="438" spans="1:20" s="3" customFormat="1" ht="24" customHeight="1">
      <c r="A438" s="54">
        <v>431</v>
      </c>
      <c r="B438" s="38">
        <v>413</v>
      </c>
      <c r="C438" s="38">
        <v>13</v>
      </c>
      <c r="D438" s="38">
        <v>72</v>
      </c>
      <c r="E438" s="38">
        <v>0</v>
      </c>
      <c r="F438" s="38">
        <v>1</v>
      </c>
      <c r="G438" s="38">
        <v>0</v>
      </c>
      <c r="H438" s="38">
        <v>0</v>
      </c>
      <c r="I438" s="38">
        <v>0</v>
      </c>
      <c r="J438" s="38">
        <v>2</v>
      </c>
      <c r="K438" s="38">
        <v>0</v>
      </c>
      <c r="L438" s="38">
        <v>0</v>
      </c>
      <c r="M438" s="38">
        <v>2</v>
      </c>
      <c r="N438" s="38">
        <v>3</v>
      </c>
      <c r="O438" s="38">
        <v>2</v>
      </c>
      <c r="P438" s="38">
        <v>8</v>
      </c>
      <c r="Q438" s="34">
        <f t="shared" si="12"/>
        <v>508</v>
      </c>
      <c r="R438" s="34">
        <v>0</v>
      </c>
      <c r="S438" s="34">
        <f t="shared" si="13"/>
        <v>516</v>
      </c>
      <c r="T438" s="34">
        <v>0</v>
      </c>
    </row>
    <row r="439" spans="1:20" s="3" customFormat="1" ht="24" customHeight="1">
      <c r="A439" s="54">
        <v>432</v>
      </c>
      <c r="B439" s="38">
        <v>217</v>
      </c>
      <c r="C439" s="38">
        <v>8</v>
      </c>
      <c r="D439" s="38">
        <v>305</v>
      </c>
      <c r="E439" s="38">
        <v>3</v>
      </c>
      <c r="F439" s="38">
        <v>1</v>
      </c>
      <c r="G439" s="38">
        <v>1</v>
      </c>
      <c r="H439" s="38">
        <v>0</v>
      </c>
      <c r="I439" s="38">
        <v>0</v>
      </c>
      <c r="J439" s="38">
        <v>0</v>
      </c>
      <c r="K439" s="38">
        <v>1</v>
      </c>
      <c r="L439" s="38">
        <v>4</v>
      </c>
      <c r="M439" s="38">
        <v>0</v>
      </c>
      <c r="N439" s="38">
        <v>5</v>
      </c>
      <c r="O439" s="38">
        <v>1</v>
      </c>
      <c r="P439" s="38">
        <v>7</v>
      </c>
      <c r="Q439" s="34">
        <f t="shared" si="12"/>
        <v>546</v>
      </c>
      <c r="R439" s="34">
        <v>0</v>
      </c>
      <c r="S439" s="34">
        <f t="shared" si="13"/>
        <v>553</v>
      </c>
      <c r="T439" s="34">
        <v>0</v>
      </c>
    </row>
    <row r="440" spans="1:20" s="3" customFormat="1" ht="24" customHeight="1">
      <c r="A440" s="54">
        <v>433</v>
      </c>
      <c r="B440" s="38">
        <v>200</v>
      </c>
      <c r="C440" s="38">
        <v>9</v>
      </c>
      <c r="D440" s="38">
        <v>369</v>
      </c>
      <c r="E440" s="38">
        <v>4</v>
      </c>
      <c r="F440" s="38">
        <v>0</v>
      </c>
      <c r="G440" s="38">
        <v>0</v>
      </c>
      <c r="H440" s="38">
        <v>1</v>
      </c>
      <c r="I440" s="38">
        <v>0</v>
      </c>
      <c r="J440" s="38">
        <v>2</v>
      </c>
      <c r="K440" s="38">
        <v>0</v>
      </c>
      <c r="L440" s="38">
        <v>0</v>
      </c>
      <c r="M440" s="38">
        <v>1</v>
      </c>
      <c r="N440" s="38">
        <v>1</v>
      </c>
      <c r="O440" s="38">
        <v>0</v>
      </c>
      <c r="P440" s="38">
        <v>2</v>
      </c>
      <c r="Q440" s="34">
        <f t="shared" si="12"/>
        <v>587</v>
      </c>
      <c r="R440" s="34">
        <v>0</v>
      </c>
      <c r="S440" s="34">
        <f t="shared" si="13"/>
        <v>589</v>
      </c>
      <c r="T440" s="34">
        <v>0</v>
      </c>
    </row>
    <row r="441" spans="1:20" s="5" customFormat="1" ht="24" customHeight="1">
      <c r="A441" s="4" t="s">
        <v>3</v>
      </c>
      <c r="B441" s="13">
        <f t="shared" ref="B441:R441" si="14">SUM(B8:B440)</f>
        <v>114869</v>
      </c>
      <c r="C441" s="13">
        <f t="shared" si="14"/>
        <v>15994</v>
      </c>
      <c r="D441" s="13">
        <f t="shared" si="14"/>
        <v>79619</v>
      </c>
      <c r="E441" s="13">
        <f t="shared" si="14"/>
        <v>1468</v>
      </c>
      <c r="F441" s="13">
        <f t="shared" si="14"/>
        <v>172</v>
      </c>
      <c r="G441" s="13">
        <f t="shared" si="14"/>
        <v>157</v>
      </c>
      <c r="H441" s="13">
        <f t="shared" si="14"/>
        <v>175</v>
      </c>
      <c r="I441" s="13">
        <f t="shared" si="14"/>
        <v>350</v>
      </c>
      <c r="J441" s="13">
        <f t="shared" si="14"/>
        <v>2789</v>
      </c>
      <c r="K441" s="13">
        <f t="shared" si="14"/>
        <v>251</v>
      </c>
      <c r="L441" s="13">
        <f t="shared" si="14"/>
        <v>381</v>
      </c>
      <c r="M441" s="13">
        <f t="shared" si="14"/>
        <v>556</v>
      </c>
      <c r="N441" s="13">
        <f t="shared" si="14"/>
        <v>692</v>
      </c>
      <c r="O441" s="13">
        <f t="shared" si="14"/>
        <v>581</v>
      </c>
      <c r="P441" s="13">
        <f t="shared" si="14"/>
        <v>1614</v>
      </c>
      <c r="Q441" s="13">
        <f t="shared" si="14"/>
        <v>218054</v>
      </c>
      <c r="R441" s="13">
        <f t="shared" si="14"/>
        <v>0</v>
      </c>
      <c r="S441" s="34">
        <f t="shared" si="13"/>
        <v>219668</v>
      </c>
      <c r="T441" s="30">
        <f>SUM(T8:T371)</f>
        <v>0</v>
      </c>
    </row>
    <row r="443" spans="1:20" s="6" customFormat="1" ht="20.100000000000001" customHeight="1">
      <c r="A443" s="80" t="s">
        <v>4</v>
      </c>
      <c r="B443" s="80"/>
      <c r="C443" s="80"/>
      <c r="D443" s="80"/>
      <c r="E443" s="80"/>
      <c r="F443" s="80"/>
      <c r="G443" s="80"/>
      <c r="H443" s="80"/>
      <c r="I443" s="80"/>
      <c r="J443" s="80"/>
      <c r="K443" s="80"/>
      <c r="L443" s="80"/>
      <c r="M443" s="80"/>
      <c r="N443" s="80"/>
      <c r="O443" s="80"/>
      <c r="P443" s="80"/>
      <c r="Q443" s="80"/>
      <c r="R443" s="80"/>
      <c r="S443" s="80"/>
      <c r="T443" s="80"/>
    </row>
    <row r="444" spans="1:20" s="6" customFormat="1" ht="20.100000000000001" customHeight="1">
      <c r="A444" s="14"/>
      <c r="B444" s="36">
        <v>399</v>
      </c>
      <c r="C444" s="36">
        <v>113</v>
      </c>
      <c r="D444" s="36">
        <v>859</v>
      </c>
      <c r="E444" s="36">
        <v>13</v>
      </c>
      <c r="F444" s="36">
        <v>0</v>
      </c>
      <c r="G444" s="36">
        <v>1</v>
      </c>
      <c r="H444" s="36">
        <v>0</v>
      </c>
      <c r="I444" s="36">
        <v>4</v>
      </c>
      <c r="J444" s="36">
        <v>7</v>
      </c>
      <c r="K444" s="36">
        <v>3</v>
      </c>
      <c r="L444" s="36">
        <v>2</v>
      </c>
      <c r="M444" s="36">
        <v>1</v>
      </c>
      <c r="N444" s="36">
        <v>0</v>
      </c>
      <c r="O444" s="36">
        <v>2</v>
      </c>
      <c r="P444" s="36">
        <v>2</v>
      </c>
      <c r="Q444" s="36">
        <v>0</v>
      </c>
      <c r="R444" s="13">
        <v>186</v>
      </c>
      <c r="S444" s="36">
        <f>Q444</f>
        <v>0</v>
      </c>
      <c r="T444" s="14"/>
    </row>
    <row r="445" spans="1:20" s="6" customFormat="1" ht="20.100000000000001" customHeight="1">
      <c r="A445" s="78" t="s">
        <v>5</v>
      </c>
      <c r="B445" s="78"/>
      <c r="C445" s="78"/>
      <c r="D445" s="78"/>
      <c r="E445" s="78"/>
      <c r="F445" s="78"/>
      <c r="G445" s="78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</row>
    <row r="446" spans="1:20" s="9" customFormat="1" ht="20.100000000000001" customHeight="1">
      <c r="A446" s="8"/>
      <c r="B446" s="36">
        <f>B441+B444</f>
        <v>115268</v>
      </c>
      <c r="C446" s="36">
        <f>C441+C444</f>
        <v>16107</v>
      </c>
      <c r="D446" s="36">
        <f>D441+D444</f>
        <v>80478</v>
      </c>
      <c r="E446" s="36">
        <f t="shared" ref="E446:R446" si="15">E441+E444</f>
        <v>1481</v>
      </c>
      <c r="F446" s="36">
        <f t="shared" si="15"/>
        <v>172</v>
      </c>
      <c r="G446" s="36">
        <f t="shared" si="15"/>
        <v>158</v>
      </c>
      <c r="H446" s="36">
        <f t="shared" si="15"/>
        <v>175</v>
      </c>
      <c r="I446" s="36">
        <f t="shared" si="15"/>
        <v>354</v>
      </c>
      <c r="J446" s="36">
        <f t="shared" si="15"/>
        <v>2796</v>
      </c>
      <c r="K446" s="36">
        <f t="shared" si="15"/>
        <v>254</v>
      </c>
      <c r="L446" s="36">
        <f t="shared" si="15"/>
        <v>383</v>
      </c>
      <c r="M446" s="36">
        <f t="shared" si="15"/>
        <v>557</v>
      </c>
      <c r="N446" s="36">
        <f t="shared" si="15"/>
        <v>692</v>
      </c>
      <c r="O446" s="36">
        <f t="shared" si="15"/>
        <v>583</v>
      </c>
      <c r="P446" s="36">
        <f t="shared" si="15"/>
        <v>1616</v>
      </c>
      <c r="Q446" s="36">
        <f>SUM(B446:P446)</f>
        <v>221074</v>
      </c>
      <c r="R446" s="36">
        <f t="shared" si="15"/>
        <v>186</v>
      </c>
      <c r="S446" s="36">
        <f>+Q446+R446</f>
        <v>221260</v>
      </c>
      <c r="T446" s="8"/>
    </row>
    <row r="447" spans="1:20" s="9" customFormat="1" ht="35.1" customHeight="1">
      <c r="A447" s="8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6"/>
      <c r="R447" s="8"/>
      <c r="S447" s="17"/>
      <c r="T447" s="8"/>
    </row>
    <row r="448" spans="1:20" s="9" customFormat="1" ht="15.75" customHeight="1">
      <c r="A448" s="78" t="s">
        <v>31</v>
      </c>
      <c r="B448" s="78"/>
      <c r="C448" s="78"/>
      <c r="D448" s="78"/>
      <c r="E448" s="78"/>
      <c r="F448" s="78"/>
      <c r="G448" s="78"/>
      <c r="H448" s="8"/>
      <c r="I448" s="8"/>
      <c r="J448" s="8"/>
      <c r="K448" s="8"/>
      <c r="L448" s="8"/>
      <c r="M448" s="8"/>
      <c r="N448" s="8"/>
      <c r="O448" s="79" t="s">
        <v>10</v>
      </c>
      <c r="P448" s="79"/>
      <c r="Q448" s="79"/>
      <c r="R448" s="79"/>
      <c r="S448" s="79"/>
      <c r="T448" s="79"/>
    </row>
    <row r="449" spans="1:20" s="9" customFormat="1" ht="15.75" customHeight="1">
      <c r="A449" s="78" t="s">
        <v>34</v>
      </c>
      <c r="B449" s="78"/>
      <c r="C449" s="78"/>
      <c r="D449" s="78"/>
      <c r="E449" s="78"/>
      <c r="F449" s="78"/>
      <c r="G449" s="78"/>
      <c r="H449" s="8"/>
      <c r="I449" s="8"/>
      <c r="J449" s="8"/>
      <c r="K449" s="8"/>
      <c r="L449" s="8"/>
      <c r="M449" s="8"/>
      <c r="N449" s="8"/>
      <c r="O449" s="79" t="s">
        <v>32</v>
      </c>
      <c r="P449" s="79"/>
      <c r="Q449" s="79"/>
      <c r="R449" s="79"/>
      <c r="S449" s="79"/>
      <c r="T449" s="79"/>
    </row>
    <row r="450" spans="1:20">
      <c r="A450" s="2"/>
      <c r="B450" s="2"/>
      <c r="C450" s="2"/>
      <c r="D450" s="2"/>
      <c r="E450" s="2"/>
      <c r="F450" s="2"/>
      <c r="G450" s="2"/>
    </row>
  </sheetData>
  <mergeCells count="17">
    <mergeCell ref="A443:T443"/>
    <mergeCell ref="A1:T1"/>
    <mergeCell ref="Q2:S2"/>
    <mergeCell ref="A3:T3"/>
    <mergeCell ref="B4:O5"/>
    <mergeCell ref="P4:P6"/>
    <mergeCell ref="Q4:Q6"/>
    <mergeCell ref="R4:R6"/>
    <mergeCell ref="S4:S6"/>
    <mergeCell ref="T4:T6"/>
    <mergeCell ref="A4:A7"/>
    <mergeCell ref="A2:P2"/>
    <mergeCell ref="A445:G445"/>
    <mergeCell ref="A448:G448"/>
    <mergeCell ref="O448:T448"/>
    <mergeCell ref="A449:G449"/>
    <mergeCell ref="O449:T449"/>
  </mergeCells>
  <pageMargins left="0.38" right="0.15748031496063" top="0.31496062992126" bottom="0.15748031496063" header="0.23622047244094499" footer="0.31496062992126"/>
  <pageSetup paperSize="9" scale="85" orientation="landscape" r:id="rId1"/>
  <headerFooter alignWithMargins="0"/>
  <rowBreaks count="30" manualBreakCount="30">
    <brk id="21" max="16383" man="1"/>
    <brk id="35" max="16383" man="1"/>
    <brk id="49" max="16383" man="1"/>
    <brk id="63" max="16383" man="1"/>
    <brk id="77" max="16383" man="1"/>
    <brk id="91" max="16383" man="1"/>
    <brk id="105" max="16383" man="1"/>
    <brk id="119" max="16383" man="1"/>
    <brk id="133" max="16383" man="1"/>
    <brk id="147" max="16383" man="1"/>
    <brk id="161" max="16383" man="1"/>
    <brk id="175" max="16383" man="1"/>
    <brk id="189" max="16383" man="1"/>
    <brk id="203" max="16383" man="1"/>
    <brk id="217" max="16383" man="1"/>
    <brk id="231" max="16383" man="1"/>
    <brk id="245" max="16383" man="1"/>
    <brk id="259" max="16383" man="1"/>
    <brk id="273" max="16383" man="1"/>
    <brk id="287" max="16383" man="1"/>
    <brk id="301" max="16383" man="1"/>
    <brk id="315" max="16383" man="1"/>
    <brk id="329" max="16383" man="1"/>
    <brk id="343" max="16383" man="1"/>
    <brk id="357" max="16383" man="1"/>
    <brk id="371" max="16383" man="1"/>
    <brk id="385" max="16383" man="1"/>
    <brk id="399" max="16383" man="1"/>
    <brk id="413" max="16383" man="1"/>
    <brk id="427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>
  <dimension ref="A1:IP444"/>
  <sheetViews>
    <sheetView tabSelected="1" view="pageBreakPreview" zoomScaleSheetLayoutView="100" workbookViewId="0">
      <selection sqref="A1:BA1"/>
    </sheetView>
  </sheetViews>
  <sheetFormatPr defaultColWidth="7.140625" defaultRowHeight="12"/>
  <cols>
    <col min="1" max="1" width="3.42578125" style="1" customWidth="1"/>
    <col min="2" max="2" width="5" style="1" customWidth="1"/>
    <col min="3" max="3" width="17" style="1" customWidth="1"/>
    <col min="4" max="4" width="5" style="1" customWidth="1"/>
    <col min="5" max="5" width="3.7109375" style="1" customWidth="1"/>
    <col min="6" max="6" width="4" style="1" customWidth="1"/>
    <col min="7" max="7" width="3.5703125" style="1" customWidth="1"/>
    <col min="8" max="8" width="5.140625" style="1" customWidth="1"/>
    <col min="9" max="9" width="5.85546875" style="1" customWidth="1"/>
    <col min="10" max="10" width="4" style="1" customWidth="1"/>
    <col min="11" max="11" width="3.140625" style="1" bestFit="1" customWidth="1"/>
    <col min="12" max="12" width="7.28515625" style="1" customWidth="1"/>
    <col min="13" max="13" width="5.28515625" style="32" bestFit="1" customWidth="1"/>
    <col min="14" max="14" width="3.140625" style="1" bestFit="1" customWidth="1"/>
    <col min="15" max="15" width="7" style="1" customWidth="1"/>
    <col min="16" max="16" width="4.28515625" style="1" customWidth="1"/>
    <col min="17" max="17" width="3.140625" style="1" bestFit="1" customWidth="1"/>
    <col min="18" max="18" width="5.28515625" style="1" customWidth="1"/>
    <col min="19" max="19" width="4.42578125" style="1" customWidth="1"/>
    <col min="20" max="20" width="3.140625" style="1" bestFit="1" customWidth="1"/>
    <col min="21" max="21" width="6.85546875" style="1" customWidth="1"/>
    <col min="22" max="22" width="4.28515625" style="1" customWidth="1"/>
    <col min="23" max="23" width="3.140625" style="1" bestFit="1" customWidth="1"/>
    <col min="24" max="24" width="5.42578125" style="1" bestFit="1" customWidth="1"/>
    <col min="25" max="25" width="5.28515625" style="1" bestFit="1" customWidth="1"/>
    <col min="26" max="26" width="3.140625" style="1" bestFit="1" customWidth="1"/>
    <col min="27" max="27" width="6.7109375" style="1" customWidth="1"/>
    <col min="28" max="28" width="4" style="1" customWidth="1"/>
    <col min="29" max="29" width="3.140625" style="1" bestFit="1" customWidth="1"/>
    <col min="30" max="30" width="5.42578125" style="1" bestFit="1" customWidth="1"/>
    <col min="31" max="31" width="5.28515625" style="1" bestFit="1" customWidth="1"/>
    <col min="32" max="32" width="3.140625" style="1" bestFit="1" customWidth="1"/>
    <col min="33" max="33" width="5.42578125" style="1" bestFit="1" customWidth="1"/>
    <col min="34" max="34" width="5" style="1" customWidth="1"/>
    <col min="35" max="35" width="3.140625" style="1" bestFit="1" customWidth="1"/>
    <col min="36" max="36" width="8.28515625" style="1" customWidth="1"/>
    <col min="37" max="37" width="4.85546875" style="1" customWidth="1"/>
    <col min="38" max="38" width="3.140625" style="1" bestFit="1" customWidth="1"/>
    <col min="39" max="39" width="5.42578125" style="1" customWidth="1"/>
    <col min="40" max="40" width="5.28515625" style="1" bestFit="1" customWidth="1"/>
    <col min="41" max="42" width="5.28515625" style="1" customWidth="1"/>
    <col min="43" max="43" width="4.140625" style="1" customWidth="1"/>
    <col min="44" max="46" width="5.28515625" style="1" customWidth="1"/>
    <col min="47" max="47" width="3.85546875" style="1" customWidth="1"/>
    <col min="48" max="48" width="5.28515625" style="1" customWidth="1"/>
    <col min="49" max="49" width="3.7109375" style="1" customWidth="1"/>
    <col min="50" max="50" width="3.42578125" style="1" customWidth="1"/>
    <col min="51" max="52" width="5.28515625" style="1" customWidth="1"/>
    <col min="53" max="53" width="8.5703125" style="1" customWidth="1"/>
    <col min="54" max="16384" width="7.140625" style="1"/>
  </cols>
  <sheetData>
    <row r="1" spans="1:250" s="22" customFormat="1" ht="21" customHeight="1">
      <c r="A1" s="94" t="str">
        <f>'[1]ECI Format'!$A$1:$BA$1</f>
        <v>No. And Name of Assembly Constituency : 333-KUSHINAGAR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  <c r="V1" s="94"/>
      <c r="W1" s="94"/>
      <c r="X1" s="94"/>
      <c r="Y1" s="94"/>
      <c r="Z1" s="94"/>
      <c r="AA1" s="94"/>
      <c r="AB1" s="94"/>
      <c r="AC1" s="94"/>
      <c r="AD1" s="94"/>
      <c r="AE1" s="94"/>
      <c r="AF1" s="94"/>
      <c r="AG1" s="94"/>
      <c r="AH1" s="94"/>
      <c r="AI1" s="94"/>
      <c r="AJ1" s="94"/>
      <c r="AK1" s="94"/>
      <c r="AL1" s="94"/>
      <c r="AM1" s="94"/>
      <c r="AN1" s="94"/>
      <c r="AO1" s="94"/>
      <c r="AP1" s="94"/>
      <c r="AQ1" s="94"/>
      <c r="AR1" s="94"/>
      <c r="AS1" s="94"/>
      <c r="AT1" s="94"/>
      <c r="AU1" s="94"/>
      <c r="AV1" s="94"/>
      <c r="AW1" s="94"/>
      <c r="AX1" s="94"/>
      <c r="AY1" s="94"/>
      <c r="AZ1" s="94"/>
      <c r="BA1" s="94"/>
      <c r="BB1" s="21"/>
      <c r="BC1" s="20"/>
      <c r="BD1" s="21"/>
      <c r="BE1" s="21"/>
    </row>
    <row r="2" spans="1:250" s="22" customFormat="1" ht="21" customHeight="1">
      <c r="A2" s="92" t="s">
        <v>49</v>
      </c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  <c r="AA2" s="92"/>
      <c r="AB2" s="92"/>
      <c r="AC2" s="92"/>
      <c r="AD2" s="92"/>
      <c r="AE2" s="92"/>
      <c r="AF2" s="92"/>
      <c r="AG2" s="92"/>
      <c r="AH2" s="92"/>
      <c r="AI2" s="92"/>
      <c r="AJ2" s="92"/>
      <c r="AK2" s="92"/>
      <c r="AL2" s="92"/>
      <c r="AM2" s="92"/>
      <c r="AN2" s="92"/>
      <c r="AO2" s="92"/>
      <c r="AP2" s="92"/>
      <c r="AQ2" s="92"/>
      <c r="AR2" s="92"/>
      <c r="AS2" s="92"/>
      <c r="AT2" s="92"/>
      <c r="AU2" s="92"/>
      <c r="AV2" s="92"/>
      <c r="AW2" s="92"/>
      <c r="AX2" s="92"/>
      <c r="AY2" s="92"/>
      <c r="AZ2" s="92"/>
      <c r="BA2" s="92"/>
      <c r="BB2" s="21"/>
      <c r="BC2" s="20"/>
      <c r="BD2" s="21"/>
      <c r="BE2" s="21"/>
    </row>
    <row r="3" spans="1:250" s="22" customFormat="1" ht="30.75" customHeight="1">
      <c r="A3" s="93" t="s">
        <v>26</v>
      </c>
      <c r="B3" s="93"/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3"/>
      <c r="AC3" s="93"/>
      <c r="AD3" s="93"/>
      <c r="AE3" s="93"/>
      <c r="AF3" s="93"/>
      <c r="AG3" s="93"/>
      <c r="AH3" s="93"/>
      <c r="AI3" s="93"/>
      <c r="AJ3" s="93"/>
      <c r="AK3" s="93"/>
      <c r="AL3" s="93"/>
      <c r="AM3" s="93"/>
      <c r="AN3" s="93"/>
      <c r="AO3" s="93"/>
      <c r="AP3" s="93"/>
      <c r="AQ3" s="93"/>
      <c r="AR3" s="93"/>
      <c r="AS3" s="93"/>
      <c r="AT3" s="93"/>
      <c r="AU3" s="93"/>
      <c r="AV3" s="93"/>
      <c r="AW3" s="93"/>
      <c r="AX3" s="93"/>
      <c r="AY3" s="93"/>
      <c r="AZ3" s="93"/>
      <c r="BA3" s="93"/>
      <c r="BB3" s="21"/>
      <c r="BC3" s="20"/>
      <c r="BD3" s="21"/>
      <c r="BE3" s="21"/>
    </row>
    <row r="4" spans="1:250" ht="60" customHeight="1">
      <c r="A4" s="100" t="s">
        <v>11</v>
      </c>
      <c r="B4" s="102" t="s">
        <v>25</v>
      </c>
      <c r="C4" s="102"/>
      <c r="D4" s="103" t="s">
        <v>12</v>
      </c>
      <c r="E4" s="103" t="s">
        <v>13</v>
      </c>
      <c r="F4" s="103"/>
      <c r="G4" s="103"/>
      <c r="H4" s="103"/>
      <c r="I4" s="98" t="s">
        <v>14</v>
      </c>
      <c r="J4" s="98" t="s">
        <v>15</v>
      </c>
      <c r="K4" s="95" t="s">
        <v>72</v>
      </c>
      <c r="L4" s="96"/>
      <c r="M4" s="97"/>
      <c r="N4" s="95" t="s">
        <v>48</v>
      </c>
      <c r="O4" s="96"/>
      <c r="P4" s="97"/>
      <c r="Q4" s="95" t="s">
        <v>35</v>
      </c>
      <c r="R4" s="96"/>
      <c r="S4" s="97"/>
      <c r="T4" s="95" t="s">
        <v>36</v>
      </c>
      <c r="U4" s="96"/>
      <c r="V4" s="97"/>
      <c r="W4" s="95" t="s">
        <v>37</v>
      </c>
      <c r="X4" s="96"/>
      <c r="Y4" s="97"/>
      <c r="Z4" s="95" t="s">
        <v>38</v>
      </c>
      <c r="AA4" s="96"/>
      <c r="AB4" s="97"/>
      <c r="AC4" s="95" t="s">
        <v>39</v>
      </c>
      <c r="AD4" s="96"/>
      <c r="AE4" s="97"/>
      <c r="AF4" s="95" t="s">
        <v>40</v>
      </c>
      <c r="AG4" s="96"/>
      <c r="AH4" s="97"/>
      <c r="AI4" s="95" t="s">
        <v>41</v>
      </c>
      <c r="AJ4" s="96"/>
      <c r="AK4" s="97"/>
      <c r="AL4" s="95" t="s">
        <v>42</v>
      </c>
      <c r="AM4" s="96"/>
      <c r="AN4" s="97"/>
      <c r="AO4" s="95" t="s">
        <v>43</v>
      </c>
      <c r="AP4" s="96"/>
      <c r="AQ4" s="97"/>
      <c r="AR4" s="95" t="s">
        <v>44</v>
      </c>
      <c r="AS4" s="96"/>
      <c r="AT4" s="97"/>
      <c r="AU4" s="95" t="s">
        <v>45</v>
      </c>
      <c r="AV4" s="96"/>
      <c r="AW4" s="97"/>
      <c r="AX4" s="95" t="s">
        <v>46</v>
      </c>
      <c r="AY4" s="96"/>
      <c r="AZ4" s="97"/>
      <c r="BA4" s="105" t="s">
        <v>71</v>
      </c>
    </row>
    <row r="5" spans="1:250" ht="69.95" customHeight="1">
      <c r="A5" s="101"/>
      <c r="B5" s="23" t="s">
        <v>16</v>
      </c>
      <c r="C5" s="23" t="s">
        <v>17</v>
      </c>
      <c r="D5" s="104"/>
      <c r="E5" s="72" t="s">
        <v>18</v>
      </c>
      <c r="F5" s="72" t="s">
        <v>19</v>
      </c>
      <c r="G5" s="72" t="s">
        <v>20</v>
      </c>
      <c r="H5" s="72" t="s">
        <v>3</v>
      </c>
      <c r="I5" s="99"/>
      <c r="J5" s="99"/>
      <c r="K5" s="26" t="s">
        <v>21</v>
      </c>
      <c r="L5" s="26" t="s">
        <v>22</v>
      </c>
      <c r="M5" s="26" t="s">
        <v>23</v>
      </c>
      <c r="N5" s="26" t="s">
        <v>21</v>
      </c>
      <c r="O5" s="26" t="s">
        <v>22</v>
      </c>
      <c r="P5" s="26" t="s">
        <v>23</v>
      </c>
      <c r="Q5" s="26" t="s">
        <v>21</v>
      </c>
      <c r="R5" s="26" t="s">
        <v>22</v>
      </c>
      <c r="S5" s="26" t="s">
        <v>23</v>
      </c>
      <c r="T5" s="26" t="s">
        <v>21</v>
      </c>
      <c r="U5" s="26" t="s">
        <v>22</v>
      </c>
      <c r="V5" s="26" t="s">
        <v>23</v>
      </c>
      <c r="W5" s="26" t="s">
        <v>21</v>
      </c>
      <c r="X5" s="26" t="s">
        <v>22</v>
      </c>
      <c r="Y5" s="26" t="s">
        <v>23</v>
      </c>
      <c r="Z5" s="26" t="s">
        <v>21</v>
      </c>
      <c r="AA5" s="26" t="s">
        <v>22</v>
      </c>
      <c r="AB5" s="26" t="s">
        <v>23</v>
      </c>
      <c r="AC5" s="26" t="s">
        <v>21</v>
      </c>
      <c r="AD5" s="26" t="s">
        <v>22</v>
      </c>
      <c r="AE5" s="26" t="s">
        <v>23</v>
      </c>
      <c r="AF5" s="26" t="s">
        <v>21</v>
      </c>
      <c r="AG5" s="26" t="s">
        <v>22</v>
      </c>
      <c r="AH5" s="26" t="s">
        <v>23</v>
      </c>
      <c r="AI5" s="26" t="s">
        <v>21</v>
      </c>
      <c r="AJ5" s="26" t="s">
        <v>22</v>
      </c>
      <c r="AK5" s="26" t="s">
        <v>23</v>
      </c>
      <c r="AL5" s="26" t="s">
        <v>21</v>
      </c>
      <c r="AM5" s="26" t="s">
        <v>22</v>
      </c>
      <c r="AN5" s="26" t="s">
        <v>23</v>
      </c>
      <c r="AO5" s="26" t="s">
        <v>21</v>
      </c>
      <c r="AP5" s="26" t="s">
        <v>22</v>
      </c>
      <c r="AQ5" s="26" t="s">
        <v>23</v>
      </c>
      <c r="AR5" s="26" t="s">
        <v>21</v>
      </c>
      <c r="AS5" s="26" t="s">
        <v>22</v>
      </c>
      <c r="AT5" s="26" t="s">
        <v>23</v>
      </c>
      <c r="AU5" s="26" t="s">
        <v>21</v>
      </c>
      <c r="AV5" s="26" t="s">
        <v>22</v>
      </c>
      <c r="AW5" s="26" t="s">
        <v>23</v>
      </c>
      <c r="AX5" s="26" t="s">
        <v>21</v>
      </c>
      <c r="AY5" s="26" t="s">
        <v>22</v>
      </c>
      <c r="AZ5" s="26" t="s">
        <v>23</v>
      </c>
      <c r="BA5" s="105"/>
    </row>
    <row r="6" spans="1:250" s="19" customFormat="1" ht="14.25" customHeight="1">
      <c r="A6" s="24">
        <v>1</v>
      </c>
      <c r="B6" s="18">
        <v>2</v>
      </c>
      <c r="C6" s="25">
        <v>3</v>
      </c>
      <c r="D6" s="18">
        <v>4</v>
      </c>
      <c r="E6" s="25">
        <v>5</v>
      </c>
      <c r="F6" s="18">
        <v>6</v>
      </c>
      <c r="G6" s="25">
        <v>7</v>
      </c>
      <c r="H6" s="18">
        <v>8</v>
      </c>
      <c r="I6" s="25">
        <v>9</v>
      </c>
      <c r="J6" s="18">
        <v>10</v>
      </c>
      <c r="K6" s="25">
        <v>11</v>
      </c>
      <c r="L6" s="18">
        <v>12</v>
      </c>
      <c r="M6" s="25">
        <v>13</v>
      </c>
      <c r="N6" s="18">
        <v>14</v>
      </c>
      <c r="O6" s="25">
        <v>15</v>
      </c>
      <c r="P6" s="18">
        <v>16</v>
      </c>
      <c r="Q6" s="25">
        <v>17</v>
      </c>
      <c r="R6" s="18">
        <v>18</v>
      </c>
      <c r="S6" s="25">
        <v>19</v>
      </c>
      <c r="T6" s="18">
        <v>20</v>
      </c>
      <c r="U6" s="25">
        <v>21</v>
      </c>
      <c r="V6" s="18">
        <v>22</v>
      </c>
      <c r="W6" s="25">
        <v>23</v>
      </c>
      <c r="X6" s="18">
        <v>24</v>
      </c>
      <c r="Y6" s="25">
        <v>25</v>
      </c>
      <c r="Z6" s="18">
        <v>26</v>
      </c>
      <c r="AA6" s="25">
        <v>27</v>
      </c>
      <c r="AB6" s="18">
        <v>28</v>
      </c>
      <c r="AC6" s="25">
        <v>29</v>
      </c>
      <c r="AD6" s="18">
        <v>30</v>
      </c>
      <c r="AE6" s="25">
        <v>31</v>
      </c>
      <c r="AF6" s="18">
        <v>32</v>
      </c>
      <c r="AG6" s="25">
        <v>33</v>
      </c>
      <c r="AH6" s="18">
        <v>34</v>
      </c>
      <c r="AI6" s="25">
        <v>35</v>
      </c>
      <c r="AJ6" s="18">
        <v>36</v>
      </c>
      <c r="AK6" s="25">
        <v>37</v>
      </c>
      <c r="AL6" s="18">
        <v>38</v>
      </c>
      <c r="AM6" s="25">
        <v>39</v>
      </c>
      <c r="AN6" s="18">
        <v>40</v>
      </c>
      <c r="AO6" s="18">
        <v>41</v>
      </c>
      <c r="AP6" s="25">
        <v>42</v>
      </c>
      <c r="AQ6" s="18">
        <v>43</v>
      </c>
      <c r="AR6" s="18">
        <v>44</v>
      </c>
      <c r="AS6" s="25">
        <v>45</v>
      </c>
      <c r="AT6" s="18">
        <v>46</v>
      </c>
      <c r="AU6" s="18">
        <v>47</v>
      </c>
      <c r="AV6" s="25">
        <v>48</v>
      </c>
      <c r="AW6" s="18">
        <v>49</v>
      </c>
      <c r="AX6" s="18">
        <v>50</v>
      </c>
      <c r="AY6" s="25">
        <v>51</v>
      </c>
      <c r="AZ6" s="18">
        <v>52</v>
      </c>
      <c r="BA6" s="73">
        <v>53</v>
      </c>
      <c r="BB6" s="74"/>
      <c r="BC6" s="74"/>
      <c r="BD6" s="74"/>
      <c r="BE6" s="74"/>
      <c r="BF6" s="74"/>
      <c r="BG6" s="74"/>
      <c r="BH6" s="74"/>
      <c r="BI6" s="74"/>
      <c r="BJ6" s="74"/>
      <c r="BK6" s="74"/>
      <c r="BL6" s="74"/>
      <c r="BM6" s="74"/>
      <c r="BN6" s="74"/>
      <c r="BO6" s="74"/>
      <c r="BP6" s="74"/>
      <c r="BQ6" s="74"/>
      <c r="BR6" s="74"/>
      <c r="BS6" s="74"/>
      <c r="BT6" s="74"/>
      <c r="BU6" s="74"/>
      <c r="BV6" s="74"/>
      <c r="BW6" s="74"/>
      <c r="BX6" s="74"/>
      <c r="BY6" s="74"/>
      <c r="BZ6" s="74"/>
      <c r="CA6" s="74"/>
      <c r="CB6" s="74"/>
      <c r="CC6" s="74"/>
      <c r="CD6" s="74"/>
      <c r="CE6" s="74"/>
      <c r="CF6" s="74"/>
      <c r="CG6" s="74"/>
      <c r="CH6" s="74"/>
      <c r="CI6" s="74"/>
      <c r="CJ6" s="74"/>
      <c r="CK6" s="74"/>
      <c r="CL6" s="74"/>
      <c r="CM6" s="74"/>
      <c r="CN6" s="74"/>
      <c r="CO6" s="74"/>
      <c r="CP6" s="74"/>
      <c r="CQ6" s="74"/>
      <c r="CR6" s="74"/>
      <c r="CS6" s="74"/>
      <c r="CT6" s="74"/>
      <c r="CU6" s="74"/>
      <c r="CV6" s="74"/>
      <c r="CW6" s="74"/>
      <c r="CX6" s="74"/>
      <c r="CY6" s="74"/>
      <c r="CZ6" s="74"/>
      <c r="DA6" s="74"/>
      <c r="DB6" s="74"/>
      <c r="DC6" s="74"/>
      <c r="DD6" s="74"/>
      <c r="DE6" s="74"/>
      <c r="DF6" s="74"/>
      <c r="DG6" s="74"/>
      <c r="DH6" s="74"/>
      <c r="DI6" s="74"/>
      <c r="DJ6" s="74"/>
      <c r="DK6" s="74"/>
      <c r="DL6" s="74"/>
      <c r="DM6" s="74"/>
      <c r="DN6" s="74"/>
      <c r="DO6" s="74"/>
      <c r="DP6" s="74"/>
      <c r="DQ6" s="74"/>
      <c r="DR6" s="74"/>
      <c r="DS6" s="74"/>
      <c r="DT6" s="74"/>
      <c r="DU6" s="74"/>
      <c r="DV6" s="74"/>
      <c r="DW6" s="74"/>
      <c r="DX6" s="74"/>
      <c r="DY6" s="74"/>
      <c r="DZ6" s="74"/>
      <c r="EA6" s="74"/>
      <c r="EB6" s="74"/>
      <c r="EC6" s="74"/>
      <c r="ED6" s="74"/>
      <c r="EE6" s="74"/>
      <c r="EF6" s="74"/>
      <c r="EG6" s="74"/>
      <c r="EH6" s="74"/>
      <c r="EI6" s="74"/>
      <c r="EJ6" s="74"/>
      <c r="EK6" s="74"/>
      <c r="EL6" s="74"/>
      <c r="EM6" s="74"/>
      <c r="EN6" s="74"/>
      <c r="EO6" s="74"/>
      <c r="EP6" s="74"/>
      <c r="EQ6" s="74"/>
      <c r="ER6" s="74"/>
      <c r="ES6" s="74"/>
      <c r="ET6" s="74"/>
      <c r="EU6" s="74"/>
      <c r="EV6" s="74"/>
      <c r="EW6" s="74"/>
      <c r="EX6" s="74"/>
      <c r="EY6" s="74"/>
      <c r="EZ6" s="74"/>
      <c r="FA6" s="74"/>
      <c r="FB6" s="74"/>
      <c r="FC6" s="74"/>
      <c r="FD6" s="74"/>
      <c r="FE6" s="74"/>
      <c r="FF6" s="74"/>
      <c r="FG6" s="74"/>
      <c r="FH6" s="74"/>
      <c r="FI6" s="74"/>
      <c r="FJ6" s="74"/>
      <c r="FK6" s="74"/>
      <c r="FL6" s="74"/>
      <c r="FM6" s="74"/>
      <c r="FN6" s="74"/>
      <c r="FO6" s="74"/>
      <c r="FP6" s="74"/>
      <c r="FQ6" s="74"/>
      <c r="FR6" s="74"/>
      <c r="FS6" s="74"/>
      <c r="FT6" s="74"/>
      <c r="FU6" s="74"/>
      <c r="FV6" s="74"/>
      <c r="FW6" s="74"/>
      <c r="FX6" s="74"/>
      <c r="FY6" s="74"/>
      <c r="FZ6" s="74"/>
      <c r="GA6" s="74"/>
      <c r="GB6" s="74"/>
      <c r="GC6" s="74"/>
      <c r="GD6" s="74"/>
      <c r="GE6" s="74"/>
      <c r="GF6" s="74"/>
      <c r="GG6" s="74"/>
      <c r="GH6" s="74"/>
      <c r="GI6" s="74"/>
      <c r="GJ6" s="74"/>
      <c r="GK6" s="74"/>
      <c r="GL6" s="74"/>
      <c r="GM6" s="74"/>
      <c r="GN6" s="74"/>
      <c r="GO6" s="74"/>
      <c r="GP6" s="74"/>
      <c r="GQ6" s="74"/>
      <c r="GR6" s="74"/>
      <c r="GS6" s="74"/>
      <c r="GT6" s="74"/>
      <c r="GU6" s="74"/>
      <c r="GV6" s="74"/>
      <c r="GW6" s="74"/>
      <c r="GX6" s="74"/>
      <c r="GY6" s="74"/>
      <c r="GZ6" s="74"/>
      <c r="HA6" s="74"/>
      <c r="HB6" s="74"/>
      <c r="HC6" s="74"/>
      <c r="HD6" s="74"/>
      <c r="HE6" s="74"/>
      <c r="HF6" s="74"/>
      <c r="HG6" s="74"/>
      <c r="HH6" s="74"/>
      <c r="HI6" s="74"/>
      <c r="HJ6" s="74"/>
      <c r="HK6" s="74"/>
      <c r="HL6" s="74"/>
      <c r="HM6" s="74"/>
      <c r="HN6" s="74"/>
      <c r="HO6" s="74"/>
      <c r="HP6" s="74"/>
      <c r="HQ6" s="74"/>
      <c r="HR6" s="74"/>
      <c r="HS6" s="74"/>
      <c r="HT6" s="74"/>
      <c r="HU6" s="74"/>
      <c r="HV6" s="74"/>
      <c r="HW6" s="74"/>
      <c r="HX6" s="74"/>
      <c r="HY6" s="74"/>
      <c r="HZ6" s="74"/>
      <c r="IA6" s="74"/>
      <c r="IB6" s="74"/>
      <c r="IC6" s="74"/>
      <c r="ID6" s="74"/>
      <c r="IE6" s="74"/>
      <c r="IF6" s="74"/>
      <c r="IG6" s="74"/>
      <c r="IH6" s="74"/>
      <c r="II6" s="74"/>
      <c r="IJ6" s="74"/>
      <c r="IK6" s="74"/>
      <c r="IL6" s="74"/>
      <c r="IM6" s="74"/>
      <c r="IN6" s="74"/>
      <c r="IO6" s="74"/>
      <c r="IP6" s="74"/>
    </row>
    <row r="7" spans="1:250" s="67" customFormat="1" ht="59.25" customHeight="1">
      <c r="A7" s="18">
        <v>333</v>
      </c>
      <c r="B7" s="59">
        <v>1</v>
      </c>
      <c r="C7" s="76" t="s">
        <v>81</v>
      </c>
      <c r="D7" s="61">
        <v>1113</v>
      </c>
      <c r="E7" s="61">
        <v>332</v>
      </c>
      <c r="F7" s="61">
        <v>417</v>
      </c>
      <c r="G7" s="55">
        <v>0</v>
      </c>
      <c r="H7" s="62">
        <f>E7+F7+G7</f>
        <v>749</v>
      </c>
      <c r="I7" s="55">
        <v>349</v>
      </c>
      <c r="J7" s="29">
        <v>0</v>
      </c>
      <c r="K7" s="18">
        <v>1</v>
      </c>
      <c r="L7" s="63" t="s">
        <v>29</v>
      </c>
      <c r="M7" s="12">
        <f>+'Form20 '!B8</f>
        <v>410</v>
      </c>
      <c r="N7" s="18">
        <v>2</v>
      </c>
      <c r="O7" s="58" t="s">
        <v>24</v>
      </c>
      <c r="P7" s="12">
        <f>+'Form20 '!C8</f>
        <v>41</v>
      </c>
      <c r="Q7" s="18">
        <v>3</v>
      </c>
      <c r="R7" s="63" t="s">
        <v>28</v>
      </c>
      <c r="S7" s="12">
        <f>+'Form20 '!D8</f>
        <v>241</v>
      </c>
      <c r="T7" s="18">
        <v>4</v>
      </c>
      <c r="U7" s="64" t="s">
        <v>65</v>
      </c>
      <c r="V7" s="12">
        <f>+'Form20 '!E8</f>
        <v>6</v>
      </c>
      <c r="W7" s="18">
        <v>5</v>
      </c>
      <c r="X7" s="58" t="s">
        <v>66</v>
      </c>
      <c r="Y7" s="12">
        <f>+'Form20 '!F8</f>
        <v>1</v>
      </c>
      <c r="Z7" s="18">
        <v>6</v>
      </c>
      <c r="AA7" s="64" t="s">
        <v>67</v>
      </c>
      <c r="AB7" s="12">
        <f>+'Form20 '!G8</f>
        <v>1</v>
      </c>
      <c r="AC7" s="18">
        <v>7</v>
      </c>
      <c r="AD7" s="63" t="s">
        <v>68</v>
      </c>
      <c r="AE7" s="12">
        <f>+'Form20 '!H8</f>
        <v>2</v>
      </c>
      <c r="AF7" s="18">
        <v>8</v>
      </c>
      <c r="AG7" s="63" t="s">
        <v>69</v>
      </c>
      <c r="AH7" s="12">
        <f>+'Form20 '!I8</f>
        <v>2</v>
      </c>
      <c r="AI7" s="18">
        <v>9</v>
      </c>
      <c r="AJ7" s="65" t="s">
        <v>70</v>
      </c>
      <c r="AK7" s="12">
        <f>+'Form20 '!J8</f>
        <v>3</v>
      </c>
      <c r="AL7" s="18">
        <v>10</v>
      </c>
      <c r="AM7" s="66" t="s">
        <v>30</v>
      </c>
      <c r="AN7" s="12">
        <f>+'Form20 '!K8</f>
        <v>1</v>
      </c>
      <c r="AO7" s="18">
        <v>11</v>
      </c>
      <c r="AP7" s="66" t="s">
        <v>30</v>
      </c>
      <c r="AQ7" s="12">
        <f>+'Form20 '!L8</f>
        <v>4</v>
      </c>
      <c r="AR7" s="18">
        <v>12</v>
      </c>
      <c r="AS7" s="66" t="s">
        <v>30</v>
      </c>
      <c r="AT7" s="12">
        <f>+'Form20 '!M8</f>
        <v>4</v>
      </c>
      <c r="AU7" s="18">
        <v>13</v>
      </c>
      <c r="AV7" s="66" t="s">
        <v>30</v>
      </c>
      <c r="AW7" s="12">
        <f>+'Form20 '!N8</f>
        <v>3</v>
      </c>
      <c r="AX7" s="18">
        <v>14</v>
      </c>
      <c r="AY7" s="66" t="s">
        <v>30</v>
      </c>
      <c r="AZ7" s="12">
        <f>+'Form20 '!O8</f>
        <v>6</v>
      </c>
      <c r="BA7" s="75">
        <f>AZ7+AW7+AT7+AQ7+AN7+AK7+AH7+AE7+AB7+Y7+V7+S7+P7+M7</f>
        <v>725</v>
      </c>
    </row>
    <row r="8" spans="1:250" s="67" customFormat="1" ht="59.25" customHeight="1">
      <c r="A8" s="18">
        <v>333</v>
      </c>
      <c r="B8" s="59">
        <v>2</v>
      </c>
      <c r="C8" s="76" t="s">
        <v>82</v>
      </c>
      <c r="D8" s="61">
        <v>1116</v>
      </c>
      <c r="E8" s="61">
        <v>336</v>
      </c>
      <c r="F8" s="61">
        <v>387</v>
      </c>
      <c r="G8" s="55">
        <v>0</v>
      </c>
      <c r="H8" s="62">
        <f t="shared" ref="H8:H71" si="0">E8+F8+G8</f>
        <v>723</v>
      </c>
      <c r="I8" s="55">
        <v>28</v>
      </c>
      <c r="J8" s="29">
        <v>0</v>
      </c>
      <c r="K8" s="18">
        <v>1</v>
      </c>
      <c r="L8" s="63" t="s">
        <v>29</v>
      </c>
      <c r="M8" s="12">
        <f>+'Form20 '!B9</f>
        <v>386</v>
      </c>
      <c r="N8" s="18">
        <v>2</v>
      </c>
      <c r="O8" s="58" t="s">
        <v>24</v>
      </c>
      <c r="P8" s="12">
        <f>+'Form20 '!C9</f>
        <v>31</v>
      </c>
      <c r="Q8" s="18">
        <v>3</v>
      </c>
      <c r="R8" s="63" t="s">
        <v>28</v>
      </c>
      <c r="S8" s="12">
        <f>+'Form20 '!D9</f>
        <v>285</v>
      </c>
      <c r="T8" s="18">
        <v>4</v>
      </c>
      <c r="U8" s="64" t="s">
        <v>65</v>
      </c>
      <c r="V8" s="12">
        <f>+'Form20 '!E9</f>
        <v>5</v>
      </c>
      <c r="W8" s="18">
        <v>5</v>
      </c>
      <c r="X8" s="58" t="s">
        <v>66</v>
      </c>
      <c r="Y8" s="12">
        <f>+'Form20 '!F9</f>
        <v>1</v>
      </c>
      <c r="Z8" s="18">
        <v>6</v>
      </c>
      <c r="AA8" s="64" t="s">
        <v>67</v>
      </c>
      <c r="AB8" s="12">
        <f>+'Form20 '!G9</f>
        <v>0</v>
      </c>
      <c r="AC8" s="18">
        <v>7</v>
      </c>
      <c r="AD8" s="63" t="s">
        <v>68</v>
      </c>
      <c r="AE8" s="12">
        <f>+'Form20 '!H9</f>
        <v>1</v>
      </c>
      <c r="AF8" s="18">
        <v>8</v>
      </c>
      <c r="AG8" s="63" t="s">
        <v>69</v>
      </c>
      <c r="AH8" s="12">
        <f>+'Form20 '!I9</f>
        <v>0</v>
      </c>
      <c r="AI8" s="18">
        <v>9</v>
      </c>
      <c r="AJ8" s="65" t="s">
        <v>70</v>
      </c>
      <c r="AK8" s="12">
        <f>+'Form20 '!J9</f>
        <v>1</v>
      </c>
      <c r="AL8" s="18">
        <v>10</v>
      </c>
      <c r="AM8" s="66" t="s">
        <v>30</v>
      </c>
      <c r="AN8" s="12">
        <f>+'Form20 '!K9</f>
        <v>2</v>
      </c>
      <c r="AO8" s="18">
        <v>11</v>
      </c>
      <c r="AP8" s="66" t="s">
        <v>30</v>
      </c>
      <c r="AQ8" s="12">
        <f>+'Form20 '!L9</f>
        <v>0</v>
      </c>
      <c r="AR8" s="18">
        <v>12</v>
      </c>
      <c r="AS8" s="66" t="s">
        <v>30</v>
      </c>
      <c r="AT8" s="12">
        <f>+'Form20 '!M9</f>
        <v>1</v>
      </c>
      <c r="AU8" s="18">
        <v>13</v>
      </c>
      <c r="AV8" s="66" t="s">
        <v>30</v>
      </c>
      <c r="AW8" s="12">
        <f>+'Form20 '!N9</f>
        <v>1</v>
      </c>
      <c r="AX8" s="18">
        <v>14</v>
      </c>
      <c r="AY8" s="66" t="s">
        <v>30</v>
      </c>
      <c r="AZ8" s="12">
        <f>+'Form20 '!O9</f>
        <v>2</v>
      </c>
      <c r="BA8" s="75">
        <f t="shared" ref="BA8:BA71" si="1">AZ8+AW8+AT8+AQ8+AN8+AK8+AH8+AE8+AB8+Y8+V8+S8+P8+M8</f>
        <v>716</v>
      </c>
    </row>
    <row r="9" spans="1:250" s="67" customFormat="1" ht="59.25" customHeight="1">
      <c r="A9" s="18">
        <v>333</v>
      </c>
      <c r="B9" s="59">
        <v>3</v>
      </c>
      <c r="C9" s="76" t="s">
        <v>83</v>
      </c>
      <c r="D9" s="61">
        <v>1064</v>
      </c>
      <c r="E9" s="61">
        <v>242</v>
      </c>
      <c r="F9" s="61">
        <v>406</v>
      </c>
      <c r="G9" s="55">
        <v>0</v>
      </c>
      <c r="H9" s="62">
        <f t="shared" si="0"/>
        <v>648</v>
      </c>
      <c r="I9" s="55">
        <v>46</v>
      </c>
      <c r="J9" s="29">
        <v>0</v>
      </c>
      <c r="K9" s="18">
        <v>1</v>
      </c>
      <c r="L9" s="63" t="s">
        <v>29</v>
      </c>
      <c r="M9" s="12">
        <f>+'Form20 '!B10</f>
        <v>340</v>
      </c>
      <c r="N9" s="18">
        <v>2</v>
      </c>
      <c r="O9" s="58" t="s">
        <v>24</v>
      </c>
      <c r="P9" s="12">
        <f>+'Form20 '!C10</f>
        <v>7</v>
      </c>
      <c r="Q9" s="18">
        <v>3</v>
      </c>
      <c r="R9" s="63" t="s">
        <v>28</v>
      </c>
      <c r="S9" s="12">
        <f>+'Form20 '!D10</f>
        <v>269</v>
      </c>
      <c r="T9" s="18">
        <v>4</v>
      </c>
      <c r="U9" s="64" t="s">
        <v>65</v>
      </c>
      <c r="V9" s="12">
        <f>+'Form20 '!E10</f>
        <v>7</v>
      </c>
      <c r="W9" s="18">
        <v>5</v>
      </c>
      <c r="X9" s="58" t="s">
        <v>66</v>
      </c>
      <c r="Y9" s="12">
        <f>+'Form20 '!F10</f>
        <v>0</v>
      </c>
      <c r="Z9" s="18">
        <v>6</v>
      </c>
      <c r="AA9" s="64" t="s">
        <v>67</v>
      </c>
      <c r="AB9" s="12">
        <f>+'Form20 '!G10</f>
        <v>2</v>
      </c>
      <c r="AC9" s="18">
        <v>7</v>
      </c>
      <c r="AD9" s="63" t="s">
        <v>68</v>
      </c>
      <c r="AE9" s="12">
        <f>+'Form20 '!H10</f>
        <v>0</v>
      </c>
      <c r="AF9" s="18">
        <v>8</v>
      </c>
      <c r="AG9" s="63" t="s">
        <v>69</v>
      </c>
      <c r="AH9" s="12">
        <f>+'Form20 '!I10</f>
        <v>7</v>
      </c>
      <c r="AI9" s="18">
        <v>9</v>
      </c>
      <c r="AJ9" s="65" t="s">
        <v>70</v>
      </c>
      <c r="AK9" s="12">
        <f>+'Form20 '!J10</f>
        <v>10</v>
      </c>
      <c r="AL9" s="18">
        <v>10</v>
      </c>
      <c r="AM9" s="66" t="s">
        <v>30</v>
      </c>
      <c r="AN9" s="12">
        <f>+'Form20 '!K10</f>
        <v>0</v>
      </c>
      <c r="AO9" s="18">
        <v>11</v>
      </c>
      <c r="AP9" s="66" t="s">
        <v>30</v>
      </c>
      <c r="AQ9" s="12">
        <f>+'Form20 '!L10</f>
        <v>0</v>
      </c>
      <c r="AR9" s="18">
        <v>12</v>
      </c>
      <c r="AS9" s="66" t="s">
        <v>30</v>
      </c>
      <c r="AT9" s="12">
        <f>+'Form20 '!M10</f>
        <v>0</v>
      </c>
      <c r="AU9" s="18">
        <v>13</v>
      </c>
      <c r="AV9" s="66" t="s">
        <v>30</v>
      </c>
      <c r="AW9" s="12">
        <f>+'Form20 '!N10</f>
        <v>2</v>
      </c>
      <c r="AX9" s="18">
        <v>14</v>
      </c>
      <c r="AY9" s="66" t="s">
        <v>30</v>
      </c>
      <c r="AZ9" s="12">
        <f>+'Form20 '!O10</f>
        <v>2</v>
      </c>
      <c r="BA9" s="75">
        <f t="shared" si="1"/>
        <v>646</v>
      </c>
    </row>
    <row r="10" spans="1:250" s="67" customFormat="1" ht="59.25" customHeight="1">
      <c r="A10" s="18">
        <v>333</v>
      </c>
      <c r="B10" s="59">
        <v>4</v>
      </c>
      <c r="C10" s="76" t="s">
        <v>84</v>
      </c>
      <c r="D10" s="61">
        <v>950</v>
      </c>
      <c r="E10" s="61">
        <v>300</v>
      </c>
      <c r="F10" s="61">
        <v>338</v>
      </c>
      <c r="G10" s="55">
        <v>0</v>
      </c>
      <c r="H10" s="62">
        <f t="shared" si="0"/>
        <v>638</v>
      </c>
      <c r="I10" s="55">
        <v>36</v>
      </c>
      <c r="J10" s="29">
        <v>0</v>
      </c>
      <c r="K10" s="18">
        <v>1</v>
      </c>
      <c r="L10" s="63" t="s">
        <v>29</v>
      </c>
      <c r="M10" s="12">
        <f>+'Form20 '!B11</f>
        <v>320</v>
      </c>
      <c r="N10" s="18">
        <v>2</v>
      </c>
      <c r="O10" s="58" t="s">
        <v>24</v>
      </c>
      <c r="P10" s="12">
        <f>+'Form20 '!C11</f>
        <v>5</v>
      </c>
      <c r="Q10" s="18">
        <v>3</v>
      </c>
      <c r="R10" s="63" t="s">
        <v>28</v>
      </c>
      <c r="S10" s="12">
        <f>+'Form20 '!D11</f>
        <v>294</v>
      </c>
      <c r="T10" s="18">
        <v>4</v>
      </c>
      <c r="U10" s="64" t="s">
        <v>65</v>
      </c>
      <c r="V10" s="12">
        <f>+'Form20 '!E11</f>
        <v>1</v>
      </c>
      <c r="W10" s="18">
        <v>5</v>
      </c>
      <c r="X10" s="58" t="s">
        <v>66</v>
      </c>
      <c r="Y10" s="12">
        <f>+'Form20 '!F11</f>
        <v>0</v>
      </c>
      <c r="Z10" s="18">
        <v>6</v>
      </c>
      <c r="AA10" s="64" t="s">
        <v>67</v>
      </c>
      <c r="AB10" s="12">
        <f>+'Form20 '!G11</f>
        <v>1</v>
      </c>
      <c r="AC10" s="18">
        <v>7</v>
      </c>
      <c r="AD10" s="63" t="s">
        <v>68</v>
      </c>
      <c r="AE10" s="12">
        <f>+'Form20 '!H11</f>
        <v>1</v>
      </c>
      <c r="AF10" s="18">
        <v>8</v>
      </c>
      <c r="AG10" s="63" t="s">
        <v>69</v>
      </c>
      <c r="AH10" s="12">
        <f>+'Form20 '!I11</f>
        <v>1</v>
      </c>
      <c r="AI10" s="18">
        <v>9</v>
      </c>
      <c r="AJ10" s="65" t="s">
        <v>70</v>
      </c>
      <c r="AK10" s="12">
        <f>+'Form20 '!J11</f>
        <v>3</v>
      </c>
      <c r="AL10" s="18">
        <v>10</v>
      </c>
      <c r="AM10" s="66" t="s">
        <v>30</v>
      </c>
      <c r="AN10" s="12">
        <f>+'Form20 '!K11</f>
        <v>1</v>
      </c>
      <c r="AO10" s="18">
        <v>11</v>
      </c>
      <c r="AP10" s="66" t="s">
        <v>30</v>
      </c>
      <c r="AQ10" s="12">
        <f>+'Form20 '!L11</f>
        <v>0</v>
      </c>
      <c r="AR10" s="18">
        <v>12</v>
      </c>
      <c r="AS10" s="66" t="s">
        <v>30</v>
      </c>
      <c r="AT10" s="12">
        <f>+'Form20 '!M11</f>
        <v>2</v>
      </c>
      <c r="AU10" s="18">
        <v>13</v>
      </c>
      <c r="AV10" s="66" t="s">
        <v>30</v>
      </c>
      <c r="AW10" s="12">
        <f>+'Form20 '!N11</f>
        <v>0</v>
      </c>
      <c r="AX10" s="18">
        <v>14</v>
      </c>
      <c r="AY10" s="66" t="s">
        <v>30</v>
      </c>
      <c r="AZ10" s="12">
        <f>+'Form20 '!O11</f>
        <v>1</v>
      </c>
      <c r="BA10" s="75">
        <f t="shared" si="1"/>
        <v>630</v>
      </c>
    </row>
    <row r="11" spans="1:250" s="67" customFormat="1" ht="59.25" customHeight="1">
      <c r="A11" s="18">
        <v>333</v>
      </c>
      <c r="B11" s="59">
        <v>5</v>
      </c>
      <c r="C11" s="76" t="s">
        <v>85</v>
      </c>
      <c r="D11" s="61">
        <v>1139</v>
      </c>
      <c r="E11" s="61">
        <v>293</v>
      </c>
      <c r="F11" s="61">
        <v>347</v>
      </c>
      <c r="G11" s="55">
        <v>0</v>
      </c>
      <c r="H11" s="62">
        <f t="shared" si="0"/>
        <v>640</v>
      </c>
      <c r="I11" s="55">
        <v>48</v>
      </c>
      <c r="J11" s="29">
        <v>0</v>
      </c>
      <c r="K11" s="18">
        <v>1</v>
      </c>
      <c r="L11" s="63" t="s">
        <v>29</v>
      </c>
      <c r="M11" s="12">
        <f>+'Form20 '!B12</f>
        <v>355</v>
      </c>
      <c r="N11" s="18">
        <v>2</v>
      </c>
      <c r="O11" s="58" t="s">
        <v>24</v>
      </c>
      <c r="P11" s="12">
        <f>+'Form20 '!C12</f>
        <v>22</v>
      </c>
      <c r="Q11" s="18">
        <v>3</v>
      </c>
      <c r="R11" s="63" t="s">
        <v>28</v>
      </c>
      <c r="S11" s="12">
        <f>+'Form20 '!D12</f>
        <v>223</v>
      </c>
      <c r="T11" s="18">
        <v>4</v>
      </c>
      <c r="U11" s="64" t="s">
        <v>65</v>
      </c>
      <c r="V11" s="12">
        <f>+'Form20 '!E12</f>
        <v>14</v>
      </c>
      <c r="W11" s="18">
        <v>5</v>
      </c>
      <c r="X11" s="58" t="s">
        <v>66</v>
      </c>
      <c r="Y11" s="12">
        <f>+'Form20 '!F12</f>
        <v>2</v>
      </c>
      <c r="Z11" s="18">
        <v>6</v>
      </c>
      <c r="AA11" s="64" t="s">
        <v>67</v>
      </c>
      <c r="AB11" s="12">
        <f>+'Form20 '!G12</f>
        <v>1</v>
      </c>
      <c r="AC11" s="18">
        <v>7</v>
      </c>
      <c r="AD11" s="63" t="s">
        <v>68</v>
      </c>
      <c r="AE11" s="12">
        <f>+'Form20 '!H12</f>
        <v>0</v>
      </c>
      <c r="AF11" s="18">
        <v>8</v>
      </c>
      <c r="AG11" s="63" t="s">
        <v>69</v>
      </c>
      <c r="AH11" s="12">
        <f>+'Form20 '!I12</f>
        <v>0</v>
      </c>
      <c r="AI11" s="18">
        <v>9</v>
      </c>
      <c r="AJ11" s="65" t="s">
        <v>70</v>
      </c>
      <c r="AK11" s="12">
        <f>+'Form20 '!J12</f>
        <v>2</v>
      </c>
      <c r="AL11" s="18">
        <v>10</v>
      </c>
      <c r="AM11" s="66" t="s">
        <v>30</v>
      </c>
      <c r="AN11" s="12">
        <f>+'Form20 '!K12</f>
        <v>2</v>
      </c>
      <c r="AO11" s="18">
        <v>11</v>
      </c>
      <c r="AP11" s="66" t="s">
        <v>30</v>
      </c>
      <c r="AQ11" s="12">
        <f>+'Form20 '!L12</f>
        <v>2</v>
      </c>
      <c r="AR11" s="18">
        <v>12</v>
      </c>
      <c r="AS11" s="66" t="s">
        <v>30</v>
      </c>
      <c r="AT11" s="12">
        <f>+'Form20 '!M12</f>
        <v>2</v>
      </c>
      <c r="AU11" s="18">
        <v>13</v>
      </c>
      <c r="AV11" s="66" t="s">
        <v>30</v>
      </c>
      <c r="AW11" s="12">
        <f>+'Form20 '!N12</f>
        <v>2</v>
      </c>
      <c r="AX11" s="18">
        <v>14</v>
      </c>
      <c r="AY11" s="66" t="s">
        <v>30</v>
      </c>
      <c r="AZ11" s="12">
        <f>+'Form20 '!O12</f>
        <v>3</v>
      </c>
      <c r="BA11" s="75">
        <f t="shared" si="1"/>
        <v>630</v>
      </c>
    </row>
    <row r="12" spans="1:250" s="67" customFormat="1" ht="59.25" customHeight="1">
      <c r="A12" s="18">
        <v>333</v>
      </c>
      <c r="B12" s="59">
        <v>6</v>
      </c>
      <c r="C12" s="76" t="s">
        <v>86</v>
      </c>
      <c r="D12" s="61">
        <v>1074</v>
      </c>
      <c r="E12" s="61">
        <v>289</v>
      </c>
      <c r="F12" s="61">
        <v>316</v>
      </c>
      <c r="G12" s="55">
        <v>0</v>
      </c>
      <c r="H12" s="62">
        <f t="shared" si="0"/>
        <v>605</v>
      </c>
      <c r="I12" s="55">
        <v>26</v>
      </c>
      <c r="J12" s="29">
        <v>0</v>
      </c>
      <c r="K12" s="18">
        <v>1</v>
      </c>
      <c r="L12" s="63" t="s">
        <v>29</v>
      </c>
      <c r="M12" s="12">
        <f>+'Form20 '!B13</f>
        <v>196</v>
      </c>
      <c r="N12" s="18">
        <v>2</v>
      </c>
      <c r="O12" s="58" t="s">
        <v>24</v>
      </c>
      <c r="P12" s="12">
        <f>+'Form20 '!C13</f>
        <v>136</v>
      </c>
      <c r="Q12" s="18">
        <v>3</v>
      </c>
      <c r="R12" s="63" t="s">
        <v>28</v>
      </c>
      <c r="S12" s="12">
        <f>+'Form20 '!D13</f>
        <v>249</v>
      </c>
      <c r="T12" s="18">
        <v>4</v>
      </c>
      <c r="U12" s="64" t="s">
        <v>65</v>
      </c>
      <c r="V12" s="12">
        <f>+'Form20 '!E13</f>
        <v>1</v>
      </c>
      <c r="W12" s="18">
        <v>5</v>
      </c>
      <c r="X12" s="58" t="s">
        <v>66</v>
      </c>
      <c r="Y12" s="12">
        <f>+'Form20 '!F13</f>
        <v>0</v>
      </c>
      <c r="Z12" s="18">
        <v>6</v>
      </c>
      <c r="AA12" s="64" t="s">
        <v>67</v>
      </c>
      <c r="AB12" s="12">
        <f>+'Form20 '!G13</f>
        <v>0</v>
      </c>
      <c r="AC12" s="18">
        <v>7</v>
      </c>
      <c r="AD12" s="63" t="s">
        <v>68</v>
      </c>
      <c r="AE12" s="12">
        <f>+'Form20 '!H13</f>
        <v>1</v>
      </c>
      <c r="AF12" s="18">
        <v>8</v>
      </c>
      <c r="AG12" s="63" t="s">
        <v>69</v>
      </c>
      <c r="AH12" s="12">
        <f>+'Form20 '!I13</f>
        <v>3</v>
      </c>
      <c r="AI12" s="18">
        <v>9</v>
      </c>
      <c r="AJ12" s="65" t="s">
        <v>70</v>
      </c>
      <c r="AK12" s="12">
        <f>+'Form20 '!J13</f>
        <v>1</v>
      </c>
      <c r="AL12" s="18">
        <v>10</v>
      </c>
      <c r="AM12" s="66" t="s">
        <v>30</v>
      </c>
      <c r="AN12" s="12">
        <f>+'Form20 '!K13</f>
        <v>1</v>
      </c>
      <c r="AO12" s="18">
        <v>11</v>
      </c>
      <c r="AP12" s="66" t="s">
        <v>30</v>
      </c>
      <c r="AQ12" s="12">
        <f>+'Form20 '!L13</f>
        <v>5</v>
      </c>
      <c r="AR12" s="18">
        <v>12</v>
      </c>
      <c r="AS12" s="66" t="s">
        <v>30</v>
      </c>
      <c r="AT12" s="12">
        <f>+'Form20 '!M13</f>
        <v>1</v>
      </c>
      <c r="AU12" s="18">
        <v>13</v>
      </c>
      <c r="AV12" s="66" t="s">
        <v>30</v>
      </c>
      <c r="AW12" s="12">
        <f>+'Form20 '!N13</f>
        <v>2</v>
      </c>
      <c r="AX12" s="18">
        <v>14</v>
      </c>
      <c r="AY12" s="66" t="s">
        <v>30</v>
      </c>
      <c r="AZ12" s="12">
        <f>+'Form20 '!O13</f>
        <v>2</v>
      </c>
      <c r="BA12" s="75">
        <f t="shared" si="1"/>
        <v>598</v>
      </c>
    </row>
    <row r="13" spans="1:250" s="67" customFormat="1" ht="59.25" customHeight="1">
      <c r="A13" s="18">
        <v>333</v>
      </c>
      <c r="B13" s="59">
        <v>7</v>
      </c>
      <c r="C13" s="76" t="s">
        <v>87</v>
      </c>
      <c r="D13" s="61">
        <v>1167</v>
      </c>
      <c r="E13" s="61">
        <v>339</v>
      </c>
      <c r="F13" s="61">
        <v>340</v>
      </c>
      <c r="G13" s="55">
        <v>0</v>
      </c>
      <c r="H13" s="62">
        <f t="shared" si="0"/>
        <v>679</v>
      </c>
      <c r="I13" s="55">
        <v>18</v>
      </c>
      <c r="J13" s="29">
        <v>0</v>
      </c>
      <c r="K13" s="18">
        <v>1</v>
      </c>
      <c r="L13" s="63" t="s">
        <v>29</v>
      </c>
      <c r="M13" s="12">
        <f>+'Form20 '!B14</f>
        <v>436</v>
      </c>
      <c r="N13" s="18">
        <v>2</v>
      </c>
      <c r="O13" s="58" t="s">
        <v>24</v>
      </c>
      <c r="P13" s="12">
        <f>+'Form20 '!C14</f>
        <v>50</v>
      </c>
      <c r="Q13" s="18">
        <v>3</v>
      </c>
      <c r="R13" s="63" t="s">
        <v>28</v>
      </c>
      <c r="S13" s="12">
        <f>+'Form20 '!D14</f>
        <v>169</v>
      </c>
      <c r="T13" s="18">
        <v>4</v>
      </c>
      <c r="U13" s="64" t="s">
        <v>65</v>
      </c>
      <c r="V13" s="12">
        <f>+'Form20 '!E14</f>
        <v>7</v>
      </c>
      <c r="W13" s="18">
        <v>5</v>
      </c>
      <c r="X13" s="58" t="s">
        <v>66</v>
      </c>
      <c r="Y13" s="12">
        <f>+'Form20 '!F14</f>
        <v>0</v>
      </c>
      <c r="Z13" s="18">
        <v>6</v>
      </c>
      <c r="AA13" s="64" t="s">
        <v>67</v>
      </c>
      <c r="AB13" s="12">
        <f>+'Form20 '!G14</f>
        <v>2</v>
      </c>
      <c r="AC13" s="18">
        <v>7</v>
      </c>
      <c r="AD13" s="63" t="s">
        <v>68</v>
      </c>
      <c r="AE13" s="12">
        <f>+'Form20 '!H14</f>
        <v>3</v>
      </c>
      <c r="AF13" s="18">
        <v>8</v>
      </c>
      <c r="AG13" s="63" t="s">
        <v>69</v>
      </c>
      <c r="AH13" s="12">
        <f>+'Form20 '!I14</f>
        <v>0</v>
      </c>
      <c r="AI13" s="18">
        <v>9</v>
      </c>
      <c r="AJ13" s="65" t="s">
        <v>70</v>
      </c>
      <c r="AK13" s="12">
        <f>+'Form20 '!J14</f>
        <v>0</v>
      </c>
      <c r="AL13" s="18">
        <v>10</v>
      </c>
      <c r="AM13" s="66" t="s">
        <v>30</v>
      </c>
      <c r="AN13" s="12">
        <f>+'Form20 '!K14</f>
        <v>0</v>
      </c>
      <c r="AO13" s="18">
        <v>11</v>
      </c>
      <c r="AP13" s="66" t="s">
        <v>30</v>
      </c>
      <c r="AQ13" s="12">
        <f>+'Form20 '!L14</f>
        <v>2</v>
      </c>
      <c r="AR13" s="18">
        <v>12</v>
      </c>
      <c r="AS13" s="66" t="s">
        <v>30</v>
      </c>
      <c r="AT13" s="12">
        <f>+'Form20 '!M14</f>
        <v>4</v>
      </c>
      <c r="AU13" s="18">
        <v>13</v>
      </c>
      <c r="AV13" s="66" t="s">
        <v>30</v>
      </c>
      <c r="AW13" s="12">
        <f>+'Form20 '!N14</f>
        <v>1</v>
      </c>
      <c r="AX13" s="18">
        <v>14</v>
      </c>
      <c r="AY13" s="66" t="s">
        <v>30</v>
      </c>
      <c r="AZ13" s="12">
        <f>+'Form20 '!O14</f>
        <v>2</v>
      </c>
      <c r="BA13" s="75">
        <f t="shared" si="1"/>
        <v>676</v>
      </c>
    </row>
    <row r="14" spans="1:250" s="67" customFormat="1" ht="59.25" customHeight="1">
      <c r="A14" s="18">
        <v>333</v>
      </c>
      <c r="B14" s="59">
        <v>8</v>
      </c>
      <c r="C14" s="76" t="s">
        <v>88</v>
      </c>
      <c r="D14" s="61">
        <v>963</v>
      </c>
      <c r="E14" s="61">
        <v>315</v>
      </c>
      <c r="F14" s="61">
        <v>253</v>
      </c>
      <c r="G14" s="55">
        <v>0</v>
      </c>
      <c r="H14" s="62">
        <f t="shared" si="0"/>
        <v>568</v>
      </c>
      <c r="I14" s="55">
        <v>370</v>
      </c>
      <c r="J14" s="29">
        <v>0</v>
      </c>
      <c r="K14" s="18">
        <v>1</v>
      </c>
      <c r="L14" s="63" t="s">
        <v>29</v>
      </c>
      <c r="M14" s="12">
        <f>+'Form20 '!B15</f>
        <v>369</v>
      </c>
      <c r="N14" s="18">
        <v>2</v>
      </c>
      <c r="O14" s="58" t="s">
        <v>24</v>
      </c>
      <c r="P14" s="12">
        <f>+'Form20 '!C15</f>
        <v>20</v>
      </c>
      <c r="Q14" s="18">
        <v>3</v>
      </c>
      <c r="R14" s="63" t="s">
        <v>28</v>
      </c>
      <c r="S14" s="12">
        <f>+'Form20 '!D15</f>
        <v>156</v>
      </c>
      <c r="T14" s="18">
        <v>4</v>
      </c>
      <c r="U14" s="64" t="s">
        <v>65</v>
      </c>
      <c r="V14" s="12">
        <f>+'Form20 '!E15</f>
        <v>3</v>
      </c>
      <c r="W14" s="18">
        <v>5</v>
      </c>
      <c r="X14" s="58" t="s">
        <v>66</v>
      </c>
      <c r="Y14" s="12">
        <f>+'Form20 '!F15</f>
        <v>1</v>
      </c>
      <c r="Z14" s="18">
        <v>6</v>
      </c>
      <c r="AA14" s="64" t="s">
        <v>67</v>
      </c>
      <c r="AB14" s="12">
        <f>+'Form20 '!G15</f>
        <v>1</v>
      </c>
      <c r="AC14" s="18">
        <v>7</v>
      </c>
      <c r="AD14" s="63" t="s">
        <v>68</v>
      </c>
      <c r="AE14" s="12">
        <f>+'Form20 '!H15</f>
        <v>1</v>
      </c>
      <c r="AF14" s="18">
        <v>8</v>
      </c>
      <c r="AG14" s="63" t="s">
        <v>69</v>
      </c>
      <c r="AH14" s="12">
        <f>+'Form20 '!I15</f>
        <v>1</v>
      </c>
      <c r="AI14" s="18">
        <v>9</v>
      </c>
      <c r="AJ14" s="65" t="s">
        <v>70</v>
      </c>
      <c r="AK14" s="12">
        <f>+'Form20 '!J15</f>
        <v>5</v>
      </c>
      <c r="AL14" s="18">
        <v>10</v>
      </c>
      <c r="AM14" s="66" t="s">
        <v>30</v>
      </c>
      <c r="AN14" s="12">
        <f>+'Form20 '!K15</f>
        <v>1</v>
      </c>
      <c r="AO14" s="18">
        <v>11</v>
      </c>
      <c r="AP14" s="66" t="s">
        <v>30</v>
      </c>
      <c r="AQ14" s="12">
        <f>+'Form20 '!L15</f>
        <v>1</v>
      </c>
      <c r="AR14" s="18">
        <v>12</v>
      </c>
      <c r="AS14" s="66" t="s">
        <v>30</v>
      </c>
      <c r="AT14" s="12">
        <f>+'Form20 '!M15</f>
        <v>1</v>
      </c>
      <c r="AU14" s="18">
        <v>13</v>
      </c>
      <c r="AV14" s="66" t="s">
        <v>30</v>
      </c>
      <c r="AW14" s="12">
        <f>+'Form20 '!N15</f>
        <v>2</v>
      </c>
      <c r="AX14" s="18">
        <v>14</v>
      </c>
      <c r="AY14" s="66" t="s">
        <v>30</v>
      </c>
      <c r="AZ14" s="12">
        <f>+'Form20 '!O15</f>
        <v>1</v>
      </c>
      <c r="BA14" s="75">
        <f t="shared" si="1"/>
        <v>563</v>
      </c>
    </row>
    <row r="15" spans="1:250" s="67" customFormat="1" ht="59.25" customHeight="1">
      <c r="A15" s="18">
        <v>333</v>
      </c>
      <c r="B15" s="59">
        <v>9</v>
      </c>
      <c r="C15" s="76" t="s">
        <v>89</v>
      </c>
      <c r="D15" s="61">
        <v>652</v>
      </c>
      <c r="E15" s="61">
        <v>176</v>
      </c>
      <c r="F15" s="61">
        <v>213</v>
      </c>
      <c r="G15" s="55">
        <v>0</v>
      </c>
      <c r="H15" s="62">
        <f t="shared" si="0"/>
        <v>389</v>
      </c>
      <c r="I15" s="55">
        <v>46</v>
      </c>
      <c r="J15" s="29">
        <v>0</v>
      </c>
      <c r="K15" s="18">
        <v>1</v>
      </c>
      <c r="L15" s="63" t="s">
        <v>29</v>
      </c>
      <c r="M15" s="12">
        <f>+'Form20 '!B16</f>
        <v>211</v>
      </c>
      <c r="N15" s="18">
        <v>2</v>
      </c>
      <c r="O15" s="58" t="s">
        <v>24</v>
      </c>
      <c r="P15" s="12">
        <f>+'Form20 '!C16</f>
        <v>8</v>
      </c>
      <c r="Q15" s="18">
        <v>3</v>
      </c>
      <c r="R15" s="63" t="s">
        <v>28</v>
      </c>
      <c r="S15" s="12">
        <f>+'Form20 '!D16</f>
        <v>163</v>
      </c>
      <c r="T15" s="18">
        <v>4</v>
      </c>
      <c r="U15" s="64" t="s">
        <v>65</v>
      </c>
      <c r="V15" s="12">
        <f>+'Form20 '!E16</f>
        <v>0</v>
      </c>
      <c r="W15" s="18">
        <v>5</v>
      </c>
      <c r="X15" s="58" t="s">
        <v>66</v>
      </c>
      <c r="Y15" s="12">
        <f>+'Form20 '!F16</f>
        <v>0</v>
      </c>
      <c r="Z15" s="18">
        <v>6</v>
      </c>
      <c r="AA15" s="64" t="s">
        <v>67</v>
      </c>
      <c r="AB15" s="12">
        <f>+'Form20 '!G16</f>
        <v>0</v>
      </c>
      <c r="AC15" s="18">
        <v>7</v>
      </c>
      <c r="AD15" s="63" t="s">
        <v>68</v>
      </c>
      <c r="AE15" s="12">
        <f>+'Form20 '!H16</f>
        <v>0</v>
      </c>
      <c r="AF15" s="18">
        <v>8</v>
      </c>
      <c r="AG15" s="63" t="s">
        <v>69</v>
      </c>
      <c r="AH15" s="12">
        <f>+'Form20 '!I16</f>
        <v>0</v>
      </c>
      <c r="AI15" s="18">
        <v>9</v>
      </c>
      <c r="AJ15" s="65" t="s">
        <v>70</v>
      </c>
      <c r="AK15" s="12">
        <f>+'Form20 '!J16</f>
        <v>0</v>
      </c>
      <c r="AL15" s="18">
        <v>10</v>
      </c>
      <c r="AM15" s="66" t="s">
        <v>30</v>
      </c>
      <c r="AN15" s="12">
        <f>+'Form20 '!K16</f>
        <v>1</v>
      </c>
      <c r="AO15" s="18">
        <v>11</v>
      </c>
      <c r="AP15" s="66" t="s">
        <v>30</v>
      </c>
      <c r="AQ15" s="12">
        <f>+'Form20 '!L16</f>
        <v>0</v>
      </c>
      <c r="AR15" s="18">
        <v>12</v>
      </c>
      <c r="AS15" s="66" t="s">
        <v>30</v>
      </c>
      <c r="AT15" s="12">
        <f>+'Form20 '!M16</f>
        <v>1</v>
      </c>
      <c r="AU15" s="18">
        <v>13</v>
      </c>
      <c r="AV15" s="66" t="s">
        <v>30</v>
      </c>
      <c r="AW15" s="12">
        <f>+'Form20 '!N16</f>
        <v>3</v>
      </c>
      <c r="AX15" s="18">
        <v>14</v>
      </c>
      <c r="AY15" s="66" t="s">
        <v>30</v>
      </c>
      <c r="AZ15" s="12">
        <f>+'Form20 '!O16</f>
        <v>0</v>
      </c>
      <c r="BA15" s="75">
        <f t="shared" si="1"/>
        <v>387</v>
      </c>
    </row>
    <row r="16" spans="1:250" s="67" customFormat="1" ht="59.25" customHeight="1">
      <c r="A16" s="18">
        <v>333</v>
      </c>
      <c r="B16" s="59">
        <v>10</v>
      </c>
      <c r="C16" s="76" t="s">
        <v>90</v>
      </c>
      <c r="D16" s="61">
        <v>591</v>
      </c>
      <c r="E16" s="61">
        <v>165</v>
      </c>
      <c r="F16" s="61">
        <v>189</v>
      </c>
      <c r="G16" s="55">
        <v>0</v>
      </c>
      <c r="H16" s="62">
        <f t="shared" si="0"/>
        <v>354</v>
      </c>
      <c r="I16" s="55">
        <v>37</v>
      </c>
      <c r="J16" s="29">
        <v>0</v>
      </c>
      <c r="K16" s="18">
        <v>1</v>
      </c>
      <c r="L16" s="63" t="s">
        <v>29</v>
      </c>
      <c r="M16" s="12">
        <f>+'Form20 '!B17</f>
        <v>188</v>
      </c>
      <c r="N16" s="18">
        <v>2</v>
      </c>
      <c r="O16" s="58" t="s">
        <v>24</v>
      </c>
      <c r="P16" s="12">
        <f>+'Form20 '!C17</f>
        <v>49</v>
      </c>
      <c r="Q16" s="18">
        <v>3</v>
      </c>
      <c r="R16" s="63" t="s">
        <v>28</v>
      </c>
      <c r="S16" s="12">
        <f>+'Form20 '!D17</f>
        <v>110</v>
      </c>
      <c r="T16" s="18">
        <v>4</v>
      </c>
      <c r="U16" s="64" t="s">
        <v>65</v>
      </c>
      <c r="V16" s="12">
        <f>+'Form20 '!E17</f>
        <v>0</v>
      </c>
      <c r="W16" s="18">
        <v>5</v>
      </c>
      <c r="X16" s="58" t="s">
        <v>66</v>
      </c>
      <c r="Y16" s="12">
        <f>+'Form20 '!F17</f>
        <v>1</v>
      </c>
      <c r="Z16" s="18">
        <v>6</v>
      </c>
      <c r="AA16" s="64" t="s">
        <v>67</v>
      </c>
      <c r="AB16" s="12">
        <f>+'Form20 '!G17</f>
        <v>0</v>
      </c>
      <c r="AC16" s="18">
        <v>7</v>
      </c>
      <c r="AD16" s="63" t="s">
        <v>68</v>
      </c>
      <c r="AE16" s="12">
        <f>+'Form20 '!H17</f>
        <v>0</v>
      </c>
      <c r="AF16" s="18">
        <v>8</v>
      </c>
      <c r="AG16" s="63" t="s">
        <v>69</v>
      </c>
      <c r="AH16" s="12">
        <f>+'Form20 '!I17</f>
        <v>0</v>
      </c>
      <c r="AI16" s="18">
        <v>9</v>
      </c>
      <c r="AJ16" s="65" t="s">
        <v>70</v>
      </c>
      <c r="AK16" s="12">
        <f>+'Form20 '!J17</f>
        <v>0</v>
      </c>
      <c r="AL16" s="18">
        <v>10</v>
      </c>
      <c r="AM16" s="66" t="s">
        <v>30</v>
      </c>
      <c r="AN16" s="12">
        <f>+'Form20 '!K17</f>
        <v>0</v>
      </c>
      <c r="AO16" s="18">
        <v>11</v>
      </c>
      <c r="AP16" s="66" t="s">
        <v>30</v>
      </c>
      <c r="AQ16" s="12">
        <f>+'Form20 '!L17</f>
        <v>0</v>
      </c>
      <c r="AR16" s="18">
        <v>12</v>
      </c>
      <c r="AS16" s="66" t="s">
        <v>30</v>
      </c>
      <c r="AT16" s="12">
        <f>+'Form20 '!M17</f>
        <v>0</v>
      </c>
      <c r="AU16" s="18">
        <v>13</v>
      </c>
      <c r="AV16" s="66" t="s">
        <v>30</v>
      </c>
      <c r="AW16" s="12">
        <f>+'Form20 '!N17</f>
        <v>1</v>
      </c>
      <c r="AX16" s="18">
        <v>14</v>
      </c>
      <c r="AY16" s="66" t="s">
        <v>30</v>
      </c>
      <c r="AZ16" s="12">
        <f>+'Form20 '!O17</f>
        <v>1</v>
      </c>
      <c r="BA16" s="75">
        <f t="shared" si="1"/>
        <v>350</v>
      </c>
    </row>
    <row r="17" spans="1:53" s="67" customFormat="1" ht="59.25" customHeight="1">
      <c r="A17" s="18">
        <v>333</v>
      </c>
      <c r="B17" s="59">
        <v>11</v>
      </c>
      <c r="C17" s="76" t="s">
        <v>91</v>
      </c>
      <c r="D17" s="61">
        <v>1109</v>
      </c>
      <c r="E17" s="61">
        <v>370</v>
      </c>
      <c r="F17" s="61">
        <v>322</v>
      </c>
      <c r="G17" s="55">
        <v>0</v>
      </c>
      <c r="H17" s="62">
        <f t="shared" si="0"/>
        <v>692</v>
      </c>
      <c r="I17" s="55">
        <v>23</v>
      </c>
      <c r="J17" s="29">
        <v>0</v>
      </c>
      <c r="K17" s="18">
        <v>1</v>
      </c>
      <c r="L17" s="63" t="s">
        <v>29</v>
      </c>
      <c r="M17" s="12">
        <f>+'Form20 '!B18</f>
        <v>352</v>
      </c>
      <c r="N17" s="18">
        <v>2</v>
      </c>
      <c r="O17" s="58" t="s">
        <v>24</v>
      </c>
      <c r="P17" s="12">
        <f>+'Form20 '!C18</f>
        <v>79</v>
      </c>
      <c r="Q17" s="18">
        <v>3</v>
      </c>
      <c r="R17" s="63" t="s">
        <v>28</v>
      </c>
      <c r="S17" s="12">
        <f>+'Form20 '!D18</f>
        <v>249</v>
      </c>
      <c r="T17" s="18">
        <v>4</v>
      </c>
      <c r="U17" s="64" t="s">
        <v>65</v>
      </c>
      <c r="V17" s="12">
        <f>+'Form20 '!E18</f>
        <v>3</v>
      </c>
      <c r="W17" s="18">
        <v>5</v>
      </c>
      <c r="X17" s="58" t="s">
        <v>66</v>
      </c>
      <c r="Y17" s="12">
        <f>+'Form20 '!F18</f>
        <v>0</v>
      </c>
      <c r="Z17" s="18">
        <v>6</v>
      </c>
      <c r="AA17" s="64" t="s">
        <v>67</v>
      </c>
      <c r="AB17" s="12">
        <f>+'Form20 '!G18</f>
        <v>2</v>
      </c>
      <c r="AC17" s="18">
        <v>7</v>
      </c>
      <c r="AD17" s="63" t="s">
        <v>68</v>
      </c>
      <c r="AE17" s="12">
        <f>+'Form20 '!H18</f>
        <v>2</v>
      </c>
      <c r="AF17" s="18">
        <v>8</v>
      </c>
      <c r="AG17" s="63" t="s">
        <v>69</v>
      </c>
      <c r="AH17" s="12">
        <f>+'Form20 '!I18</f>
        <v>1</v>
      </c>
      <c r="AI17" s="18">
        <v>9</v>
      </c>
      <c r="AJ17" s="65" t="s">
        <v>70</v>
      </c>
      <c r="AK17" s="12">
        <f>+'Form20 '!J18</f>
        <v>1</v>
      </c>
      <c r="AL17" s="18">
        <v>10</v>
      </c>
      <c r="AM17" s="66" t="s">
        <v>30</v>
      </c>
      <c r="AN17" s="12">
        <f>+'Form20 '!K18</f>
        <v>0</v>
      </c>
      <c r="AO17" s="18">
        <v>11</v>
      </c>
      <c r="AP17" s="66" t="s">
        <v>30</v>
      </c>
      <c r="AQ17" s="12">
        <f>+'Form20 '!L18</f>
        <v>0</v>
      </c>
      <c r="AR17" s="18">
        <v>12</v>
      </c>
      <c r="AS17" s="66" t="s">
        <v>30</v>
      </c>
      <c r="AT17" s="12">
        <f>+'Form20 '!M18</f>
        <v>0</v>
      </c>
      <c r="AU17" s="18">
        <v>13</v>
      </c>
      <c r="AV17" s="66" t="s">
        <v>30</v>
      </c>
      <c r="AW17" s="12">
        <f>+'Form20 '!N18</f>
        <v>0</v>
      </c>
      <c r="AX17" s="18">
        <v>14</v>
      </c>
      <c r="AY17" s="66" t="s">
        <v>30</v>
      </c>
      <c r="AZ17" s="12">
        <f>+'Form20 '!O18</f>
        <v>0</v>
      </c>
      <c r="BA17" s="75">
        <f t="shared" si="1"/>
        <v>689</v>
      </c>
    </row>
    <row r="18" spans="1:53" s="67" customFormat="1" ht="59.25" customHeight="1">
      <c r="A18" s="18">
        <v>333</v>
      </c>
      <c r="B18" s="59">
        <v>12</v>
      </c>
      <c r="C18" s="76" t="s">
        <v>92</v>
      </c>
      <c r="D18" s="61">
        <v>749</v>
      </c>
      <c r="E18" s="61">
        <v>198</v>
      </c>
      <c r="F18" s="61">
        <v>297</v>
      </c>
      <c r="G18" s="55">
        <v>0</v>
      </c>
      <c r="H18" s="62">
        <f t="shared" si="0"/>
        <v>495</v>
      </c>
      <c r="I18" s="55">
        <v>18</v>
      </c>
      <c r="J18" s="29">
        <v>0</v>
      </c>
      <c r="K18" s="18">
        <v>1</v>
      </c>
      <c r="L18" s="63" t="s">
        <v>29</v>
      </c>
      <c r="M18" s="12">
        <f>+'Form20 '!B19</f>
        <v>248</v>
      </c>
      <c r="N18" s="18">
        <v>2</v>
      </c>
      <c r="O18" s="58" t="s">
        <v>24</v>
      </c>
      <c r="P18" s="12">
        <f>+'Form20 '!C19</f>
        <v>60</v>
      </c>
      <c r="Q18" s="18">
        <v>3</v>
      </c>
      <c r="R18" s="63" t="s">
        <v>28</v>
      </c>
      <c r="S18" s="12">
        <f>+'Form20 '!D19</f>
        <v>164</v>
      </c>
      <c r="T18" s="18">
        <v>4</v>
      </c>
      <c r="U18" s="64" t="s">
        <v>65</v>
      </c>
      <c r="V18" s="12">
        <f>+'Form20 '!E19</f>
        <v>4</v>
      </c>
      <c r="W18" s="18">
        <v>5</v>
      </c>
      <c r="X18" s="58" t="s">
        <v>66</v>
      </c>
      <c r="Y18" s="12">
        <f>+'Form20 '!F19</f>
        <v>1</v>
      </c>
      <c r="Z18" s="18">
        <v>6</v>
      </c>
      <c r="AA18" s="64" t="s">
        <v>67</v>
      </c>
      <c r="AB18" s="12">
        <f>+'Form20 '!G19</f>
        <v>1</v>
      </c>
      <c r="AC18" s="18">
        <v>7</v>
      </c>
      <c r="AD18" s="63" t="s">
        <v>68</v>
      </c>
      <c r="AE18" s="12">
        <f>+'Form20 '!H19</f>
        <v>0</v>
      </c>
      <c r="AF18" s="18">
        <v>8</v>
      </c>
      <c r="AG18" s="63" t="s">
        <v>69</v>
      </c>
      <c r="AH18" s="12">
        <f>+'Form20 '!I19</f>
        <v>0</v>
      </c>
      <c r="AI18" s="18">
        <v>9</v>
      </c>
      <c r="AJ18" s="65" t="s">
        <v>70</v>
      </c>
      <c r="AK18" s="12">
        <f>+'Form20 '!J19</f>
        <v>0</v>
      </c>
      <c r="AL18" s="18">
        <v>10</v>
      </c>
      <c r="AM18" s="66" t="s">
        <v>30</v>
      </c>
      <c r="AN18" s="12">
        <f>+'Form20 '!K19</f>
        <v>0</v>
      </c>
      <c r="AO18" s="18">
        <v>11</v>
      </c>
      <c r="AP18" s="66" t="s">
        <v>30</v>
      </c>
      <c r="AQ18" s="12">
        <f>+'Form20 '!L19</f>
        <v>1</v>
      </c>
      <c r="AR18" s="18">
        <v>12</v>
      </c>
      <c r="AS18" s="66" t="s">
        <v>30</v>
      </c>
      <c r="AT18" s="12">
        <f>+'Form20 '!M19</f>
        <v>2</v>
      </c>
      <c r="AU18" s="18">
        <v>13</v>
      </c>
      <c r="AV18" s="66" t="s">
        <v>30</v>
      </c>
      <c r="AW18" s="12">
        <f>+'Form20 '!N19</f>
        <v>3</v>
      </c>
      <c r="AX18" s="18">
        <v>14</v>
      </c>
      <c r="AY18" s="66" t="s">
        <v>30</v>
      </c>
      <c r="AZ18" s="12">
        <f>+'Form20 '!O19</f>
        <v>2</v>
      </c>
      <c r="BA18" s="75">
        <f t="shared" si="1"/>
        <v>486</v>
      </c>
    </row>
    <row r="19" spans="1:53" s="67" customFormat="1" ht="59.25" customHeight="1">
      <c r="A19" s="18">
        <v>333</v>
      </c>
      <c r="B19" s="59">
        <v>13</v>
      </c>
      <c r="C19" s="76" t="s">
        <v>93</v>
      </c>
      <c r="D19" s="61">
        <v>1077</v>
      </c>
      <c r="E19" s="61">
        <v>279</v>
      </c>
      <c r="F19" s="61">
        <v>342</v>
      </c>
      <c r="G19" s="55">
        <v>0</v>
      </c>
      <c r="H19" s="62">
        <f t="shared" si="0"/>
        <v>621</v>
      </c>
      <c r="I19" s="55">
        <v>400</v>
      </c>
      <c r="J19" s="29">
        <v>0</v>
      </c>
      <c r="K19" s="18">
        <v>1</v>
      </c>
      <c r="L19" s="63" t="s">
        <v>29</v>
      </c>
      <c r="M19" s="12">
        <f>+'Form20 '!B20</f>
        <v>348</v>
      </c>
      <c r="N19" s="18">
        <v>2</v>
      </c>
      <c r="O19" s="58" t="s">
        <v>24</v>
      </c>
      <c r="P19" s="12">
        <f>+'Form20 '!C20</f>
        <v>46</v>
      </c>
      <c r="Q19" s="18">
        <v>3</v>
      </c>
      <c r="R19" s="63" t="s">
        <v>28</v>
      </c>
      <c r="S19" s="12">
        <f>+'Form20 '!D20</f>
        <v>212</v>
      </c>
      <c r="T19" s="18">
        <v>4</v>
      </c>
      <c r="U19" s="64" t="s">
        <v>65</v>
      </c>
      <c r="V19" s="12">
        <f>+'Form20 '!E20</f>
        <v>4</v>
      </c>
      <c r="W19" s="18">
        <v>5</v>
      </c>
      <c r="X19" s="58" t="s">
        <v>66</v>
      </c>
      <c r="Y19" s="12">
        <f>+'Form20 '!F20</f>
        <v>0</v>
      </c>
      <c r="Z19" s="18">
        <v>6</v>
      </c>
      <c r="AA19" s="64" t="s">
        <v>67</v>
      </c>
      <c r="AB19" s="12">
        <f>+'Form20 '!G20</f>
        <v>0</v>
      </c>
      <c r="AC19" s="18">
        <v>7</v>
      </c>
      <c r="AD19" s="63" t="s">
        <v>68</v>
      </c>
      <c r="AE19" s="12">
        <f>+'Form20 '!H20</f>
        <v>0</v>
      </c>
      <c r="AF19" s="18">
        <v>8</v>
      </c>
      <c r="AG19" s="63" t="s">
        <v>69</v>
      </c>
      <c r="AH19" s="12">
        <f>+'Form20 '!I20</f>
        <v>1</v>
      </c>
      <c r="AI19" s="18">
        <v>9</v>
      </c>
      <c r="AJ19" s="65" t="s">
        <v>70</v>
      </c>
      <c r="AK19" s="12">
        <f>+'Form20 '!J20</f>
        <v>3</v>
      </c>
      <c r="AL19" s="18">
        <v>10</v>
      </c>
      <c r="AM19" s="66" t="s">
        <v>30</v>
      </c>
      <c r="AN19" s="12">
        <f>+'Form20 '!K20</f>
        <v>1</v>
      </c>
      <c r="AO19" s="18">
        <v>11</v>
      </c>
      <c r="AP19" s="66" t="s">
        <v>30</v>
      </c>
      <c r="AQ19" s="12">
        <f>+'Form20 '!L20</f>
        <v>2</v>
      </c>
      <c r="AR19" s="18">
        <v>12</v>
      </c>
      <c r="AS19" s="66" t="s">
        <v>30</v>
      </c>
      <c r="AT19" s="12">
        <f>+'Form20 '!M20</f>
        <v>1</v>
      </c>
      <c r="AU19" s="18">
        <v>13</v>
      </c>
      <c r="AV19" s="66" t="s">
        <v>30</v>
      </c>
      <c r="AW19" s="12">
        <f>+'Form20 '!N20</f>
        <v>2</v>
      </c>
      <c r="AX19" s="18">
        <v>14</v>
      </c>
      <c r="AY19" s="66" t="s">
        <v>30</v>
      </c>
      <c r="AZ19" s="12">
        <f>+'Form20 '!O20</f>
        <v>0</v>
      </c>
      <c r="BA19" s="75">
        <f t="shared" si="1"/>
        <v>620</v>
      </c>
    </row>
    <row r="20" spans="1:53" s="67" customFormat="1" ht="59.25" customHeight="1">
      <c r="A20" s="18">
        <v>333</v>
      </c>
      <c r="B20" s="59">
        <v>14</v>
      </c>
      <c r="C20" s="76" t="s">
        <v>94</v>
      </c>
      <c r="D20" s="61">
        <v>1041</v>
      </c>
      <c r="E20" s="61">
        <v>249</v>
      </c>
      <c r="F20" s="61">
        <v>287</v>
      </c>
      <c r="G20" s="55">
        <v>0</v>
      </c>
      <c r="H20" s="62">
        <f t="shared" si="0"/>
        <v>536</v>
      </c>
      <c r="I20" s="55">
        <v>320</v>
      </c>
      <c r="J20" s="29">
        <v>0</v>
      </c>
      <c r="K20" s="18">
        <v>1</v>
      </c>
      <c r="L20" s="63" t="s">
        <v>29</v>
      </c>
      <c r="M20" s="12">
        <f>+'Form20 '!B21</f>
        <v>254</v>
      </c>
      <c r="N20" s="18">
        <v>2</v>
      </c>
      <c r="O20" s="58" t="s">
        <v>24</v>
      </c>
      <c r="P20" s="12">
        <f>+'Form20 '!C21</f>
        <v>41</v>
      </c>
      <c r="Q20" s="18">
        <v>3</v>
      </c>
      <c r="R20" s="63" t="s">
        <v>28</v>
      </c>
      <c r="S20" s="12">
        <f>+'Form20 '!D21</f>
        <v>226</v>
      </c>
      <c r="T20" s="18">
        <v>4</v>
      </c>
      <c r="U20" s="64" t="s">
        <v>65</v>
      </c>
      <c r="V20" s="12">
        <f>+'Form20 '!E21</f>
        <v>1</v>
      </c>
      <c r="W20" s="18">
        <v>5</v>
      </c>
      <c r="X20" s="58" t="s">
        <v>66</v>
      </c>
      <c r="Y20" s="12">
        <f>+'Form20 '!F21</f>
        <v>0</v>
      </c>
      <c r="Z20" s="18">
        <v>6</v>
      </c>
      <c r="AA20" s="64" t="s">
        <v>67</v>
      </c>
      <c r="AB20" s="12">
        <f>+'Form20 '!G21</f>
        <v>1</v>
      </c>
      <c r="AC20" s="18">
        <v>7</v>
      </c>
      <c r="AD20" s="63" t="s">
        <v>68</v>
      </c>
      <c r="AE20" s="12">
        <f>+'Form20 '!H21</f>
        <v>0</v>
      </c>
      <c r="AF20" s="18">
        <v>8</v>
      </c>
      <c r="AG20" s="63" t="s">
        <v>69</v>
      </c>
      <c r="AH20" s="12">
        <f>+'Form20 '!I21</f>
        <v>0</v>
      </c>
      <c r="AI20" s="18">
        <v>9</v>
      </c>
      <c r="AJ20" s="65" t="s">
        <v>70</v>
      </c>
      <c r="AK20" s="12">
        <f>+'Form20 '!J21</f>
        <v>9</v>
      </c>
      <c r="AL20" s="18">
        <v>10</v>
      </c>
      <c r="AM20" s="66" t="s">
        <v>30</v>
      </c>
      <c r="AN20" s="12">
        <f>+'Form20 '!K21</f>
        <v>0</v>
      </c>
      <c r="AO20" s="18">
        <v>11</v>
      </c>
      <c r="AP20" s="66" t="s">
        <v>30</v>
      </c>
      <c r="AQ20" s="12">
        <f>+'Form20 '!L21</f>
        <v>1</v>
      </c>
      <c r="AR20" s="18">
        <v>12</v>
      </c>
      <c r="AS20" s="66" t="s">
        <v>30</v>
      </c>
      <c r="AT20" s="12">
        <f>+'Form20 '!M21</f>
        <v>0</v>
      </c>
      <c r="AU20" s="18">
        <v>13</v>
      </c>
      <c r="AV20" s="66" t="s">
        <v>30</v>
      </c>
      <c r="AW20" s="12">
        <f>+'Form20 '!N21</f>
        <v>1</v>
      </c>
      <c r="AX20" s="18">
        <v>14</v>
      </c>
      <c r="AY20" s="66" t="s">
        <v>30</v>
      </c>
      <c r="AZ20" s="12">
        <f>+'Form20 '!O21</f>
        <v>1</v>
      </c>
      <c r="BA20" s="75">
        <f t="shared" si="1"/>
        <v>535</v>
      </c>
    </row>
    <row r="21" spans="1:53" s="67" customFormat="1" ht="59.25" customHeight="1">
      <c r="A21" s="18">
        <v>333</v>
      </c>
      <c r="B21" s="59">
        <v>15</v>
      </c>
      <c r="C21" s="76" t="s">
        <v>95</v>
      </c>
      <c r="D21" s="61">
        <v>727</v>
      </c>
      <c r="E21" s="61">
        <v>176</v>
      </c>
      <c r="F21" s="61">
        <v>215</v>
      </c>
      <c r="G21" s="55">
        <v>0</v>
      </c>
      <c r="H21" s="62">
        <f t="shared" si="0"/>
        <v>391</v>
      </c>
      <c r="I21" s="55">
        <v>94</v>
      </c>
      <c r="J21" s="29">
        <v>0</v>
      </c>
      <c r="K21" s="18">
        <v>1</v>
      </c>
      <c r="L21" s="63" t="s">
        <v>29</v>
      </c>
      <c r="M21" s="12">
        <f>+'Form20 '!B22</f>
        <v>139</v>
      </c>
      <c r="N21" s="18">
        <v>2</v>
      </c>
      <c r="O21" s="58" t="s">
        <v>24</v>
      </c>
      <c r="P21" s="12">
        <f>+'Form20 '!C22</f>
        <v>75</v>
      </c>
      <c r="Q21" s="18">
        <v>3</v>
      </c>
      <c r="R21" s="63" t="s">
        <v>28</v>
      </c>
      <c r="S21" s="12">
        <f>+'Form20 '!D22</f>
        <v>158</v>
      </c>
      <c r="T21" s="18">
        <v>4</v>
      </c>
      <c r="U21" s="64" t="s">
        <v>65</v>
      </c>
      <c r="V21" s="12">
        <f>+'Form20 '!E22</f>
        <v>2</v>
      </c>
      <c r="W21" s="18">
        <v>5</v>
      </c>
      <c r="X21" s="58" t="s">
        <v>66</v>
      </c>
      <c r="Y21" s="12">
        <f>+'Form20 '!F22</f>
        <v>0</v>
      </c>
      <c r="Z21" s="18">
        <v>6</v>
      </c>
      <c r="AA21" s="64" t="s">
        <v>67</v>
      </c>
      <c r="AB21" s="12">
        <f>+'Form20 '!G22</f>
        <v>1</v>
      </c>
      <c r="AC21" s="18">
        <v>7</v>
      </c>
      <c r="AD21" s="63" t="s">
        <v>68</v>
      </c>
      <c r="AE21" s="12">
        <f>+'Form20 '!H22</f>
        <v>2</v>
      </c>
      <c r="AF21" s="18">
        <v>8</v>
      </c>
      <c r="AG21" s="63" t="s">
        <v>69</v>
      </c>
      <c r="AH21" s="12">
        <f>+'Form20 '!I22</f>
        <v>0</v>
      </c>
      <c r="AI21" s="18">
        <v>9</v>
      </c>
      <c r="AJ21" s="65" t="s">
        <v>70</v>
      </c>
      <c r="AK21" s="12">
        <f>+'Form20 '!J22</f>
        <v>1</v>
      </c>
      <c r="AL21" s="18">
        <v>10</v>
      </c>
      <c r="AM21" s="66" t="s">
        <v>30</v>
      </c>
      <c r="AN21" s="12">
        <f>+'Form20 '!K22</f>
        <v>0</v>
      </c>
      <c r="AO21" s="18">
        <v>11</v>
      </c>
      <c r="AP21" s="66" t="s">
        <v>30</v>
      </c>
      <c r="AQ21" s="12">
        <f>+'Form20 '!L22</f>
        <v>3</v>
      </c>
      <c r="AR21" s="18">
        <v>12</v>
      </c>
      <c r="AS21" s="66" t="s">
        <v>30</v>
      </c>
      <c r="AT21" s="12">
        <f>+'Form20 '!M22</f>
        <v>5</v>
      </c>
      <c r="AU21" s="18">
        <v>13</v>
      </c>
      <c r="AV21" s="66" t="s">
        <v>30</v>
      </c>
      <c r="AW21" s="12">
        <f>+'Form20 '!N22</f>
        <v>0</v>
      </c>
      <c r="AX21" s="18">
        <v>14</v>
      </c>
      <c r="AY21" s="66" t="s">
        <v>30</v>
      </c>
      <c r="AZ21" s="12">
        <f>+'Form20 '!O22</f>
        <v>4</v>
      </c>
      <c r="BA21" s="75">
        <f t="shared" si="1"/>
        <v>390</v>
      </c>
    </row>
    <row r="22" spans="1:53" s="67" customFormat="1" ht="59.25" customHeight="1">
      <c r="A22" s="18">
        <v>333</v>
      </c>
      <c r="B22" s="59">
        <v>16</v>
      </c>
      <c r="C22" s="76" t="s">
        <v>96</v>
      </c>
      <c r="D22" s="61">
        <v>788</v>
      </c>
      <c r="E22" s="61">
        <v>173</v>
      </c>
      <c r="F22" s="61">
        <v>230</v>
      </c>
      <c r="G22" s="55">
        <v>0</v>
      </c>
      <c r="H22" s="62">
        <f t="shared" si="0"/>
        <v>403</v>
      </c>
      <c r="I22" s="55">
        <v>18</v>
      </c>
      <c r="J22" s="29">
        <v>0</v>
      </c>
      <c r="K22" s="18">
        <v>1</v>
      </c>
      <c r="L22" s="63" t="s">
        <v>29</v>
      </c>
      <c r="M22" s="12">
        <f>+'Form20 '!B23</f>
        <v>112</v>
      </c>
      <c r="N22" s="18">
        <v>2</v>
      </c>
      <c r="O22" s="58" t="s">
        <v>24</v>
      </c>
      <c r="P22" s="12">
        <f>+'Form20 '!C23</f>
        <v>203</v>
      </c>
      <c r="Q22" s="18">
        <v>3</v>
      </c>
      <c r="R22" s="63" t="s">
        <v>28</v>
      </c>
      <c r="S22" s="12">
        <f>+'Form20 '!D23</f>
        <v>74</v>
      </c>
      <c r="T22" s="18">
        <v>4</v>
      </c>
      <c r="U22" s="64" t="s">
        <v>65</v>
      </c>
      <c r="V22" s="12">
        <f>+'Form20 '!E23</f>
        <v>2</v>
      </c>
      <c r="W22" s="18">
        <v>5</v>
      </c>
      <c r="X22" s="58" t="s">
        <v>66</v>
      </c>
      <c r="Y22" s="12">
        <f>+'Form20 '!F23</f>
        <v>0</v>
      </c>
      <c r="Z22" s="18">
        <v>6</v>
      </c>
      <c r="AA22" s="64" t="s">
        <v>67</v>
      </c>
      <c r="AB22" s="12">
        <f>+'Form20 '!G23</f>
        <v>0</v>
      </c>
      <c r="AC22" s="18">
        <v>7</v>
      </c>
      <c r="AD22" s="63" t="s">
        <v>68</v>
      </c>
      <c r="AE22" s="12">
        <f>+'Form20 '!H23</f>
        <v>1</v>
      </c>
      <c r="AF22" s="18">
        <v>8</v>
      </c>
      <c r="AG22" s="63" t="s">
        <v>69</v>
      </c>
      <c r="AH22" s="12">
        <f>+'Form20 '!I23</f>
        <v>1</v>
      </c>
      <c r="AI22" s="18">
        <v>9</v>
      </c>
      <c r="AJ22" s="65" t="s">
        <v>70</v>
      </c>
      <c r="AK22" s="12">
        <f>+'Form20 '!J23</f>
        <v>0</v>
      </c>
      <c r="AL22" s="18">
        <v>10</v>
      </c>
      <c r="AM22" s="66" t="s">
        <v>30</v>
      </c>
      <c r="AN22" s="12">
        <f>+'Form20 '!K23</f>
        <v>0</v>
      </c>
      <c r="AO22" s="18">
        <v>11</v>
      </c>
      <c r="AP22" s="66" t="s">
        <v>30</v>
      </c>
      <c r="AQ22" s="12">
        <f>+'Form20 '!L23</f>
        <v>2</v>
      </c>
      <c r="AR22" s="18">
        <v>12</v>
      </c>
      <c r="AS22" s="66" t="s">
        <v>30</v>
      </c>
      <c r="AT22" s="12">
        <f>+'Form20 '!M23</f>
        <v>3</v>
      </c>
      <c r="AU22" s="18">
        <v>13</v>
      </c>
      <c r="AV22" s="66" t="s">
        <v>30</v>
      </c>
      <c r="AW22" s="12">
        <f>+'Form20 '!N23</f>
        <v>1</v>
      </c>
      <c r="AX22" s="18">
        <v>14</v>
      </c>
      <c r="AY22" s="66" t="s">
        <v>30</v>
      </c>
      <c r="AZ22" s="12">
        <f>+'Form20 '!O23</f>
        <v>1</v>
      </c>
      <c r="BA22" s="75">
        <f t="shared" si="1"/>
        <v>400</v>
      </c>
    </row>
    <row r="23" spans="1:53" s="67" customFormat="1" ht="59.25" customHeight="1">
      <c r="A23" s="18">
        <v>333</v>
      </c>
      <c r="B23" s="59">
        <v>17</v>
      </c>
      <c r="C23" s="76" t="s">
        <v>97</v>
      </c>
      <c r="D23" s="61">
        <v>780</v>
      </c>
      <c r="E23" s="61">
        <v>198</v>
      </c>
      <c r="F23" s="61">
        <v>222</v>
      </c>
      <c r="G23" s="55">
        <v>0</v>
      </c>
      <c r="H23" s="62">
        <f t="shared" si="0"/>
        <v>420</v>
      </c>
      <c r="I23" s="55">
        <v>47</v>
      </c>
      <c r="J23" s="29">
        <v>0</v>
      </c>
      <c r="K23" s="18">
        <v>1</v>
      </c>
      <c r="L23" s="63" t="s">
        <v>29</v>
      </c>
      <c r="M23" s="12">
        <f>+'Form20 '!B24</f>
        <v>291</v>
      </c>
      <c r="N23" s="18">
        <v>2</v>
      </c>
      <c r="O23" s="58" t="s">
        <v>24</v>
      </c>
      <c r="P23" s="12">
        <f>+'Form20 '!C24</f>
        <v>61</v>
      </c>
      <c r="Q23" s="18">
        <v>3</v>
      </c>
      <c r="R23" s="63" t="s">
        <v>28</v>
      </c>
      <c r="S23" s="12">
        <f>+'Form20 '!D24</f>
        <v>49</v>
      </c>
      <c r="T23" s="18">
        <v>4</v>
      </c>
      <c r="U23" s="64" t="s">
        <v>65</v>
      </c>
      <c r="V23" s="12">
        <f>+'Form20 '!E24</f>
        <v>0</v>
      </c>
      <c r="W23" s="18">
        <v>5</v>
      </c>
      <c r="X23" s="58" t="s">
        <v>66</v>
      </c>
      <c r="Y23" s="12">
        <f>+'Form20 '!F24</f>
        <v>1</v>
      </c>
      <c r="Z23" s="18">
        <v>6</v>
      </c>
      <c r="AA23" s="64" t="s">
        <v>67</v>
      </c>
      <c r="AB23" s="12">
        <f>+'Form20 '!G24</f>
        <v>1</v>
      </c>
      <c r="AC23" s="18">
        <v>7</v>
      </c>
      <c r="AD23" s="63" t="s">
        <v>68</v>
      </c>
      <c r="AE23" s="12">
        <f>+'Form20 '!H24</f>
        <v>0</v>
      </c>
      <c r="AF23" s="18">
        <v>8</v>
      </c>
      <c r="AG23" s="63" t="s">
        <v>69</v>
      </c>
      <c r="AH23" s="12">
        <f>+'Form20 '!I24</f>
        <v>2</v>
      </c>
      <c r="AI23" s="18">
        <v>9</v>
      </c>
      <c r="AJ23" s="65" t="s">
        <v>70</v>
      </c>
      <c r="AK23" s="12">
        <f>+'Form20 '!J24</f>
        <v>2</v>
      </c>
      <c r="AL23" s="18">
        <v>10</v>
      </c>
      <c r="AM23" s="66" t="s">
        <v>30</v>
      </c>
      <c r="AN23" s="12">
        <f>+'Form20 '!K24</f>
        <v>1</v>
      </c>
      <c r="AO23" s="18">
        <v>11</v>
      </c>
      <c r="AP23" s="66" t="s">
        <v>30</v>
      </c>
      <c r="AQ23" s="12">
        <f>+'Form20 '!L24</f>
        <v>2</v>
      </c>
      <c r="AR23" s="18">
        <v>12</v>
      </c>
      <c r="AS23" s="66" t="s">
        <v>30</v>
      </c>
      <c r="AT23" s="12">
        <f>+'Form20 '!M24</f>
        <v>2</v>
      </c>
      <c r="AU23" s="18">
        <v>13</v>
      </c>
      <c r="AV23" s="66" t="s">
        <v>30</v>
      </c>
      <c r="AW23" s="12">
        <f>+'Form20 '!N24</f>
        <v>3</v>
      </c>
      <c r="AX23" s="18">
        <v>14</v>
      </c>
      <c r="AY23" s="66" t="s">
        <v>30</v>
      </c>
      <c r="AZ23" s="12">
        <f>+'Form20 '!O24</f>
        <v>3</v>
      </c>
      <c r="BA23" s="75">
        <f t="shared" si="1"/>
        <v>418</v>
      </c>
    </row>
    <row r="24" spans="1:53" s="67" customFormat="1" ht="59.25" customHeight="1">
      <c r="A24" s="18">
        <v>333</v>
      </c>
      <c r="B24" s="59">
        <v>18</v>
      </c>
      <c r="C24" s="76" t="s">
        <v>98</v>
      </c>
      <c r="D24" s="61">
        <v>762</v>
      </c>
      <c r="E24" s="61">
        <v>212</v>
      </c>
      <c r="F24" s="61">
        <v>251</v>
      </c>
      <c r="G24" s="55">
        <v>0</v>
      </c>
      <c r="H24" s="62">
        <f t="shared" si="0"/>
        <v>463</v>
      </c>
      <c r="I24" s="55">
        <v>46</v>
      </c>
      <c r="J24" s="29">
        <v>0</v>
      </c>
      <c r="K24" s="18">
        <v>1</v>
      </c>
      <c r="L24" s="63" t="s">
        <v>29</v>
      </c>
      <c r="M24" s="12">
        <f>+'Form20 '!B25</f>
        <v>255</v>
      </c>
      <c r="N24" s="18">
        <v>2</v>
      </c>
      <c r="O24" s="58" t="s">
        <v>24</v>
      </c>
      <c r="P24" s="12">
        <f>+'Form20 '!C25</f>
        <v>42</v>
      </c>
      <c r="Q24" s="18">
        <v>3</v>
      </c>
      <c r="R24" s="63" t="s">
        <v>28</v>
      </c>
      <c r="S24" s="12">
        <f>+'Form20 '!D25</f>
        <v>152</v>
      </c>
      <c r="T24" s="18">
        <v>4</v>
      </c>
      <c r="U24" s="64" t="s">
        <v>65</v>
      </c>
      <c r="V24" s="12">
        <f>+'Form20 '!E25</f>
        <v>3</v>
      </c>
      <c r="W24" s="18">
        <v>5</v>
      </c>
      <c r="X24" s="58" t="s">
        <v>66</v>
      </c>
      <c r="Y24" s="12">
        <f>+'Form20 '!F25</f>
        <v>0</v>
      </c>
      <c r="Z24" s="18">
        <v>6</v>
      </c>
      <c r="AA24" s="64" t="s">
        <v>67</v>
      </c>
      <c r="AB24" s="12">
        <f>+'Form20 '!G25</f>
        <v>0</v>
      </c>
      <c r="AC24" s="18">
        <v>7</v>
      </c>
      <c r="AD24" s="63" t="s">
        <v>68</v>
      </c>
      <c r="AE24" s="12">
        <f>+'Form20 '!H25</f>
        <v>0</v>
      </c>
      <c r="AF24" s="18">
        <v>8</v>
      </c>
      <c r="AG24" s="63" t="s">
        <v>69</v>
      </c>
      <c r="AH24" s="12">
        <f>+'Form20 '!I25</f>
        <v>0</v>
      </c>
      <c r="AI24" s="18">
        <v>9</v>
      </c>
      <c r="AJ24" s="65" t="s">
        <v>70</v>
      </c>
      <c r="AK24" s="12">
        <f>+'Form20 '!J25</f>
        <v>2</v>
      </c>
      <c r="AL24" s="18">
        <v>10</v>
      </c>
      <c r="AM24" s="66" t="s">
        <v>30</v>
      </c>
      <c r="AN24" s="12">
        <f>+'Form20 '!K25</f>
        <v>0</v>
      </c>
      <c r="AO24" s="18">
        <v>11</v>
      </c>
      <c r="AP24" s="66" t="s">
        <v>30</v>
      </c>
      <c r="AQ24" s="12">
        <f>+'Form20 '!L25</f>
        <v>0</v>
      </c>
      <c r="AR24" s="18">
        <v>12</v>
      </c>
      <c r="AS24" s="66" t="s">
        <v>30</v>
      </c>
      <c r="AT24" s="12">
        <f>+'Form20 '!M25</f>
        <v>3</v>
      </c>
      <c r="AU24" s="18">
        <v>13</v>
      </c>
      <c r="AV24" s="66" t="s">
        <v>30</v>
      </c>
      <c r="AW24" s="12">
        <f>+'Form20 '!N25</f>
        <v>1</v>
      </c>
      <c r="AX24" s="18">
        <v>14</v>
      </c>
      <c r="AY24" s="66" t="s">
        <v>30</v>
      </c>
      <c r="AZ24" s="12">
        <f>+'Form20 '!O25</f>
        <v>1</v>
      </c>
      <c r="BA24" s="75">
        <f t="shared" si="1"/>
        <v>459</v>
      </c>
    </row>
    <row r="25" spans="1:53" s="67" customFormat="1" ht="59.25" customHeight="1">
      <c r="A25" s="18">
        <v>333</v>
      </c>
      <c r="B25" s="59">
        <v>19</v>
      </c>
      <c r="C25" s="76" t="s">
        <v>99</v>
      </c>
      <c r="D25" s="61">
        <v>822</v>
      </c>
      <c r="E25" s="61">
        <v>202</v>
      </c>
      <c r="F25" s="61">
        <v>266</v>
      </c>
      <c r="G25" s="55">
        <v>0</v>
      </c>
      <c r="H25" s="62">
        <f t="shared" si="0"/>
        <v>468</v>
      </c>
      <c r="I25" s="55">
        <v>36</v>
      </c>
      <c r="J25" s="29">
        <v>0</v>
      </c>
      <c r="K25" s="18">
        <v>1</v>
      </c>
      <c r="L25" s="63" t="s">
        <v>29</v>
      </c>
      <c r="M25" s="12">
        <f>+'Form20 '!B26</f>
        <v>207</v>
      </c>
      <c r="N25" s="18">
        <v>2</v>
      </c>
      <c r="O25" s="58" t="s">
        <v>24</v>
      </c>
      <c r="P25" s="12">
        <f>+'Form20 '!C26</f>
        <v>46</v>
      </c>
      <c r="Q25" s="18">
        <v>3</v>
      </c>
      <c r="R25" s="63" t="s">
        <v>28</v>
      </c>
      <c r="S25" s="12">
        <f>+'Form20 '!D26</f>
        <v>202</v>
      </c>
      <c r="T25" s="18">
        <v>4</v>
      </c>
      <c r="U25" s="64" t="s">
        <v>65</v>
      </c>
      <c r="V25" s="12">
        <f>+'Form20 '!E26</f>
        <v>2</v>
      </c>
      <c r="W25" s="18">
        <v>5</v>
      </c>
      <c r="X25" s="58" t="s">
        <v>66</v>
      </c>
      <c r="Y25" s="12">
        <f>+'Form20 '!F26</f>
        <v>0</v>
      </c>
      <c r="Z25" s="18">
        <v>6</v>
      </c>
      <c r="AA25" s="64" t="s">
        <v>67</v>
      </c>
      <c r="AB25" s="12">
        <f>+'Form20 '!G26</f>
        <v>3</v>
      </c>
      <c r="AC25" s="18">
        <v>7</v>
      </c>
      <c r="AD25" s="63" t="s">
        <v>68</v>
      </c>
      <c r="AE25" s="12">
        <f>+'Form20 '!H26</f>
        <v>0</v>
      </c>
      <c r="AF25" s="18">
        <v>8</v>
      </c>
      <c r="AG25" s="63" t="s">
        <v>69</v>
      </c>
      <c r="AH25" s="12">
        <f>+'Form20 '!I26</f>
        <v>0</v>
      </c>
      <c r="AI25" s="18">
        <v>9</v>
      </c>
      <c r="AJ25" s="65" t="s">
        <v>70</v>
      </c>
      <c r="AK25" s="12">
        <f>+'Form20 '!J26</f>
        <v>0</v>
      </c>
      <c r="AL25" s="18">
        <v>10</v>
      </c>
      <c r="AM25" s="66" t="s">
        <v>30</v>
      </c>
      <c r="AN25" s="12">
        <f>+'Form20 '!K26</f>
        <v>0</v>
      </c>
      <c r="AO25" s="18">
        <v>11</v>
      </c>
      <c r="AP25" s="66" t="s">
        <v>30</v>
      </c>
      <c r="AQ25" s="12">
        <f>+'Form20 '!L26</f>
        <v>0</v>
      </c>
      <c r="AR25" s="18">
        <v>12</v>
      </c>
      <c r="AS25" s="66" t="s">
        <v>30</v>
      </c>
      <c r="AT25" s="12">
        <f>+'Form20 '!M26</f>
        <v>1</v>
      </c>
      <c r="AU25" s="18">
        <v>13</v>
      </c>
      <c r="AV25" s="66" t="s">
        <v>30</v>
      </c>
      <c r="AW25" s="12">
        <f>+'Form20 '!N26</f>
        <v>5</v>
      </c>
      <c r="AX25" s="18">
        <v>14</v>
      </c>
      <c r="AY25" s="66" t="s">
        <v>30</v>
      </c>
      <c r="AZ25" s="12">
        <f>+'Form20 '!O26</f>
        <v>0</v>
      </c>
      <c r="BA25" s="75">
        <f t="shared" si="1"/>
        <v>466</v>
      </c>
    </row>
    <row r="26" spans="1:53" s="67" customFormat="1" ht="59.25" customHeight="1">
      <c r="A26" s="18">
        <v>333</v>
      </c>
      <c r="B26" s="59">
        <v>20</v>
      </c>
      <c r="C26" s="76" t="s">
        <v>100</v>
      </c>
      <c r="D26" s="61">
        <v>602</v>
      </c>
      <c r="E26" s="61">
        <v>168</v>
      </c>
      <c r="F26" s="61">
        <v>202</v>
      </c>
      <c r="G26" s="55">
        <v>0</v>
      </c>
      <c r="H26" s="62">
        <f t="shared" si="0"/>
        <v>370</v>
      </c>
      <c r="I26" s="55">
        <v>78</v>
      </c>
      <c r="J26" s="29">
        <v>0</v>
      </c>
      <c r="K26" s="18">
        <v>1</v>
      </c>
      <c r="L26" s="63" t="s">
        <v>29</v>
      </c>
      <c r="M26" s="12">
        <f>+'Form20 '!B27</f>
        <v>196</v>
      </c>
      <c r="N26" s="18">
        <v>2</v>
      </c>
      <c r="O26" s="58" t="s">
        <v>24</v>
      </c>
      <c r="P26" s="12">
        <f>+'Form20 '!C27</f>
        <v>27</v>
      </c>
      <c r="Q26" s="18">
        <v>3</v>
      </c>
      <c r="R26" s="63" t="s">
        <v>28</v>
      </c>
      <c r="S26" s="12">
        <f>+'Form20 '!D27</f>
        <v>134</v>
      </c>
      <c r="T26" s="18">
        <v>4</v>
      </c>
      <c r="U26" s="64" t="s">
        <v>65</v>
      </c>
      <c r="V26" s="12">
        <f>+'Form20 '!E27</f>
        <v>1</v>
      </c>
      <c r="W26" s="18">
        <v>5</v>
      </c>
      <c r="X26" s="58" t="s">
        <v>66</v>
      </c>
      <c r="Y26" s="12">
        <f>+'Form20 '!F27</f>
        <v>1</v>
      </c>
      <c r="Z26" s="18">
        <v>6</v>
      </c>
      <c r="AA26" s="64" t="s">
        <v>67</v>
      </c>
      <c r="AB26" s="12">
        <f>+'Form20 '!G27</f>
        <v>0</v>
      </c>
      <c r="AC26" s="18">
        <v>7</v>
      </c>
      <c r="AD26" s="63" t="s">
        <v>68</v>
      </c>
      <c r="AE26" s="12">
        <f>+'Form20 '!H27</f>
        <v>0</v>
      </c>
      <c r="AF26" s="18">
        <v>8</v>
      </c>
      <c r="AG26" s="63" t="s">
        <v>69</v>
      </c>
      <c r="AH26" s="12">
        <f>+'Form20 '!I27</f>
        <v>5</v>
      </c>
      <c r="AI26" s="18">
        <v>9</v>
      </c>
      <c r="AJ26" s="65" t="s">
        <v>70</v>
      </c>
      <c r="AK26" s="12">
        <f>+'Form20 '!J27</f>
        <v>1</v>
      </c>
      <c r="AL26" s="18">
        <v>10</v>
      </c>
      <c r="AM26" s="66" t="s">
        <v>30</v>
      </c>
      <c r="AN26" s="12">
        <f>+'Form20 '!K27</f>
        <v>1</v>
      </c>
      <c r="AO26" s="18">
        <v>11</v>
      </c>
      <c r="AP26" s="66" t="s">
        <v>30</v>
      </c>
      <c r="AQ26" s="12">
        <f>+'Form20 '!L27</f>
        <v>0</v>
      </c>
      <c r="AR26" s="18">
        <v>12</v>
      </c>
      <c r="AS26" s="66" t="s">
        <v>30</v>
      </c>
      <c r="AT26" s="12">
        <f>+'Form20 '!M27</f>
        <v>1</v>
      </c>
      <c r="AU26" s="18">
        <v>13</v>
      </c>
      <c r="AV26" s="66" t="s">
        <v>30</v>
      </c>
      <c r="AW26" s="12">
        <f>+'Form20 '!N27</f>
        <v>1</v>
      </c>
      <c r="AX26" s="18">
        <v>14</v>
      </c>
      <c r="AY26" s="66" t="s">
        <v>30</v>
      </c>
      <c r="AZ26" s="12">
        <f>+'Form20 '!O27</f>
        <v>1</v>
      </c>
      <c r="BA26" s="75">
        <f t="shared" si="1"/>
        <v>369</v>
      </c>
    </row>
    <row r="27" spans="1:53" s="67" customFormat="1" ht="59.25" customHeight="1">
      <c r="A27" s="18">
        <v>333</v>
      </c>
      <c r="B27" s="59">
        <v>21</v>
      </c>
      <c r="C27" s="76" t="s">
        <v>101</v>
      </c>
      <c r="D27" s="61">
        <v>667</v>
      </c>
      <c r="E27" s="61">
        <v>159</v>
      </c>
      <c r="F27" s="61">
        <v>193</v>
      </c>
      <c r="G27" s="55">
        <v>0</v>
      </c>
      <c r="H27" s="62">
        <f t="shared" si="0"/>
        <v>352</v>
      </c>
      <c r="I27" s="55">
        <v>300</v>
      </c>
      <c r="J27" s="29">
        <v>0</v>
      </c>
      <c r="K27" s="18">
        <v>1</v>
      </c>
      <c r="L27" s="63" t="s">
        <v>29</v>
      </c>
      <c r="M27" s="12">
        <f>+'Form20 '!B28</f>
        <v>82</v>
      </c>
      <c r="N27" s="18">
        <v>2</v>
      </c>
      <c r="O27" s="58" t="s">
        <v>24</v>
      </c>
      <c r="P27" s="12">
        <f>+'Form20 '!C28</f>
        <v>2</v>
      </c>
      <c r="Q27" s="18">
        <v>3</v>
      </c>
      <c r="R27" s="63" t="s">
        <v>28</v>
      </c>
      <c r="S27" s="12">
        <f>+'Form20 '!D28</f>
        <v>226</v>
      </c>
      <c r="T27" s="18">
        <v>4</v>
      </c>
      <c r="U27" s="64" t="s">
        <v>65</v>
      </c>
      <c r="V27" s="12">
        <f>+'Form20 '!E28</f>
        <v>6</v>
      </c>
      <c r="W27" s="18">
        <v>5</v>
      </c>
      <c r="X27" s="58" t="s">
        <v>66</v>
      </c>
      <c r="Y27" s="12">
        <f>+'Form20 '!F28</f>
        <v>1</v>
      </c>
      <c r="Z27" s="18">
        <v>6</v>
      </c>
      <c r="AA27" s="64" t="s">
        <v>67</v>
      </c>
      <c r="AB27" s="12">
        <f>+'Form20 '!G28</f>
        <v>0</v>
      </c>
      <c r="AC27" s="18">
        <v>7</v>
      </c>
      <c r="AD27" s="63" t="s">
        <v>68</v>
      </c>
      <c r="AE27" s="12">
        <f>+'Form20 '!H28</f>
        <v>1</v>
      </c>
      <c r="AF27" s="18">
        <v>8</v>
      </c>
      <c r="AG27" s="63" t="s">
        <v>69</v>
      </c>
      <c r="AH27" s="12">
        <f>+'Form20 '!I28</f>
        <v>0</v>
      </c>
      <c r="AI27" s="18">
        <v>9</v>
      </c>
      <c r="AJ27" s="65" t="s">
        <v>70</v>
      </c>
      <c r="AK27" s="12">
        <f>+'Form20 '!J28</f>
        <v>30</v>
      </c>
      <c r="AL27" s="18">
        <v>10</v>
      </c>
      <c r="AM27" s="66" t="s">
        <v>30</v>
      </c>
      <c r="AN27" s="12">
        <f>+'Form20 '!K28</f>
        <v>0</v>
      </c>
      <c r="AO27" s="18">
        <v>11</v>
      </c>
      <c r="AP27" s="66" t="s">
        <v>30</v>
      </c>
      <c r="AQ27" s="12">
        <f>+'Form20 '!L28</f>
        <v>0</v>
      </c>
      <c r="AR27" s="18">
        <v>12</v>
      </c>
      <c r="AS27" s="66" t="s">
        <v>30</v>
      </c>
      <c r="AT27" s="12">
        <f>+'Form20 '!M28</f>
        <v>0</v>
      </c>
      <c r="AU27" s="18">
        <v>13</v>
      </c>
      <c r="AV27" s="66" t="s">
        <v>30</v>
      </c>
      <c r="AW27" s="12">
        <f>+'Form20 '!N28</f>
        <v>1</v>
      </c>
      <c r="AX27" s="18">
        <v>14</v>
      </c>
      <c r="AY27" s="66" t="s">
        <v>30</v>
      </c>
      <c r="AZ27" s="12">
        <f>+'Form20 '!O28</f>
        <v>0</v>
      </c>
      <c r="BA27" s="75">
        <f t="shared" si="1"/>
        <v>349</v>
      </c>
    </row>
    <row r="28" spans="1:53" s="67" customFormat="1" ht="59.25" customHeight="1">
      <c r="A28" s="18">
        <v>333</v>
      </c>
      <c r="B28" s="59">
        <v>22</v>
      </c>
      <c r="C28" s="76" t="s">
        <v>102</v>
      </c>
      <c r="D28" s="61">
        <v>594</v>
      </c>
      <c r="E28" s="61">
        <v>131</v>
      </c>
      <c r="F28" s="61">
        <v>194</v>
      </c>
      <c r="G28" s="55">
        <v>0</v>
      </c>
      <c r="H28" s="62">
        <f t="shared" si="0"/>
        <v>325</v>
      </c>
      <c r="I28" s="55">
        <v>10</v>
      </c>
      <c r="J28" s="29">
        <v>0</v>
      </c>
      <c r="K28" s="18">
        <v>1</v>
      </c>
      <c r="L28" s="63" t="s">
        <v>29</v>
      </c>
      <c r="M28" s="12">
        <f>+'Form20 '!B29</f>
        <v>150</v>
      </c>
      <c r="N28" s="18">
        <v>2</v>
      </c>
      <c r="O28" s="58" t="s">
        <v>24</v>
      </c>
      <c r="P28" s="12">
        <f>+'Form20 '!C29</f>
        <v>46</v>
      </c>
      <c r="Q28" s="18">
        <v>3</v>
      </c>
      <c r="R28" s="63" t="s">
        <v>28</v>
      </c>
      <c r="S28" s="12">
        <f>+'Form20 '!D29</f>
        <v>115</v>
      </c>
      <c r="T28" s="18">
        <v>4</v>
      </c>
      <c r="U28" s="64" t="s">
        <v>65</v>
      </c>
      <c r="V28" s="12">
        <f>+'Form20 '!E29</f>
        <v>0</v>
      </c>
      <c r="W28" s="18">
        <v>5</v>
      </c>
      <c r="X28" s="58" t="s">
        <v>66</v>
      </c>
      <c r="Y28" s="12">
        <f>+'Form20 '!F29</f>
        <v>0</v>
      </c>
      <c r="Z28" s="18">
        <v>6</v>
      </c>
      <c r="AA28" s="64" t="s">
        <v>67</v>
      </c>
      <c r="AB28" s="12">
        <f>+'Form20 '!G29</f>
        <v>1</v>
      </c>
      <c r="AC28" s="18">
        <v>7</v>
      </c>
      <c r="AD28" s="63" t="s">
        <v>68</v>
      </c>
      <c r="AE28" s="12">
        <f>+'Form20 '!H29</f>
        <v>0</v>
      </c>
      <c r="AF28" s="18">
        <v>8</v>
      </c>
      <c r="AG28" s="63" t="s">
        <v>69</v>
      </c>
      <c r="AH28" s="12">
        <f>+'Form20 '!I29</f>
        <v>1</v>
      </c>
      <c r="AI28" s="18">
        <v>9</v>
      </c>
      <c r="AJ28" s="65" t="s">
        <v>70</v>
      </c>
      <c r="AK28" s="12">
        <f>+'Form20 '!J29</f>
        <v>7</v>
      </c>
      <c r="AL28" s="18">
        <v>10</v>
      </c>
      <c r="AM28" s="66" t="s">
        <v>30</v>
      </c>
      <c r="AN28" s="12">
        <f>+'Form20 '!K29</f>
        <v>1</v>
      </c>
      <c r="AO28" s="18">
        <v>11</v>
      </c>
      <c r="AP28" s="66" t="s">
        <v>30</v>
      </c>
      <c r="AQ28" s="12">
        <f>+'Form20 '!L29</f>
        <v>0</v>
      </c>
      <c r="AR28" s="18">
        <v>12</v>
      </c>
      <c r="AS28" s="66" t="s">
        <v>30</v>
      </c>
      <c r="AT28" s="12">
        <f>+'Form20 '!M29</f>
        <v>0</v>
      </c>
      <c r="AU28" s="18">
        <v>13</v>
      </c>
      <c r="AV28" s="66" t="s">
        <v>30</v>
      </c>
      <c r="AW28" s="12">
        <f>+'Form20 '!N29</f>
        <v>1</v>
      </c>
      <c r="AX28" s="18">
        <v>14</v>
      </c>
      <c r="AY28" s="66" t="s">
        <v>30</v>
      </c>
      <c r="AZ28" s="12">
        <f>+'Form20 '!O29</f>
        <v>1</v>
      </c>
      <c r="BA28" s="75">
        <f t="shared" si="1"/>
        <v>323</v>
      </c>
    </row>
    <row r="29" spans="1:53" s="67" customFormat="1" ht="59.25" customHeight="1">
      <c r="A29" s="18">
        <v>333</v>
      </c>
      <c r="B29" s="59">
        <v>23</v>
      </c>
      <c r="C29" s="76" t="s">
        <v>103</v>
      </c>
      <c r="D29" s="61">
        <v>780</v>
      </c>
      <c r="E29" s="61">
        <v>217</v>
      </c>
      <c r="F29" s="61">
        <v>241</v>
      </c>
      <c r="G29" s="55">
        <v>0</v>
      </c>
      <c r="H29" s="62">
        <f t="shared" si="0"/>
        <v>458</v>
      </c>
      <c r="I29" s="55">
        <v>117</v>
      </c>
      <c r="J29" s="29">
        <v>0</v>
      </c>
      <c r="K29" s="18">
        <v>1</v>
      </c>
      <c r="L29" s="63" t="s">
        <v>29</v>
      </c>
      <c r="M29" s="12">
        <f>+'Form20 '!B30</f>
        <v>224</v>
      </c>
      <c r="N29" s="18">
        <v>2</v>
      </c>
      <c r="O29" s="58" t="s">
        <v>24</v>
      </c>
      <c r="P29" s="12">
        <f>+'Form20 '!C30</f>
        <v>43</v>
      </c>
      <c r="Q29" s="18">
        <v>3</v>
      </c>
      <c r="R29" s="63" t="s">
        <v>28</v>
      </c>
      <c r="S29" s="12">
        <f>+'Form20 '!D30</f>
        <v>176</v>
      </c>
      <c r="T29" s="18">
        <v>4</v>
      </c>
      <c r="U29" s="64" t="s">
        <v>65</v>
      </c>
      <c r="V29" s="12">
        <f>+'Form20 '!E30</f>
        <v>0</v>
      </c>
      <c r="W29" s="18">
        <v>5</v>
      </c>
      <c r="X29" s="58" t="s">
        <v>66</v>
      </c>
      <c r="Y29" s="12">
        <f>+'Form20 '!F30</f>
        <v>0</v>
      </c>
      <c r="Z29" s="18">
        <v>6</v>
      </c>
      <c r="AA29" s="64" t="s">
        <v>67</v>
      </c>
      <c r="AB29" s="12">
        <f>+'Form20 '!G30</f>
        <v>1</v>
      </c>
      <c r="AC29" s="18">
        <v>7</v>
      </c>
      <c r="AD29" s="63" t="s">
        <v>68</v>
      </c>
      <c r="AE29" s="12">
        <f>+'Form20 '!H30</f>
        <v>0</v>
      </c>
      <c r="AF29" s="18">
        <v>8</v>
      </c>
      <c r="AG29" s="63" t="s">
        <v>69</v>
      </c>
      <c r="AH29" s="12">
        <f>+'Form20 '!I30</f>
        <v>0</v>
      </c>
      <c r="AI29" s="18">
        <v>9</v>
      </c>
      <c r="AJ29" s="65" t="s">
        <v>70</v>
      </c>
      <c r="AK29" s="12">
        <f>+'Form20 '!J30</f>
        <v>4</v>
      </c>
      <c r="AL29" s="18">
        <v>10</v>
      </c>
      <c r="AM29" s="66" t="s">
        <v>30</v>
      </c>
      <c r="AN29" s="12">
        <f>+'Form20 '!K30</f>
        <v>0</v>
      </c>
      <c r="AO29" s="18">
        <v>11</v>
      </c>
      <c r="AP29" s="66" t="s">
        <v>30</v>
      </c>
      <c r="AQ29" s="12">
        <f>+'Form20 '!L30</f>
        <v>2</v>
      </c>
      <c r="AR29" s="18">
        <v>12</v>
      </c>
      <c r="AS29" s="66" t="s">
        <v>30</v>
      </c>
      <c r="AT29" s="12">
        <f>+'Form20 '!M30</f>
        <v>3</v>
      </c>
      <c r="AU29" s="18">
        <v>13</v>
      </c>
      <c r="AV29" s="66" t="s">
        <v>30</v>
      </c>
      <c r="AW29" s="12">
        <f>+'Form20 '!N30</f>
        <v>0</v>
      </c>
      <c r="AX29" s="18">
        <v>14</v>
      </c>
      <c r="AY29" s="66" t="s">
        <v>30</v>
      </c>
      <c r="AZ29" s="12">
        <f>+'Form20 '!O30</f>
        <v>1</v>
      </c>
      <c r="BA29" s="75">
        <f t="shared" si="1"/>
        <v>454</v>
      </c>
    </row>
    <row r="30" spans="1:53" s="67" customFormat="1" ht="59.25" customHeight="1">
      <c r="A30" s="18">
        <v>333</v>
      </c>
      <c r="B30" s="59">
        <v>24</v>
      </c>
      <c r="C30" s="76" t="s">
        <v>104</v>
      </c>
      <c r="D30" s="61">
        <v>997</v>
      </c>
      <c r="E30" s="61">
        <v>238</v>
      </c>
      <c r="F30" s="61">
        <v>308</v>
      </c>
      <c r="G30" s="55">
        <v>0</v>
      </c>
      <c r="H30" s="62">
        <f t="shared" si="0"/>
        <v>546</v>
      </c>
      <c r="I30" s="55">
        <v>37</v>
      </c>
      <c r="J30" s="29">
        <v>0</v>
      </c>
      <c r="K30" s="18">
        <v>1</v>
      </c>
      <c r="L30" s="63" t="s">
        <v>29</v>
      </c>
      <c r="M30" s="12">
        <f>+'Form20 '!B31</f>
        <v>109</v>
      </c>
      <c r="N30" s="18">
        <v>2</v>
      </c>
      <c r="O30" s="58" t="s">
        <v>24</v>
      </c>
      <c r="P30" s="12">
        <f>+'Form20 '!C31</f>
        <v>19</v>
      </c>
      <c r="Q30" s="18">
        <v>3</v>
      </c>
      <c r="R30" s="63" t="s">
        <v>28</v>
      </c>
      <c r="S30" s="12">
        <f>+'Form20 '!D31</f>
        <v>375</v>
      </c>
      <c r="T30" s="18">
        <v>4</v>
      </c>
      <c r="U30" s="64" t="s">
        <v>65</v>
      </c>
      <c r="V30" s="12">
        <f>+'Form20 '!E31</f>
        <v>2</v>
      </c>
      <c r="W30" s="18">
        <v>5</v>
      </c>
      <c r="X30" s="58" t="s">
        <v>66</v>
      </c>
      <c r="Y30" s="12">
        <f>+'Form20 '!F31</f>
        <v>2</v>
      </c>
      <c r="Z30" s="18">
        <v>6</v>
      </c>
      <c r="AA30" s="64" t="s">
        <v>67</v>
      </c>
      <c r="AB30" s="12">
        <f>+'Form20 '!G31</f>
        <v>0</v>
      </c>
      <c r="AC30" s="18">
        <v>7</v>
      </c>
      <c r="AD30" s="63" t="s">
        <v>68</v>
      </c>
      <c r="AE30" s="12">
        <f>+'Form20 '!H31</f>
        <v>0</v>
      </c>
      <c r="AF30" s="18">
        <v>8</v>
      </c>
      <c r="AG30" s="63" t="s">
        <v>69</v>
      </c>
      <c r="AH30" s="12">
        <f>+'Form20 '!I31</f>
        <v>1</v>
      </c>
      <c r="AI30" s="18">
        <v>9</v>
      </c>
      <c r="AJ30" s="65" t="s">
        <v>70</v>
      </c>
      <c r="AK30" s="12">
        <f>+'Form20 '!J31</f>
        <v>27</v>
      </c>
      <c r="AL30" s="18">
        <v>10</v>
      </c>
      <c r="AM30" s="66" t="s">
        <v>30</v>
      </c>
      <c r="AN30" s="12">
        <f>+'Form20 '!K31</f>
        <v>2</v>
      </c>
      <c r="AO30" s="18">
        <v>11</v>
      </c>
      <c r="AP30" s="66" t="s">
        <v>30</v>
      </c>
      <c r="AQ30" s="12">
        <f>+'Form20 '!L31</f>
        <v>0</v>
      </c>
      <c r="AR30" s="18">
        <v>12</v>
      </c>
      <c r="AS30" s="66" t="s">
        <v>30</v>
      </c>
      <c r="AT30" s="12">
        <f>+'Form20 '!M31</f>
        <v>1</v>
      </c>
      <c r="AU30" s="18">
        <v>13</v>
      </c>
      <c r="AV30" s="66" t="s">
        <v>30</v>
      </c>
      <c r="AW30" s="12">
        <f>+'Form20 '!N31</f>
        <v>3</v>
      </c>
      <c r="AX30" s="18">
        <v>14</v>
      </c>
      <c r="AY30" s="66" t="s">
        <v>30</v>
      </c>
      <c r="AZ30" s="12">
        <f>+'Form20 '!O31</f>
        <v>1</v>
      </c>
      <c r="BA30" s="75">
        <f t="shared" si="1"/>
        <v>542</v>
      </c>
    </row>
    <row r="31" spans="1:53" s="67" customFormat="1" ht="59.25" customHeight="1">
      <c r="A31" s="18">
        <v>333</v>
      </c>
      <c r="B31" s="59">
        <v>25</v>
      </c>
      <c r="C31" s="76" t="s">
        <v>105</v>
      </c>
      <c r="D31" s="61">
        <v>878</v>
      </c>
      <c r="E31" s="61">
        <v>281</v>
      </c>
      <c r="F31" s="61">
        <v>257</v>
      </c>
      <c r="G31" s="55">
        <v>0</v>
      </c>
      <c r="H31" s="62">
        <f t="shared" si="0"/>
        <v>538</v>
      </c>
      <c r="I31" s="55">
        <v>497</v>
      </c>
      <c r="J31" s="29">
        <v>0</v>
      </c>
      <c r="K31" s="18">
        <v>1</v>
      </c>
      <c r="L31" s="63" t="s">
        <v>29</v>
      </c>
      <c r="M31" s="12">
        <f>+'Form20 '!B32</f>
        <v>299</v>
      </c>
      <c r="N31" s="18">
        <v>2</v>
      </c>
      <c r="O31" s="58" t="s">
        <v>24</v>
      </c>
      <c r="P31" s="12">
        <f>+'Form20 '!C32</f>
        <v>27</v>
      </c>
      <c r="Q31" s="18">
        <v>3</v>
      </c>
      <c r="R31" s="63" t="s">
        <v>28</v>
      </c>
      <c r="S31" s="12">
        <f>+'Form20 '!D32</f>
        <v>192</v>
      </c>
      <c r="T31" s="18">
        <v>4</v>
      </c>
      <c r="U31" s="64" t="s">
        <v>65</v>
      </c>
      <c r="V31" s="12">
        <f>+'Form20 '!E32</f>
        <v>2</v>
      </c>
      <c r="W31" s="18">
        <v>5</v>
      </c>
      <c r="X31" s="58" t="s">
        <v>66</v>
      </c>
      <c r="Y31" s="12">
        <f>+'Form20 '!F32</f>
        <v>1</v>
      </c>
      <c r="Z31" s="18">
        <v>6</v>
      </c>
      <c r="AA31" s="64" t="s">
        <v>67</v>
      </c>
      <c r="AB31" s="12">
        <f>+'Form20 '!G32</f>
        <v>1</v>
      </c>
      <c r="AC31" s="18">
        <v>7</v>
      </c>
      <c r="AD31" s="63" t="s">
        <v>68</v>
      </c>
      <c r="AE31" s="12">
        <f>+'Form20 '!H32</f>
        <v>0</v>
      </c>
      <c r="AF31" s="18">
        <v>8</v>
      </c>
      <c r="AG31" s="63" t="s">
        <v>69</v>
      </c>
      <c r="AH31" s="12">
        <f>+'Form20 '!I32</f>
        <v>1</v>
      </c>
      <c r="AI31" s="18">
        <v>9</v>
      </c>
      <c r="AJ31" s="65" t="s">
        <v>70</v>
      </c>
      <c r="AK31" s="12">
        <f>+'Form20 '!J32</f>
        <v>0</v>
      </c>
      <c r="AL31" s="18">
        <v>10</v>
      </c>
      <c r="AM31" s="66" t="s">
        <v>30</v>
      </c>
      <c r="AN31" s="12">
        <f>+'Form20 '!K32</f>
        <v>1</v>
      </c>
      <c r="AO31" s="18">
        <v>11</v>
      </c>
      <c r="AP31" s="66" t="s">
        <v>30</v>
      </c>
      <c r="AQ31" s="12">
        <f>+'Form20 '!L32</f>
        <v>2</v>
      </c>
      <c r="AR31" s="18">
        <v>12</v>
      </c>
      <c r="AS31" s="66" t="s">
        <v>30</v>
      </c>
      <c r="AT31" s="12">
        <f>+'Form20 '!M32</f>
        <v>0</v>
      </c>
      <c r="AU31" s="18">
        <v>13</v>
      </c>
      <c r="AV31" s="66" t="s">
        <v>30</v>
      </c>
      <c r="AW31" s="12">
        <f>+'Form20 '!N32</f>
        <v>0</v>
      </c>
      <c r="AX31" s="18">
        <v>14</v>
      </c>
      <c r="AY31" s="66" t="s">
        <v>30</v>
      </c>
      <c r="AZ31" s="12">
        <f>+'Form20 '!O32</f>
        <v>1</v>
      </c>
      <c r="BA31" s="75">
        <f t="shared" si="1"/>
        <v>527</v>
      </c>
    </row>
    <row r="32" spans="1:53" s="67" customFormat="1" ht="59.25" customHeight="1">
      <c r="A32" s="18">
        <v>333</v>
      </c>
      <c r="B32" s="59">
        <v>26</v>
      </c>
      <c r="C32" s="76" t="s">
        <v>106</v>
      </c>
      <c r="D32" s="61">
        <v>911</v>
      </c>
      <c r="E32" s="61">
        <v>209</v>
      </c>
      <c r="F32" s="61">
        <v>223</v>
      </c>
      <c r="G32" s="55">
        <v>0</v>
      </c>
      <c r="H32" s="62">
        <f t="shared" si="0"/>
        <v>432</v>
      </c>
      <c r="I32" s="55">
        <v>40</v>
      </c>
      <c r="J32" s="29">
        <v>0</v>
      </c>
      <c r="K32" s="18">
        <v>1</v>
      </c>
      <c r="L32" s="63" t="s">
        <v>29</v>
      </c>
      <c r="M32" s="12">
        <f>+'Form20 '!B33</f>
        <v>192</v>
      </c>
      <c r="N32" s="18">
        <v>2</v>
      </c>
      <c r="O32" s="58" t="s">
        <v>24</v>
      </c>
      <c r="P32" s="12">
        <f>+'Form20 '!C33</f>
        <v>10</v>
      </c>
      <c r="Q32" s="18">
        <v>3</v>
      </c>
      <c r="R32" s="63" t="s">
        <v>28</v>
      </c>
      <c r="S32" s="12">
        <f>+'Form20 '!D33</f>
        <v>219</v>
      </c>
      <c r="T32" s="18">
        <v>4</v>
      </c>
      <c r="U32" s="64" t="s">
        <v>65</v>
      </c>
      <c r="V32" s="12">
        <f>+'Form20 '!E33</f>
        <v>1</v>
      </c>
      <c r="W32" s="18">
        <v>5</v>
      </c>
      <c r="X32" s="58" t="s">
        <v>66</v>
      </c>
      <c r="Y32" s="12">
        <f>+'Form20 '!F33</f>
        <v>2</v>
      </c>
      <c r="Z32" s="18">
        <v>6</v>
      </c>
      <c r="AA32" s="64" t="s">
        <v>67</v>
      </c>
      <c r="AB32" s="12">
        <f>+'Form20 '!G33</f>
        <v>0</v>
      </c>
      <c r="AC32" s="18">
        <v>7</v>
      </c>
      <c r="AD32" s="63" t="s">
        <v>68</v>
      </c>
      <c r="AE32" s="12">
        <f>+'Form20 '!H33</f>
        <v>0</v>
      </c>
      <c r="AF32" s="18">
        <v>8</v>
      </c>
      <c r="AG32" s="63" t="s">
        <v>69</v>
      </c>
      <c r="AH32" s="12">
        <f>+'Form20 '!I33</f>
        <v>0</v>
      </c>
      <c r="AI32" s="18">
        <v>9</v>
      </c>
      <c r="AJ32" s="65" t="s">
        <v>70</v>
      </c>
      <c r="AK32" s="12">
        <f>+'Form20 '!J33</f>
        <v>2</v>
      </c>
      <c r="AL32" s="18">
        <v>10</v>
      </c>
      <c r="AM32" s="66" t="s">
        <v>30</v>
      </c>
      <c r="AN32" s="12">
        <f>+'Form20 '!K33</f>
        <v>0</v>
      </c>
      <c r="AO32" s="18">
        <v>11</v>
      </c>
      <c r="AP32" s="66" t="s">
        <v>30</v>
      </c>
      <c r="AQ32" s="12">
        <f>+'Form20 '!L33</f>
        <v>3</v>
      </c>
      <c r="AR32" s="18">
        <v>12</v>
      </c>
      <c r="AS32" s="66" t="s">
        <v>30</v>
      </c>
      <c r="AT32" s="12">
        <f>+'Form20 '!M33</f>
        <v>2</v>
      </c>
      <c r="AU32" s="18">
        <v>13</v>
      </c>
      <c r="AV32" s="66" t="s">
        <v>30</v>
      </c>
      <c r="AW32" s="12">
        <f>+'Form20 '!N33</f>
        <v>0</v>
      </c>
      <c r="AX32" s="18">
        <v>14</v>
      </c>
      <c r="AY32" s="66" t="s">
        <v>30</v>
      </c>
      <c r="AZ32" s="12">
        <f>+'Form20 '!O33</f>
        <v>1</v>
      </c>
      <c r="BA32" s="75">
        <f t="shared" si="1"/>
        <v>432</v>
      </c>
    </row>
    <row r="33" spans="1:53" s="67" customFormat="1" ht="59.25" customHeight="1">
      <c r="A33" s="18">
        <v>333</v>
      </c>
      <c r="B33" s="59">
        <v>27</v>
      </c>
      <c r="C33" s="76" t="s">
        <v>107</v>
      </c>
      <c r="D33" s="61">
        <v>977</v>
      </c>
      <c r="E33" s="61">
        <v>287</v>
      </c>
      <c r="F33" s="61">
        <v>365</v>
      </c>
      <c r="G33" s="55">
        <v>0</v>
      </c>
      <c r="H33" s="62">
        <f t="shared" si="0"/>
        <v>652</v>
      </c>
      <c r="I33" s="55">
        <v>200</v>
      </c>
      <c r="J33" s="29">
        <v>0</v>
      </c>
      <c r="K33" s="18">
        <v>1</v>
      </c>
      <c r="L33" s="63" t="s">
        <v>29</v>
      </c>
      <c r="M33" s="12">
        <f>+'Form20 '!B34</f>
        <v>303</v>
      </c>
      <c r="N33" s="18">
        <v>2</v>
      </c>
      <c r="O33" s="58" t="s">
        <v>24</v>
      </c>
      <c r="P33" s="12">
        <f>+'Form20 '!C34</f>
        <v>92</v>
      </c>
      <c r="Q33" s="18">
        <v>3</v>
      </c>
      <c r="R33" s="63" t="s">
        <v>28</v>
      </c>
      <c r="S33" s="12">
        <f>+'Form20 '!D34</f>
        <v>241</v>
      </c>
      <c r="T33" s="18">
        <v>4</v>
      </c>
      <c r="U33" s="64" t="s">
        <v>65</v>
      </c>
      <c r="V33" s="12">
        <f>+'Form20 '!E34</f>
        <v>3</v>
      </c>
      <c r="W33" s="18">
        <v>5</v>
      </c>
      <c r="X33" s="58" t="s">
        <v>66</v>
      </c>
      <c r="Y33" s="12">
        <f>+'Form20 '!F34</f>
        <v>0</v>
      </c>
      <c r="Z33" s="18">
        <v>6</v>
      </c>
      <c r="AA33" s="64" t="s">
        <v>67</v>
      </c>
      <c r="AB33" s="12">
        <f>+'Form20 '!G34</f>
        <v>0</v>
      </c>
      <c r="AC33" s="18">
        <v>7</v>
      </c>
      <c r="AD33" s="63" t="s">
        <v>68</v>
      </c>
      <c r="AE33" s="12">
        <f>+'Form20 '!H34</f>
        <v>1</v>
      </c>
      <c r="AF33" s="18">
        <v>8</v>
      </c>
      <c r="AG33" s="63" t="s">
        <v>69</v>
      </c>
      <c r="AH33" s="12">
        <f>+'Form20 '!I34</f>
        <v>1</v>
      </c>
      <c r="AI33" s="18">
        <v>9</v>
      </c>
      <c r="AJ33" s="65" t="s">
        <v>70</v>
      </c>
      <c r="AK33" s="12">
        <f>+'Form20 '!J34</f>
        <v>1</v>
      </c>
      <c r="AL33" s="18">
        <v>10</v>
      </c>
      <c r="AM33" s="66" t="s">
        <v>30</v>
      </c>
      <c r="AN33" s="12">
        <f>+'Form20 '!K34</f>
        <v>1</v>
      </c>
      <c r="AO33" s="18">
        <v>11</v>
      </c>
      <c r="AP33" s="66" t="s">
        <v>30</v>
      </c>
      <c r="AQ33" s="12">
        <f>+'Form20 '!L34</f>
        <v>2</v>
      </c>
      <c r="AR33" s="18">
        <v>12</v>
      </c>
      <c r="AS33" s="66" t="s">
        <v>30</v>
      </c>
      <c r="AT33" s="12">
        <f>+'Form20 '!M34</f>
        <v>2</v>
      </c>
      <c r="AU33" s="18">
        <v>13</v>
      </c>
      <c r="AV33" s="66" t="s">
        <v>30</v>
      </c>
      <c r="AW33" s="12">
        <f>+'Form20 '!N34</f>
        <v>3</v>
      </c>
      <c r="AX33" s="18">
        <v>14</v>
      </c>
      <c r="AY33" s="66" t="s">
        <v>30</v>
      </c>
      <c r="AZ33" s="12">
        <f>+'Form20 '!O34</f>
        <v>0</v>
      </c>
      <c r="BA33" s="75">
        <f t="shared" si="1"/>
        <v>650</v>
      </c>
    </row>
    <row r="34" spans="1:53" s="67" customFormat="1" ht="59.25" customHeight="1">
      <c r="A34" s="18">
        <v>333</v>
      </c>
      <c r="B34" s="59">
        <v>28</v>
      </c>
      <c r="C34" s="76" t="s">
        <v>108</v>
      </c>
      <c r="D34" s="61">
        <v>679</v>
      </c>
      <c r="E34" s="61">
        <v>191</v>
      </c>
      <c r="F34" s="61">
        <v>242</v>
      </c>
      <c r="G34" s="55">
        <v>0</v>
      </c>
      <c r="H34" s="62">
        <f t="shared" si="0"/>
        <v>433</v>
      </c>
      <c r="I34" s="55">
        <v>30</v>
      </c>
      <c r="J34" s="29">
        <v>0</v>
      </c>
      <c r="K34" s="18">
        <v>1</v>
      </c>
      <c r="L34" s="63" t="s">
        <v>29</v>
      </c>
      <c r="M34" s="12">
        <f>+'Form20 '!B35</f>
        <v>276</v>
      </c>
      <c r="N34" s="18">
        <v>2</v>
      </c>
      <c r="O34" s="58" t="s">
        <v>24</v>
      </c>
      <c r="P34" s="12">
        <f>+'Form20 '!C35</f>
        <v>3</v>
      </c>
      <c r="Q34" s="18">
        <v>3</v>
      </c>
      <c r="R34" s="63" t="s">
        <v>28</v>
      </c>
      <c r="S34" s="12">
        <f>+'Form20 '!D35</f>
        <v>141</v>
      </c>
      <c r="T34" s="18">
        <v>4</v>
      </c>
      <c r="U34" s="64" t="s">
        <v>65</v>
      </c>
      <c r="V34" s="12">
        <f>+'Form20 '!E35</f>
        <v>1</v>
      </c>
      <c r="W34" s="18">
        <v>5</v>
      </c>
      <c r="X34" s="58" t="s">
        <v>66</v>
      </c>
      <c r="Y34" s="12">
        <f>+'Form20 '!F35</f>
        <v>1</v>
      </c>
      <c r="Z34" s="18">
        <v>6</v>
      </c>
      <c r="AA34" s="64" t="s">
        <v>67</v>
      </c>
      <c r="AB34" s="12">
        <f>+'Form20 '!G35</f>
        <v>1</v>
      </c>
      <c r="AC34" s="18">
        <v>7</v>
      </c>
      <c r="AD34" s="63" t="s">
        <v>68</v>
      </c>
      <c r="AE34" s="12">
        <f>+'Form20 '!H35</f>
        <v>0</v>
      </c>
      <c r="AF34" s="18">
        <v>8</v>
      </c>
      <c r="AG34" s="63" t="s">
        <v>69</v>
      </c>
      <c r="AH34" s="12">
        <f>+'Form20 '!I35</f>
        <v>0</v>
      </c>
      <c r="AI34" s="18">
        <v>9</v>
      </c>
      <c r="AJ34" s="65" t="s">
        <v>70</v>
      </c>
      <c r="AK34" s="12">
        <f>+'Form20 '!J35</f>
        <v>2</v>
      </c>
      <c r="AL34" s="18">
        <v>10</v>
      </c>
      <c r="AM34" s="66" t="s">
        <v>30</v>
      </c>
      <c r="AN34" s="12">
        <f>+'Form20 '!K35</f>
        <v>0</v>
      </c>
      <c r="AO34" s="18">
        <v>11</v>
      </c>
      <c r="AP34" s="66" t="s">
        <v>30</v>
      </c>
      <c r="AQ34" s="12">
        <f>+'Form20 '!L35</f>
        <v>1</v>
      </c>
      <c r="AR34" s="18">
        <v>12</v>
      </c>
      <c r="AS34" s="66" t="s">
        <v>30</v>
      </c>
      <c r="AT34" s="12">
        <f>+'Form20 '!M35</f>
        <v>2</v>
      </c>
      <c r="AU34" s="18">
        <v>13</v>
      </c>
      <c r="AV34" s="66" t="s">
        <v>30</v>
      </c>
      <c r="AW34" s="12">
        <f>+'Form20 '!N35</f>
        <v>1</v>
      </c>
      <c r="AX34" s="18">
        <v>14</v>
      </c>
      <c r="AY34" s="66" t="s">
        <v>30</v>
      </c>
      <c r="AZ34" s="12">
        <f>+'Form20 '!O35</f>
        <v>1</v>
      </c>
      <c r="BA34" s="75">
        <f t="shared" si="1"/>
        <v>430</v>
      </c>
    </row>
    <row r="35" spans="1:53" s="67" customFormat="1" ht="59.25" customHeight="1">
      <c r="A35" s="18">
        <v>333</v>
      </c>
      <c r="B35" s="59">
        <v>29</v>
      </c>
      <c r="C35" s="76" t="s">
        <v>109</v>
      </c>
      <c r="D35" s="61">
        <v>622</v>
      </c>
      <c r="E35" s="61">
        <v>160</v>
      </c>
      <c r="F35" s="61">
        <v>213</v>
      </c>
      <c r="G35" s="55">
        <v>0</v>
      </c>
      <c r="H35" s="62">
        <f t="shared" si="0"/>
        <v>373</v>
      </c>
      <c r="I35" s="55">
        <v>10</v>
      </c>
      <c r="J35" s="29">
        <v>0</v>
      </c>
      <c r="K35" s="18">
        <v>1</v>
      </c>
      <c r="L35" s="63" t="s">
        <v>29</v>
      </c>
      <c r="M35" s="12">
        <f>+'Form20 '!B36</f>
        <v>288</v>
      </c>
      <c r="N35" s="18">
        <v>2</v>
      </c>
      <c r="O35" s="58" t="s">
        <v>24</v>
      </c>
      <c r="P35" s="12">
        <f>+'Form20 '!C36</f>
        <v>3</v>
      </c>
      <c r="Q35" s="18">
        <v>3</v>
      </c>
      <c r="R35" s="63" t="s">
        <v>28</v>
      </c>
      <c r="S35" s="12">
        <f>+'Form20 '!D36</f>
        <v>65</v>
      </c>
      <c r="T35" s="18">
        <v>4</v>
      </c>
      <c r="U35" s="64" t="s">
        <v>65</v>
      </c>
      <c r="V35" s="12">
        <f>+'Form20 '!E36</f>
        <v>2</v>
      </c>
      <c r="W35" s="18">
        <v>5</v>
      </c>
      <c r="X35" s="58" t="s">
        <v>66</v>
      </c>
      <c r="Y35" s="12">
        <f>+'Form20 '!F36</f>
        <v>0</v>
      </c>
      <c r="Z35" s="18">
        <v>6</v>
      </c>
      <c r="AA35" s="64" t="s">
        <v>67</v>
      </c>
      <c r="AB35" s="12">
        <f>+'Form20 '!G36</f>
        <v>0</v>
      </c>
      <c r="AC35" s="18">
        <v>7</v>
      </c>
      <c r="AD35" s="63" t="s">
        <v>68</v>
      </c>
      <c r="AE35" s="12">
        <f>+'Form20 '!H36</f>
        <v>0</v>
      </c>
      <c r="AF35" s="18">
        <v>8</v>
      </c>
      <c r="AG35" s="63" t="s">
        <v>69</v>
      </c>
      <c r="AH35" s="12">
        <f>+'Form20 '!I36</f>
        <v>0</v>
      </c>
      <c r="AI35" s="18">
        <v>9</v>
      </c>
      <c r="AJ35" s="65" t="s">
        <v>70</v>
      </c>
      <c r="AK35" s="12">
        <f>+'Form20 '!J36</f>
        <v>5</v>
      </c>
      <c r="AL35" s="18">
        <v>10</v>
      </c>
      <c r="AM35" s="66" t="s">
        <v>30</v>
      </c>
      <c r="AN35" s="12">
        <f>+'Form20 '!K36</f>
        <v>0</v>
      </c>
      <c r="AO35" s="18">
        <v>11</v>
      </c>
      <c r="AP35" s="66" t="s">
        <v>30</v>
      </c>
      <c r="AQ35" s="12">
        <f>+'Form20 '!L36</f>
        <v>0</v>
      </c>
      <c r="AR35" s="18">
        <v>12</v>
      </c>
      <c r="AS35" s="66" t="s">
        <v>30</v>
      </c>
      <c r="AT35" s="12">
        <f>+'Form20 '!M36</f>
        <v>3</v>
      </c>
      <c r="AU35" s="18">
        <v>13</v>
      </c>
      <c r="AV35" s="66" t="s">
        <v>30</v>
      </c>
      <c r="AW35" s="12">
        <f>+'Form20 '!N36</f>
        <v>1</v>
      </c>
      <c r="AX35" s="18">
        <v>14</v>
      </c>
      <c r="AY35" s="66" t="s">
        <v>30</v>
      </c>
      <c r="AZ35" s="12">
        <f>+'Form20 '!O36</f>
        <v>0</v>
      </c>
      <c r="BA35" s="75">
        <f t="shared" si="1"/>
        <v>367</v>
      </c>
    </row>
    <row r="36" spans="1:53" s="67" customFormat="1" ht="59.25" customHeight="1">
      <c r="A36" s="18">
        <v>333</v>
      </c>
      <c r="B36" s="59">
        <v>30</v>
      </c>
      <c r="C36" s="76" t="s">
        <v>110</v>
      </c>
      <c r="D36" s="61">
        <v>890</v>
      </c>
      <c r="E36" s="61">
        <v>236</v>
      </c>
      <c r="F36" s="61">
        <v>275</v>
      </c>
      <c r="G36" s="55">
        <v>0</v>
      </c>
      <c r="H36" s="62">
        <f t="shared" si="0"/>
        <v>511</v>
      </c>
      <c r="I36" s="55">
        <v>136</v>
      </c>
      <c r="J36" s="29">
        <v>0</v>
      </c>
      <c r="K36" s="18">
        <v>1</v>
      </c>
      <c r="L36" s="63" t="s">
        <v>29</v>
      </c>
      <c r="M36" s="12">
        <f>+'Form20 '!B37</f>
        <v>150</v>
      </c>
      <c r="N36" s="18">
        <v>2</v>
      </c>
      <c r="O36" s="58" t="s">
        <v>24</v>
      </c>
      <c r="P36" s="12">
        <f>+'Form20 '!C37</f>
        <v>163</v>
      </c>
      <c r="Q36" s="18">
        <v>3</v>
      </c>
      <c r="R36" s="63" t="s">
        <v>28</v>
      </c>
      <c r="S36" s="12">
        <f>+'Form20 '!D37</f>
        <v>177</v>
      </c>
      <c r="T36" s="18">
        <v>4</v>
      </c>
      <c r="U36" s="64" t="s">
        <v>65</v>
      </c>
      <c r="V36" s="12">
        <f>+'Form20 '!E37</f>
        <v>5</v>
      </c>
      <c r="W36" s="18">
        <v>5</v>
      </c>
      <c r="X36" s="58" t="s">
        <v>66</v>
      </c>
      <c r="Y36" s="12">
        <f>+'Form20 '!F37</f>
        <v>2</v>
      </c>
      <c r="Z36" s="18">
        <v>6</v>
      </c>
      <c r="AA36" s="64" t="s">
        <v>67</v>
      </c>
      <c r="AB36" s="12">
        <f>+'Form20 '!G37</f>
        <v>0</v>
      </c>
      <c r="AC36" s="18">
        <v>7</v>
      </c>
      <c r="AD36" s="63" t="s">
        <v>68</v>
      </c>
      <c r="AE36" s="12">
        <f>+'Form20 '!H37</f>
        <v>1</v>
      </c>
      <c r="AF36" s="18">
        <v>8</v>
      </c>
      <c r="AG36" s="63" t="s">
        <v>69</v>
      </c>
      <c r="AH36" s="12">
        <f>+'Form20 '!I37</f>
        <v>0</v>
      </c>
      <c r="AI36" s="18">
        <v>9</v>
      </c>
      <c r="AJ36" s="65" t="s">
        <v>70</v>
      </c>
      <c r="AK36" s="12">
        <f>+'Form20 '!J37</f>
        <v>0</v>
      </c>
      <c r="AL36" s="18">
        <v>10</v>
      </c>
      <c r="AM36" s="66" t="s">
        <v>30</v>
      </c>
      <c r="AN36" s="12">
        <f>+'Form20 '!K37</f>
        <v>0</v>
      </c>
      <c r="AO36" s="18">
        <v>11</v>
      </c>
      <c r="AP36" s="66" t="s">
        <v>30</v>
      </c>
      <c r="AQ36" s="12">
        <f>+'Form20 '!L37</f>
        <v>0</v>
      </c>
      <c r="AR36" s="18">
        <v>12</v>
      </c>
      <c r="AS36" s="66" t="s">
        <v>30</v>
      </c>
      <c r="AT36" s="12">
        <f>+'Form20 '!M37</f>
        <v>6</v>
      </c>
      <c r="AU36" s="18">
        <v>13</v>
      </c>
      <c r="AV36" s="66" t="s">
        <v>30</v>
      </c>
      <c r="AW36" s="12">
        <f>+'Form20 '!N37</f>
        <v>1</v>
      </c>
      <c r="AX36" s="18">
        <v>14</v>
      </c>
      <c r="AY36" s="66" t="s">
        <v>30</v>
      </c>
      <c r="AZ36" s="12">
        <f>+'Form20 '!O37</f>
        <v>3</v>
      </c>
      <c r="BA36" s="75">
        <f t="shared" si="1"/>
        <v>508</v>
      </c>
    </row>
    <row r="37" spans="1:53" s="67" customFormat="1" ht="59.25" customHeight="1">
      <c r="A37" s="18">
        <v>333</v>
      </c>
      <c r="B37" s="59">
        <v>31</v>
      </c>
      <c r="C37" s="76" t="s">
        <v>111</v>
      </c>
      <c r="D37" s="61">
        <v>852</v>
      </c>
      <c r="E37" s="61">
        <v>251</v>
      </c>
      <c r="F37" s="61">
        <v>239</v>
      </c>
      <c r="G37" s="55">
        <v>0</v>
      </c>
      <c r="H37" s="62">
        <f t="shared" si="0"/>
        <v>490</v>
      </c>
      <c r="I37" s="55">
        <v>200</v>
      </c>
      <c r="J37" s="29">
        <v>0</v>
      </c>
      <c r="K37" s="18">
        <v>1</v>
      </c>
      <c r="L37" s="63" t="s">
        <v>29</v>
      </c>
      <c r="M37" s="12">
        <f>+'Form20 '!B38</f>
        <v>214</v>
      </c>
      <c r="N37" s="18">
        <v>2</v>
      </c>
      <c r="O37" s="58" t="s">
        <v>24</v>
      </c>
      <c r="P37" s="12">
        <f>+'Form20 '!C38</f>
        <v>34</v>
      </c>
      <c r="Q37" s="18">
        <v>3</v>
      </c>
      <c r="R37" s="63" t="s">
        <v>28</v>
      </c>
      <c r="S37" s="12">
        <f>+'Form20 '!D38</f>
        <v>194</v>
      </c>
      <c r="T37" s="18">
        <v>4</v>
      </c>
      <c r="U37" s="64" t="s">
        <v>65</v>
      </c>
      <c r="V37" s="12">
        <f>+'Form20 '!E38</f>
        <v>8</v>
      </c>
      <c r="W37" s="18">
        <v>5</v>
      </c>
      <c r="X37" s="58" t="s">
        <v>66</v>
      </c>
      <c r="Y37" s="12">
        <f>+'Form20 '!F38</f>
        <v>5</v>
      </c>
      <c r="Z37" s="18">
        <v>6</v>
      </c>
      <c r="AA37" s="64" t="s">
        <v>67</v>
      </c>
      <c r="AB37" s="12">
        <f>+'Form20 '!G38</f>
        <v>3</v>
      </c>
      <c r="AC37" s="18">
        <v>7</v>
      </c>
      <c r="AD37" s="63" t="s">
        <v>68</v>
      </c>
      <c r="AE37" s="12">
        <f>+'Form20 '!H38</f>
        <v>3</v>
      </c>
      <c r="AF37" s="18">
        <v>8</v>
      </c>
      <c r="AG37" s="63" t="s">
        <v>69</v>
      </c>
      <c r="AH37" s="12">
        <f>+'Form20 '!I38</f>
        <v>3</v>
      </c>
      <c r="AI37" s="18">
        <v>9</v>
      </c>
      <c r="AJ37" s="65" t="s">
        <v>70</v>
      </c>
      <c r="AK37" s="12">
        <f>+'Form20 '!J38</f>
        <v>4</v>
      </c>
      <c r="AL37" s="18">
        <v>10</v>
      </c>
      <c r="AM37" s="66" t="s">
        <v>30</v>
      </c>
      <c r="AN37" s="12">
        <f>+'Form20 '!K38</f>
        <v>3</v>
      </c>
      <c r="AO37" s="18">
        <v>11</v>
      </c>
      <c r="AP37" s="66" t="s">
        <v>30</v>
      </c>
      <c r="AQ37" s="12">
        <f>+'Form20 '!L38</f>
        <v>4</v>
      </c>
      <c r="AR37" s="18">
        <v>12</v>
      </c>
      <c r="AS37" s="66" t="s">
        <v>30</v>
      </c>
      <c r="AT37" s="12">
        <f>+'Form20 '!M38</f>
        <v>3</v>
      </c>
      <c r="AU37" s="18">
        <v>13</v>
      </c>
      <c r="AV37" s="66" t="s">
        <v>30</v>
      </c>
      <c r="AW37" s="12">
        <f>+'Form20 '!N38</f>
        <v>3</v>
      </c>
      <c r="AX37" s="18">
        <v>14</v>
      </c>
      <c r="AY37" s="66" t="s">
        <v>30</v>
      </c>
      <c r="AZ37" s="12">
        <f>+'Form20 '!O38</f>
        <v>3</v>
      </c>
      <c r="BA37" s="75">
        <f t="shared" si="1"/>
        <v>484</v>
      </c>
    </row>
    <row r="38" spans="1:53" s="67" customFormat="1" ht="59.25" customHeight="1">
      <c r="A38" s="18">
        <v>333</v>
      </c>
      <c r="B38" s="59">
        <v>32</v>
      </c>
      <c r="C38" s="76" t="s">
        <v>112</v>
      </c>
      <c r="D38" s="61">
        <v>1042</v>
      </c>
      <c r="E38" s="61">
        <v>238</v>
      </c>
      <c r="F38" s="61">
        <v>268</v>
      </c>
      <c r="G38" s="55">
        <v>0</v>
      </c>
      <c r="H38" s="62">
        <f t="shared" si="0"/>
        <v>506</v>
      </c>
      <c r="I38" s="55">
        <v>106</v>
      </c>
      <c r="J38" s="29">
        <v>0</v>
      </c>
      <c r="K38" s="18">
        <v>1</v>
      </c>
      <c r="L38" s="63" t="s">
        <v>29</v>
      </c>
      <c r="M38" s="12">
        <f>+'Form20 '!B39</f>
        <v>206</v>
      </c>
      <c r="N38" s="18">
        <v>2</v>
      </c>
      <c r="O38" s="58" t="s">
        <v>24</v>
      </c>
      <c r="P38" s="12">
        <f>+'Form20 '!C39</f>
        <v>31</v>
      </c>
      <c r="Q38" s="18">
        <v>3</v>
      </c>
      <c r="R38" s="63" t="s">
        <v>28</v>
      </c>
      <c r="S38" s="12">
        <f>+'Form20 '!D39</f>
        <v>248</v>
      </c>
      <c r="T38" s="18">
        <v>4</v>
      </c>
      <c r="U38" s="64" t="s">
        <v>65</v>
      </c>
      <c r="V38" s="12">
        <f>+'Form20 '!E39</f>
        <v>2</v>
      </c>
      <c r="W38" s="18">
        <v>5</v>
      </c>
      <c r="X38" s="58" t="s">
        <v>66</v>
      </c>
      <c r="Y38" s="12">
        <f>+'Form20 '!F39</f>
        <v>0</v>
      </c>
      <c r="Z38" s="18">
        <v>6</v>
      </c>
      <c r="AA38" s="64" t="s">
        <v>67</v>
      </c>
      <c r="AB38" s="12">
        <f>+'Form20 '!G39</f>
        <v>0</v>
      </c>
      <c r="AC38" s="18">
        <v>7</v>
      </c>
      <c r="AD38" s="63" t="s">
        <v>68</v>
      </c>
      <c r="AE38" s="12">
        <f>+'Form20 '!H39</f>
        <v>0</v>
      </c>
      <c r="AF38" s="18">
        <v>8</v>
      </c>
      <c r="AG38" s="63" t="s">
        <v>69</v>
      </c>
      <c r="AH38" s="12">
        <f>+'Form20 '!I39</f>
        <v>2</v>
      </c>
      <c r="AI38" s="18">
        <v>9</v>
      </c>
      <c r="AJ38" s="65" t="s">
        <v>70</v>
      </c>
      <c r="AK38" s="12">
        <f>+'Form20 '!J39</f>
        <v>8</v>
      </c>
      <c r="AL38" s="18">
        <v>10</v>
      </c>
      <c r="AM38" s="66" t="s">
        <v>30</v>
      </c>
      <c r="AN38" s="12">
        <f>+'Form20 '!K39</f>
        <v>2</v>
      </c>
      <c r="AO38" s="18">
        <v>11</v>
      </c>
      <c r="AP38" s="66" t="s">
        <v>30</v>
      </c>
      <c r="AQ38" s="12">
        <f>+'Form20 '!L39</f>
        <v>1</v>
      </c>
      <c r="AR38" s="18">
        <v>12</v>
      </c>
      <c r="AS38" s="66" t="s">
        <v>30</v>
      </c>
      <c r="AT38" s="12">
        <f>+'Form20 '!M39</f>
        <v>1</v>
      </c>
      <c r="AU38" s="18">
        <v>13</v>
      </c>
      <c r="AV38" s="66" t="s">
        <v>30</v>
      </c>
      <c r="AW38" s="12">
        <f>+'Form20 '!N39</f>
        <v>0</v>
      </c>
      <c r="AX38" s="18">
        <v>14</v>
      </c>
      <c r="AY38" s="66" t="s">
        <v>30</v>
      </c>
      <c r="AZ38" s="12">
        <f>+'Form20 '!O39</f>
        <v>2</v>
      </c>
      <c r="BA38" s="75">
        <f t="shared" si="1"/>
        <v>503</v>
      </c>
    </row>
    <row r="39" spans="1:53" s="67" customFormat="1" ht="59.25" customHeight="1">
      <c r="A39" s="18">
        <v>333</v>
      </c>
      <c r="B39" s="59">
        <v>33</v>
      </c>
      <c r="C39" s="76" t="s">
        <v>113</v>
      </c>
      <c r="D39" s="61">
        <v>951</v>
      </c>
      <c r="E39" s="61">
        <v>277</v>
      </c>
      <c r="F39" s="61">
        <v>330</v>
      </c>
      <c r="G39" s="55">
        <v>0</v>
      </c>
      <c r="H39" s="62">
        <f t="shared" si="0"/>
        <v>607</v>
      </c>
      <c r="I39" s="55">
        <v>125</v>
      </c>
      <c r="J39" s="29">
        <v>0</v>
      </c>
      <c r="K39" s="18">
        <v>1</v>
      </c>
      <c r="L39" s="63" t="s">
        <v>29</v>
      </c>
      <c r="M39" s="12">
        <f>+'Form20 '!B40</f>
        <v>145</v>
      </c>
      <c r="N39" s="18">
        <v>2</v>
      </c>
      <c r="O39" s="58" t="s">
        <v>24</v>
      </c>
      <c r="P39" s="12">
        <f>+'Form20 '!C40</f>
        <v>11</v>
      </c>
      <c r="Q39" s="18">
        <v>3</v>
      </c>
      <c r="R39" s="63" t="s">
        <v>28</v>
      </c>
      <c r="S39" s="12">
        <f>+'Form20 '!D40</f>
        <v>420</v>
      </c>
      <c r="T39" s="18">
        <v>4</v>
      </c>
      <c r="U39" s="64" t="s">
        <v>65</v>
      </c>
      <c r="V39" s="12">
        <f>+'Form20 '!E40</f>
        <v>3</v>
      </c>
      <c r="W39" s="18">
        <v>5</v>
      </c>
      <c r="X39" s="58" t="s">
        <v>66</v>
      </c>
      <c r="Y39" s="12">
        <f>+'Form20 '!F40</f>
        <v>0</v>
      </c>
      <c r="Z39" s="18">
        <v>6</v>
      </c>
      <c r="AA39" s="64" t="s">
        <v>67</v>
      </c>
      <c r="AB39" s="12">
        <f>+'Form20 '!G40</f>
        <v>0</v>
      </c>
      <c r="AC39" s="18">
        <v>7</v>
      </c>
      <c r="AD39" s="63" t="s">
        <v>68</v>
      </c>
      <c r="AE39" s="12">
        <f>+'Form20 '!H40</f>
        <v>0</v>
      </c>
      <c r="AF39" s="18">
        <v>8</v>
      </c>
      <c r="AG39" s="63" t="s">
        <v>69</v>
      </c>
      <c r="AH39" s="12">
        <f>+'Form20 '!I40</f>
        <v>2</v>
      </c>
      <c r="AI39" s="18">
        <v>9</v>
      </c>
      <c r="AJ39" s="65" t="s">
        <v>70</v>
      </c>
      <c r="AK39" s="12">
        <f>+'Form20 '!J40</f>
        <v>9</v>
      </c>
      <c r="AL39" s="18">
        <v>10</v>
      </c>
      <c r="AM39" s="66" t="s">
        <v>30</v>
      </c>
      <c r="AN39" s="12">
        <f>+'Form20 '!K40</f>
        <v>1</v>
      </c>
      <c r="AO39" s="18">
        <v>11</v>
      </c>
      <c r="AP39" s="66" t="s">
        <v>30</v>
      </c>
      <c r="AQ39" s="12">
        <f>+'Form20 '!L40</f>
        <v>0</v>
      </c>
      <c r="AR39" s="18">
        <v>12</v>
      </c>
      <c r="AS39" s="66" t="s">
        <v>30</v>
      </c>
      <c r="AT39" s="12">
        <f>+'Form20 '!M40</f>
        <v>7</v>
      </c>
      <c r="AU39" s="18">
        <v>13</v>
      </c>
      <c r="AV39" s="66" t="s">
        <v>30</v>
      </c>
      <c r="AW39" s="12">
        <f>+'Form20 '!N40</f>
        <v>3</v>
      </c>
      <c r="AX39" s="18">
        <v>14</v>
      </c>
      <c r="AY39" s="66" t="s">
        <v>30</v>
      </c>
      <c r="AZ39" s="12">
        <f>+'Form20 '!O40</f>
        <v>1</v>
      </c>
      <c r="BA39" s="75">
        <f t="shared" si="1"/>
        <v>602</v>
      </c>
    </row>
    <row r="40" spans="1:53" s="67" customFormat="1" ht="59.25" customHeight="1">
      <c r="A40" s="18">
        <v>333</v>
      </c>
      <c r="B40" s="59">
        <v>34</v>
      </c>
      <c r="C40" s="76" t="s">
        <v>114</v>
      </c>
      <c r="D40" s="61">
        <v>1012</v>
      </c>
      <c r="E40" s="61">
        <v>216</v>
      </c>
      <c r="F40" s="61">
        <v>281</v>
      </c>
      <c r="G40" s="55">
        <v>0</v>
      </c>
      <c r="H40" s="62">
        <f t="shared" si="0"/>
        <v>497</v>
      </c>
      <c r="I40" s="55">
        <v>19</v>
      </c>
      <c r="J40" s="29">
        <v>0</v>
      </c>
      <c r="K40" s="18">
        <v>1</v>
      </c>
      <c r="L40" s="63" t="s">
        <v>29</v>
      </c>
      <c r="M40" s="12">
        <f>+'Form20 '!B41</f>
        <v>184</v>
      </c>
      <c r="N40" s="18">
        <v>2</v>
      </c>
      <c r="O40" s="58" t="s">
        <v>24</v>
      </c>
      <c r="P40" s="12">
        <f>+'Form20 '!C41</f>
        <v>50</v>
      </c>
      <c r="Q40" s="18">
        <v>3</v>
      </c>
      <c r="R40" s="63" t="s">
        <v>28</v>
      </c>
      <c r="S40" s="12">
        <f>+'Form20 '!D41</f>
        <v>227</v>
      </c>
      <c r="T40" s="18">
        <v>4</v>
      </c>
      <c r="U40" s="64" t="s">
        <v>65</v>
      </c>
      <c r="V40" s="12">
        <f>+'Form20 '!E41</f>
        <v>3</v>
      </c>
      <c r="W40" s="18">
        <v>5</v>
      </c>
      <c r="X40" s="58" t="s">
        <v>66</v>
      </c>
      <c r="Y40" s="12">
        <f>+'Form20 '!F41</f>
        <v>0</v>
      </c>
      <c r="Z40" s="18">
        <v>6</v>
      </c>
      <c r="AA40" s="64" t="s">
        <v>67</v>
      </c>
      <c r="AB40" s="12">
        <f>+'Form20 '!G41</f>
        <v>0</v>
      </c>
      <c r="AC40" s="18">
        <v>7</v>
      </c>
      <c r="AD40" s="63" t="s">
        <v>68</v>
      </c>
      <c r="AE40" s="12">
        <f>+'Form20 '!H41</f>
        <v>0</v>
      </c>
      <c r="AF40" s="18">
        <v>8</v>
      </c>
      <c r="AG40" s="63" t="s">
        <v>69</v>
      </c>
      <c r="AH40" s="12">
        <f>+'Form20 '!I41</f>
        <v>1</v>
      </c>
      <c r="AI40" s="18">
        <v>9</v>
      </c>
      <c r="AJ40" s="65" t="s">
        <v>70</v>
      </c>
      <c r="AK40" s="12">
        <f>+'Form20 '!J41</f>
        <v>3</v>
      </c>
      <c r="AL40" s="18">
        <v>10</v>
      </c>
      <c r="AM40" s="66" t="s">
        <v>30</v>
      </c>
      <c r="AN40" s="12">
        <f>+'Form20 '!K41</f>
        <v>1</v>
      </c>
      <c r="AO40" s="18">
        <v>11</v>
      </c>
      <c r="AP40" s="66" t="s">
        <v>30</v>
      </c>
      <c r="AQ40" s="12">
        <f>+'Form20 '!L41</f>
        <v>2</v>
      </c>
      <c r="AR40" s="18">
        <v>12</v>
      </c>
      <c r="AS40" s="66" t="s">
        <v>30</v>
      </c>
      <c r="AT40" s="12">
        <f>+'Form20 '!M41</f>
        <v>4</v>
      </c>
      <c r="AU40" s="18">
        <v>13</v>
      </c>
      <c r="AV40" s="66" t="s">
        <v>30</v>
      </c>
      <c r="AW40" s="12">
        <f>+'Form20 '!N41</f>
        <v>8</v>
      </c>
      <c r="AX40" s="18">
        <v>14</v>
      </c>
      <c r="AY40" s="66" t="s">
        <v>30</v>
      </c>
      <c r="AZ40" s="12">
        <f>+'Form20 '!O41</f>
        <v>6</v>
      </c>
      <c r="BA40" s="75">
        <f t="shared" si="1"/>
        <v>489</v>
      </c>
    </row>
    <row r="41" spans="1:53" s="67" customFormat="1" ht="59.25" customHeight="1">
      <c r="A41" s="18">
        <v>333</v>
      </c>
      <c r="B41" s="59">
        <v>35</v>
      </c>
      <c r="C41" s="76" t="s">
        <v>115</v>
      </c>
      <c r="D41" s="61">
        <v>1045</v>
      </c>
      <c r="E41" s="61">
        <v>336</v>
      </c>
      <c r="F41" s="61">
        <v>305</v>
      </c>
      <c r="G41" s="55">
        <v>0</v>
      </c>
      <c r="H41" s="62">
        <f t="shared" si="0"/>
        <v>641</v>
      </c>
      <c r="I41" s="55">
        <v>336</v>
      </c>
      <c r="J41" s="29">
        <v>0</v>
      </c>
      <c r="K41" s="18">
        <v>1</v>
      </c>
      <c r="L41" s="63" t="s">
        <v>29</v>
      </c>
      <c r="M41" s="12">
        <f>+'Form20 '!B42</f>
        <v>568</v>
      </c>
      <c r="N41" s="18">
        <v>2</v>
      </c>
      <c r="O41" s="58" t="s">
        <v>24</v>
      </c>
      <c r="P41" s="12">
        <f>+'Form20 '!C42</f>
        <v>29</v>
      </c>
      <c r="Q41" s="18">
        <v>3</v>
      </c>
      <c r="R41" s="63" t="s">
        <v>28</v>
      </c>
      <c r="S41" s="12">
        <f>+'Form20 '!D42</f>
        <v>34</v>
      </c>
      <c r="T41" s="18">
        <v>4</v>
      </c>
      <c r="U41" s="64" t="s">
        <v>65</v>
      </c>
      <c r="V41" s="12">
        <f>+'Form20 '!E42</f>
        <v>4</v>
      </c>
      <c r="W41" s="18">
        <v>5</v>
      </c>
      <c r="X41" s="58" t="s">
        <v>66</v>
      </c>
      <c r="Y41" s="12">
        <f>+'Form20 '!F42</f>
        <v>0</v>
      </c>
      <c r="Z41" s="18">
        <v>6</v>
      </c>
      <c r="AA41" s="64" t="s">
        <v>67</v>
      </c>
      <c r="AB41" s="12">
        <f>+'Form20 '!G42</f>
        <v>0</v>
      </c>
      <c r="AC41" s="18">
        <v>7</v>
      </c>
      <c r="AD41" s="63" t="s">
        <v>68</v>
      </c>
      <c r="AE41" s="12">
        <f>+'Form20 '!H42</f>
        <v>1</v>
      </c>
      <c r="AF41" s="18">
        <v>8</v>
      </c>
      <c r="AG41" s="63" t="s">
        <v>69</v>
      </c>
      <c r="AH41" s="12">
        <f>+'Form20 '!I42</f>
        <v>0</v>
      </c>
      <c r="AI41" s="18">
        <v>9</v>
      </c>
      <c r="AJ41" s="65" t="s">
        <v>70</v>
      </c>
      <c r="AK41" s="12">
        <f>+'Form20 '!J42</f>
        <v>0</v>
      </c>
      <c r="AL41" s="18">
        <v>10</v>
      </c>
      <c r="AM41" s="66" t="s">
        <v>30</v>
      </c>
      <c r="AN41" s="12">
        <f>+'Form20 '!K42</f>
        <v>1</v>
      </c>
      <c r="AO41" s="18">
        <v>11</v>
      </c>
      <c r="AP41" s="66" t="s">
        <v>30</v>
      </c>
      <c r="AQ41" s="12">
        <f>+'Form20 '!L42</f>
        <v>0</v>
      </c>
      <c r="AR41" s="18">
        <v>12</v>
      </c>
      <c r="AS41" s="66" t="s">
        <v>30</v>
      </c>
      <c r="AT41" s="12">
        <f>+'Form20 '!M42</f>
        <v>0</v>
      </c>
      <c r="AU41" s="18">
        <v>13</v>
      </c>
      <c r="AV41" s="66" t="s">
        <v>30</v>
      </c>
      <c r="AW41" s="12">
        <f>+'Form20 '!N42</f>
        <v>0</v>
      </c>
      <c r="AX41" s="18">
        <v>14</v>
      </c>
      <c r="AY41" s="66" t="s">
        <v>30</v>
      </c>
      <c r="AZ41" s="12">
        <f>+'Form20 '!O42</f>
        <v>0</v>
      </c>
      <c r="BA41" s="75">
        <f t="shared" si="1"/>
        <v>637</v>
      </c>
    </row>
    <row r="42" spans="1:53" s="67" customFormat="1" ht="59.25" customHeight="1">
      <c r="A42" s="18">
        <v>333</v>
      </c>
      <c r="B42" s="59">
        <v>36</v>
      </c>
      <c r="C42" s="76" t="s">
        <v>116</v>
      </c>
      <c r="D42" s="61">
        <v>785</v>
      </c>
      <c r="E42" s="61">
        <v>245</v>
      </c>
      <c r="F42" s="61">
        <v>245</v>
      </c>
      <c r="G42" s="55">
        <v>0</v>
      </c>
      <c r="H42" s="62">
        <f t="shared" si="0"/>
        <v>490</v>
      </c>
      <c r="I42" s="55">
        <v>26</v>
      </c>
      <c r="J42" s="29">
        <v>0</v>
      </c>
      <c r="K42" s="18">
        <v>1</v>
      </c>
      <c r="L42" s="63" t="s">
        <v>29</v>
      </c>
      <c r="M42" s="12">
        <f>+'Form20 '!B43</f>
        <v>386</v>
      </c>
      <c r="N42" s="18">
        <v>2</v>
      </c>
      <c r="O42" s="58" t="s">
        <v>24</v>
      </c>
      <c r="P42" s="12">
        <f>+'Form20 '!C43</f>
        <v>29</v>
      </c>
      <c r="Q42" s="18">
        <v>3</v>
      </c>
      <c r="R42" s="63" t="s">
        <v>28</v>
      </c>
      <c r="S42" s="12">
        <f>+'Form20 '!D43</f>
        <v>58</v>
      </c>
      <c r="T42" s="18">
        <v>4</v>
      </c>
      <c r="U42" s="64" t="s">
        <v>65</v>
      </c>
      <c r="V42" s="12">
        <f>+'Form20 '!E43</f>
        <v>1</v>
      </c>
      <c r="W42" s="18">
        <v>5</v>
      </c>
      <c r="X42" s="58" t="s">
        <v>66</v>
      </c>
      <c r="Y42" s="12">
        <f>+'Form20 '!F43</f>
        <v>0</v>
      </c>
      <c r="Z42" s="18">
        <v>6</v>
      </c>
      <c r="AA42" s="64" t="s">
        <v>67</v>
      </c>
      <c r="AB42" s="12">
        <f>+'Form20 '!G43</f>
        <v>0</v>
      </c>
      <c r="AC42" s="18">
        <v>7</v>
      </c>
      <c r="AD42" s="63" t="s">
        <v>68</v>
      </c>
      <c r="AE42" s="12">
        <f>+'Form20 '!H43</f>
        <v>0</v>
      </c>
      <c r="AF42" s="18">
        <v>8</v>
      </c>
      <c r="AG42" s="63" t="s">
        <v>69</v>
      </c>
      <c r="AH42" s="12">
        <f>+'Form20 '!I43</f>
        <v>1</v>
      </c>
      <c r="AI42" s="18">
        <v>9</v>
      </c>
      <c r="AJ42" s="65" t="s">
        <v>70</v>
      </c>
      <c r="AK42" s="12">
        <f>+'Form20 '!J43</f>
        <v>4</v>
      </c>
      <c r="AL42" s="18">
        <v>10</v>
      </c>
      <c r="AM42" s="66" t="s">
        <v>30</v>
      </c>
      <c r="AN42" s="12">
        <f>+'Form20 '!K43</f>
        <v>1</v>
      </c>
      <c r="AO42" s="18">
        <v>11</v>
      </c>
      <c r="AP42" s="66" t="s">
        <v>30</v>
      </c>
      <c r="AQ42" s="12">
        <f>+'Form20 '!L43</f>
        <v>4</v>
      </c>
      <c r="AR42" s="18">
        <v>12</v>
      </c>
      <c r="AS42" s="66" t="s">
        <v>30</v>
      </c>
      <c r="AT42" s="12">
        <f>+'Form20 '!M43</f>
        <v>3</v>
      </c>
      <c r="AU42" s="18">
        <v>13</v>
      </c>
      <c r="AV42" s="66" t="s">
        <v>30</v>
      </c>
      <c r="AW42" s="12">
        <f>+'Form20 '!N43</f>
        <v>0</v>
      </c>
      <c r="AX42" s="18">
        <v>14</v>
      </c>
      <c r="AY42" s="66" t="s">
        <v>30</v>
      </c>
      <c r="AZ42" s="12">
        <f>+'Form20 '!O43</f>
        <v>1</v>
      </c>
      <c r="BA42" s="75">
        <f t="shared" si="1"/>
        <v>488</v>
      </c>
    </row>
    <row r="43" spans="1:53" s="67" customFormat="1" ht="59.25" customHeight="1">
      <c r="A43" s="18">
        <v>333</v>
      </c>
      <c r="B43" s="59">
        <v>37</v>
      </c>
      <c r="C43" s="76" t="s">
        <v>117</v>
      </c>
      <c r="D43" s="61">
        <v>891</v>
      </c>
      <c r="E43" s="61">
        <v>252</v>
      </c>
      <c r="F43" s="61">
        <v>270</v>
      </c>
      <c r="G43" s="55">
        <v>0</v>
      </c>
      <c r="H43" s="62">
        <f t="shared" si="0"/>
        <v>522</v>
      </c>
      <c r="I43" s="55">
        <v>40</v>
      </c>
      <c r="J43" s="29">
        <v>0</v>
      </c>
      <c r="K43" s="18">
        <v>1</v>
      </c>
      <c r="L43" s="63" t="s">
        <v>29</v>
      </c>
      <c r="M43" s="12">
        <f>+'Form20 '!B44</f>
        <v>216</v>
      </c>
      <c r="N43" s="18">
        <v>2</v>
      </c>
      <c r="O43" s="58" t="s">
        <v>24</v>
      </c>
      <c r="P43" s="12">
        <f>+'Form20 '!C44</f>
        <v>25</v>
      </c>
      <c r="Q43" s="18">
        <v>3</v>
      </c>
      <c r="R43" s="63" t="s">
        <v>28</v>
      </c>
      <c r="S43" s="12">
        <f>+'Form20 '!D44</f>
        <v>228</v>
      </c>
      <c r="T43" s="18">
        <v>4</v>
      </c>
      <c r="U43" s="64" t="s">
        <v>65</v>
      </c>
      <c r="V43" s="12">
        <f>+'Form20 '!E44</f>
        <v>5</v>
      </c>
      <c r="W43" s="18">
        <v>5</v>
      </c>
      <c r="X43" s="58" t="s">
        <v>66</v>
      </c>
      <c r="Y43" s="12">
        <f>+'Form20 '!F44</f>
        <v>1</v>
      </c>
      <c r="Z43" s="18">
        <v>6</v>
      </c>
      <c r="AA43" s="64" t="s">
        <v>67</v>
      </c>
      <c r="AB43" s="12">
        <f>+'Form20 '!G44</f>
        <v>1</v>
      </c>
      <c r="AC43" s="18">
        <v>7</v>
      </c>
      <c r="AD43" s="63" t="s">
        <v>68</v>
      </c>
      <c r="AE43" s="12">
        <f>+'Form20 '!H44</f>
        <v>1</v>
      </c>
      <c r="AF43" s="18">
        <v>8</v>
      </c>
      <c r="AG43" s="63" t="s">
        <v>69</v>
      </c>
      <c r="AH43" s="12">
        <f>+'Form20 '!I44</f>
        <v>1</v>
      </c>
      <c r="AI43" s="18">
        <v>9</v>
      </c>
      <c r="AJ43" s="65" t="s">
        <v>70</v>
      </c>
      <c r="AK43" s="12">
        <f>+'Form20 '!J44</f>
        <v>37</v>
      </c>
      <c r="AL43" s="18">
        <v>10</v>
      </c>
      <c r="AM43" s="66" t="s">
        <v>30</v>
      </c>
      <c r="AN43" s="12">
        <f>+'Form20 '!K44</f>
        <v>0</v>
      </c>
      <c r="AO43" s="18">
        <v>11</v>
      </c>
      <c r="AP43" s="66" t="s">
        <v>30</v>
      </c>
      <c r="AQ43" s="12">
        <f>+'Form20 '!L44</f>
        <v>0</v>
      </c>
      <c r="AR43" s="18">
        <v>12</v>
      </c>
      <c r="AS43" s="66" t="s">
        <v>30</v>
      </c>
      <c r="AT43" s="12">
        <f>+'Form20 '!M44</f>
        <v>2</v>
      </c>
      <c r="AU43" s="18">
        <v>13</v>
      </c>
      <c r="AV43" s="66" t="s">
        <v>30</v>
      </c>
      <c r="AW43" s="12">
        <f>+'Form20 '!N44</f>
        <v>2</v>
      </c>
      <c r="AX43" s="18">
        <v>14</v>
      </c>
      <c r="AY43" s="66" t="s">
        <v>30</v>
      </c>
      <c r="AZ43" s="12">
        <f>+'Form20 '!O44</f>
        <v>0</v>
      </c>
      <c r="BA43" s="75">
        <f t="shared" si="1"/>
        <v>519</v>
      </c>
    </row>
    <row r="44" spans="1:53" s="67" customFormat="1" ht="59.25" customHeight="1">
      <c r="A44" s="18">
        <v>333</v>
      </c>
      <c r="B44" s="59">
        <v>38</v>
      </c>
      <c r="C44" s="76" t="s">
        <v>118</v>
      </c>
      <c r="D44" s="61">
        <v>938</v>
      </c>
      <c r="E44" s="61">
        <v>252</v>
      </c>
      <c r="F44" s="61">
        <v>247</v>
      </c>
      <c r="G44" s="55">
        <v>0</v>
      </c>
      <c r="H44" s="62">
        <f t="shared" si="0"/>
        <v>499</v>
      </c>
      <c r="I44" s="55">
        <v>110</v>
      </c>
      <c r="J44" s="29">
        <v>0</v>
      </c>
      <c r="K44" s="18">
        <v>1</v>
      </c>
      <c r="L44" s="63" t="s">
        <v>29</v>
      </c>
      <c r="M44" s="12">
        <f>+'Form20 '!B45</f>
        <v>211</v>
      </c>
      <c r="N44" s="18">
        <v>2</v>
      </c>
      <c r="O44" s="58" t="s">
        <v>24</v>
      </c>
      <c r="P44" s="12">
        <f>+'Form20 '!C45</f>
        <v>24</v>
      </c>
      <c r="Q44" s="18">
        <v>3</v>
      </c>
      <c r="R44" s="63" t="s">
        <v>28</v>
      </c>
      <c r="S44" s="12">
        <f>+'Form20 '!D45</f>
        <v>208</v>
      </c>
      <c r="T44" s="18">
        <v>4</v>
      </c>
      <c r="U44" s="64" t="s">
        <v>65</v>
      </c>
      <c r="V44" s="12">
        <f>+'Form20 '!E45</f>
        <v>1</v>
      </c>
      <c r="W44" s="18">
        <v>5</v>
      </c>
      <c r="X44" s="58" t="s">
        <v>66</v>
      </c>
      <c r="Y44" s="12">
        <f>+'Form20 '!F45</f>
        <v>0</v>
      </c>
      <c r="Z44" s="18">
        <v>6</v>
      </c>
      <c r="AA44" s="64" t="s">
        <v>67</v>
      </c>
      <c r="AB44" s="12">
        <f>+'Form20 '!G45</f>
        <v>1</v>
      </c>
      <c r="AC44" s="18">
        <v>7</v>
      </c>
      <c r="AD44" s="63" t="s">
        <v>68</v>
      </c>
      <c r="AE44" s="12">
        <f>+'Form20 '!H45</f>
        <v>1</v>
      </c>
      <c r="AF44" s="18">
        <v>8</v>
      </c>
      <c r="AG44" s="63" t="s">
        <v>69</v>
      </c>
      <c r="AH44" s="12">
        <f>+'Form20 '!I45</f>
        <v>0</v>
      </c>
      <c r="AI44" s="18">
        <v>9</v>
      </c>
      <c r="AJ44" s="65" t="s">
        <v>70</v>
      </c>
      <c r="AK44" s="12">
        <f>+'Form20 '!J45</f>
        <v>48</v>
      </c>
      <c r="AL44" s="18">
        <v>10</v>
      </c>
      <c r="AM44" s="66" t="s">
        <v>30</v>
      </c>
      <c r="AN44" s="12">
        <f>+'Form20 '!K45</f>
        <v>0</v>
      </c>
      <c r="AO44" s="18">
        <v>11</v>
      </c>
      <c r="AP44" s="66" t="s">
        <v>30</v>
      </c>
      <c r="AQ44" s="12">
        <f>+'Form20 '!L45</f>
        <v>0</v>
      </c>
      <c r="AR44" s="18">
        <v>12</v>
      </c>
      <c r="AS44" s="66" t="s">
        <v>30</v>
      </c>
      <c r="AT44" s="12">
        <f>+'Form20 '!M45</f>
        <v>0</v>
      </c>
      <c r="AU44" s="18">
        <v>13</v>
      </c>
      <c r="AV44" s="66" t="s">
        <v>30</v>
      </c>
      <c r="AW44" s="12">
        <f>+'Form20 '!N45</f>
        <v>3</v>
      </c>
      <c r="AX44" s="18">
        <v>14</v>
      </c>
      <c r="AY44" s="66" t="s">
        <v>30</v>
      </c>
      <c r="AZ44" s="12">
        <f>+'Form20 '!O45</f>
        <v>0</v>
      </c>
      <c r="BA44" s="75">
        <f t="shared" si="1"/>
        <v>497</v>
      </c>
    </row>
    <row r="45" spans="1:53" s="67" customFormat="1" ht="59.25" customHeight="1">
      <c r="A45" s="18">
        <v>333</v>
      </c>
      <c r="B45" s="59">
        <v>39</v>
      </c>
      <c r="C45" s="76" t="s">
        <v>119</v>
      </c>
      <c r="D45" s="61">
        <v>1135</v>
      </c>
      <c r="E45" s="61">
        <v>334</v>
      </c>
      <c r="F45" s="61">
        <v>330</v>
      </c>
      <c r="G45" s="55">
        <v>0</v>
      </c>
      <c r="H45" s="62">
        <f t="shared" si="0"/>
        <v>664</v>
      </c>
      <c r="I45" s="55">
        <v>76</v>
      </c>
      <c r="J45" s="29">
        <v>0</v>
      </c>
      <c r="K45" s="18">
        <v>1</v>
      </c>
      <c r="L45" s="63" t="s">
        <v>29</v>
      </c>
      <c r="M45" s="12">
        <f>+'Form20 '!B46</f>
        <v>171</v>
      </c>
      <c r="N45" s="18">
        <v>2</v>
      </c>
      <c r="O45" s="58" t="s">
        <v>24</v>
      </c>
      <c r="P45" s="12">
        <f>+'Form20 '!C46</f>
        <v>9</v>
      </c>
      <c r="Q45" s="18">
        <v>3</v>
      </c>
      <c r="R45" s="63" t="s">
        <v>28</v>
      </c>
      <c r="S45" s="12">
        <f>+'Form20 '!D46</f>
        <v>437</v>
      </c>
      <c r="T45" s="18">
        <v>4</v>
      </c>
      <c r="U45" s="64" t="s">
        <v>65</v>
      </c>
      <c r="V45" s="12">
        <f>+'Form20 '!E46</f>
        <v>5</v>
      </c>
      <c r="W45" s="18">
        <v>5</v>
      </c>
      <c r="X45" s="58" t="s">
        <v>66</v>
      </c>
      <c r="Y45" s="12">
        <f>+'Form20 '!F46</f>
        <v>0</v>
      </c>
      <c r="Z45" s="18">
        <v>6</v>
      </c>
      <c r="AA45" s="64" t="s">
        <v>67</v>
      </c>
      <c r="AB45" s="12">
        <f>+'Form20 '!G46</f>
        <v>0</v>
      </c>
      <c r="AC45" s="18">
        <v>7</v>
      </c>
      <c r="AD45" s="63" t="s">
        <v>68</v>
      </c>
      <c r="AE45" s="12">
        <f>+'Form20 '!H46</f>
        <v>0</v>
      </c>
      <c r="AF45" s="18">
        <v>8</v>
      </c>
      <c r="AG45" s="63" t="s">
        <v>69</v>
      </c>
      <c r="AH45" s="12">
        <f>+'Form20 '!I46</f>
        <v>2</v>
      </c>
      <c r="AI45" s="18">
        <v>9</v>
      </c>
      <c r="AJ45" s="65" t="s">
        <v>70</v>
      </c>
      <c r="AK45" s="12">
        <f>+'Form20 '!J46</f>
        <v>37</v>
      </c>
      <c r="AL45" s="18">
        <v>10</v>
      </c>
      <c r="AM45" s="66" t="s">
        <v>30</v>
      </c>
      <c r="AN45" s="12">
        <f>+'Form20 '!K46</f>
        <v>0</v>
      </c>
      <c r="AO45" s="18">
        <v>11</v>
      </c>
      <c r="AP45" s="66" t="s">
        <v>30</v>
      </c>
      <c r="AQ45" s="12">
        <f>+'Form20 '!L46</f>
        <v>0</v>
      </c>
      <c r="AR45" s="18">
        <v>12</v>
      </c>
      <c r="AS45" s="66" t="s">
        <v>30</v>
      </c>
      <c r="AT45" s="12">
        <f>+'Form20 '!M46</f>
        <v>1</v>
      </c>
      <c r="AU45" s="18">
        <v>13</v>
      </c>
      <c r="AV45" s="66" t="s">
        <v>30</v>
      </c>
      <c r="AW45" s="12">
        <f>+'Form20 '!N46</f>
        <v>0</v>
      </c>
      <c r="AX45" s="18">
        <v>14</v>
      </c>
      <c r="AY45" s="66" t="s">
        <v>30</v>
      </c>
      <c r="AZ45" s="12">
        <f>+'Form20 '!O46</f>
        <v>1</v>
      </c>
      <c r="BA45" s="75">
        <f t="shared" si="1"/>
        <v>663</v>
      </c>
    </row>
    <row r="46" spans="1:53" s="67" customFormat="1" ht="59.25" customHeight="1">
      <c r="A46" s="18">
        <v>333</v>
      </c>
      <c r="B46" s="59">
        <v>40</v>
      </c>
      <c r="C46" s="76" t="s">
        <v>120</v>
      </c>
      <c r="D46" s="61">
        <v>870</v>
      </c>
      <c r="E46" s="61">
        <v>216</v>
      </c>
      <c r="F46" s="61">
        <v>239</v>
      </c>
      <c r="G46" s="55">
        <v>0</v>
      </c>
      <c r="H46" s="62">
        <f t="shared" si="0"/>
        <v>455</v>
      </c>
      <c r="I46" s="55">
        <v>38</v>
      </c>
      <c r="J46" s="29">
        <v>0</v>
      </c>
      <c r="K46" s="18">
        <v>1</v>
      </c>
      <c r="L46" s="63" t="s">
        <v>29</v>
      </c>
      <c r="M46" s="12">
        <f>+'Form20 '!B47</f>
        <v>177</v>
      </c>
      <c r="N46" s="18">
        <v>2</v>
      </c>
      <c r="O46" s="58" t="s">
        <v>24</v>
      </c>
      <c r="P46" s="12">
        <f>+'Form20 '!C47</f>
        <v>3</v>
      </c>
      <c r="Q46" s="18">
        <v>3</v>
      </c>
      <c r="R46" s="63" t="s">
        <v>28</v>
      </c>
      <c r="S46" s="12">
        <f>+'Form20 '!D47</f>
        <v>194</v>
      </c>
      <c r="T46" s="18">
        <v>4</v>
      </c>
      <c r="U46" s="64" t="s">
        <v>65</v>
      </c>
      <c r="V46" s="12">
        <f>+'Form20 '!E47</f>
        <v>0</v>
      </c>
      <c r="W46" s="18">
        <v>5</v>
      </c>
      <c r="X46" s="58" t="s">
        <v>66</v>
      </c>
      <c r="Y46" s="12">
        <f>+'Form20 '!F47</f>
        <v>0</v>
      </c>
      <c r="Z46" s="18">
        <v>6</v>
      </c>
      <c r="AA46" s="64" t="s">
        <v>67</v>
      </c>
      <c r="AB46" s="12">
        <f>+'Form20 '!G47</f>
        <v>0</v>
      </c>
      <c r="AC46" s="18">
        <v>7</v>
      </c>
      <c r="AD46" s="63" t="s">
        <v>68</v>
      </c>
      <c r="AE46" s="12">
        <f>+'Form20 '!H47</f>
        <v>4</v>
      </c>
      <c r="AF46" s="18">
        <v>8</v>
      </c>
      <c r="AG46" s="63" t="s">
        <v>69</v>
      </c>
      <c r="AH46" s="12">
        <f>+'Form20 '!I47</f>
        <v>1</v>
      </c>
      <c r="AI46" s="18">
        <v>9</v>
      </c>
      <c r="AJ46" s="65" t="s">
        <v>70</v>
      </c>
      <c r="AK46" s="12">
        <f>+'Form20 '!J47</f>
        <v>72</v>
      </c>
      <c r="AL46" s="18">
        <v>10</v>
      </c>
      <c r="AM46" s="66" t="s">
        <v>30</v>
      </c>
      <c r="AN46" s="12">
        <f>+'Form20 '!K47</f>
        <v>2</v>
      </c>
      <c r="AO46" s="18">
        <v>11</v>
      </c>
      <c r="AP46" s="66" t="s">
        <v>30</v>
      </c>
      <c r="AQ46" s="12">
        <f>+'Form20 '!L47</f>
        <v>0</v>
      </c>
      <c r="AR46" s="18">
        <v>12</v>
      </c>
      <c r="AS46" s="66" t="s">
        <v>30</v>
      </c>
      <c r="AT46" s="12">
        <f>+'Form20 '!M47</f>
        <v>1</v>
      </c>
      <c r="AU46" s="18">
        <v>13</v>
      </c>
      <c r="AV46" s="66" t="s">
        <v>30</v>
      </c>
      <c r="AW46" s="12">
        <f>+'Form20 '!N47</f>
        <v>1</v>
      </c>
      <c r="AX46" s="18">
        <v>14</v>
      </c>
      <c r="AY46" s="66" t="s">
        <v>30</v>
      </c>
      <c r="AZ46" s="12">
        <f>+'Form20 '!O47</f>
        <v>0</v>
      </c>
      <c r="BA46" s="75">
        <f t="shared" si="1"/>
        <v>455</v>
      </c>
    </row>
    <row r="47" spans="1:53" s="67" customFormat="1" ht="59.25" customHeight="1">
      <c r="A47" s="18">
        <v>333</v>
      </c>
      <c r="B47" s="59">
        <v>41</v>
      </c>
      <c r="C47" s="76" t="s">
        <v>121</v>
      </c>
      <c r="D47" s="61">
        <v>1010</v>
      </c>
      <c r="E47" s="61">
        <v>264</v>
      </c>
      <c r="F47" s="61">
        <v>304</v>
      </c>
      <c r="G47" s="55">
        <v>0</v>
      </c>
      <c r="H47" s="62">
        <f t="shared" si="0"/>
        <v>568</v>
      </c>
      <c r="I47" s="55">
        <v>554</v>
      </c>
      <c r="J47" s="29">
        <v>0</v>
      </c>
      <c r="K47" s="18">
        <v>1</v>
      </c>
      <c r="L47" s="63" t="s">
        <v>29</v>
      </c>
      <c r="M47" s="12">
        <f>+'Form20 '!B48</f>
        <v>144</v>
      </c>
      <c r="N47" s="18">
        <v>2</v>
      </c>
      <c r="O47" s="58" t="s">
        <v>24</v>
      </c>
      <c r="P47" s="12">
        <f>+'Form20 '!C48</f>
        <v>53</v>
      </c>
      <c r="Q47" s="18">
        <v>3</v>
      </c>
      <c r="R47" s="63" t="s">
        <v>28</v>
      </c>
      <c r="S47" s="12">
        <f>+'Form20 '!D48</f>
        <v>279</v>
      </c>
      <c r="T47" s="18">
        <v>4</v>
      </c>
      <c r="U47" s="64" t="s">
        <v>65</v>
      </c>
      <c r="V47" s="12">
        <f>+'Form20 '!E48</f>
        <v>6</v>
      </c>
      <c r="W47" s="18">
        <v>5</v>
      </c>
      <c r="X47" s="58" t="s">
        <v>66</v>
      </c>
      <c r="Y47" s="12">
        <f>+'Form20 '!F48</f>
        <v>0</v>
      </c>
      <c r="Z47" s="18">
        <v>6</v>
      </c>
      <c r="AA47" s="64" t="s">
        <v>67</v>
      </c>
      <c r="AB47" s="12">
        <f>+'Form20 '!G48</f>
        <v>0</v>
      </c>
      <c r="AC47" s="18">
        <v>7</v>
      </c>
      <c r="AD47" s="63" t="s">
        <v>68</v>
      </c>
      <c r="AE47" s="12">
        <f>+'Form20 '!H48</f>
        <v>2</v>
      </c>
      <c r="AF47" s="18">
        <v>8</v>
      </c>
      <c r="AG47" s="63" t="s">
        <v>69</v>
      </c>
      <c r="AH47" s="12">
        <f>+'Form20 '!I48</f>
        <v>1</v>
      </c>
      <c r="AI47" s="18">
        <v>9</v>
      </c>
      <c r="AJ47" s="65" t="s">
        <v>70</v>
      </c>
      <c r="AK47" s="12">
        <f>+'Form20 '!J48</f>
        <v>72</v>
      </c>
      <c r="AL47" s="18">
        <v>10</v>
      </c>
      <c r="AM47" s="66" t="s">
        <v>30</v>
      </c>
      <c r="AN47" s="12">
        <f>+'Form20 '!K48</f>
        <v>0</v>
      </c>
      <c r="AO47" s="18">
        <v>11</v>
      </c>
      <c r="AP47" s="66" t="s">
        <v>30</v>
      </c>
      <c r="AQ47" s="12">
        <f>+'Form20 '!L48</f>
        <v>1</v>
      </c>
      <c r="AR47" s="18">
        <v>12</v>
      </c>
      <c r="AS47" s="66" t="s">
        <v>30</v>
      </c>
      <c r="AT47" s="12">
        <f>+'Form20 '!M48</f>
        <v>2</v>
      </c>
      <c r="AU47" s="18">
        <v>13</v>
      </c>
      <c r="AV47" s="66" t="s">
        <v>30</v>
      </c>
      <c r="AW47" s="12">
        <f>+'Form20 '!N48</f>
        <v>3</v>
      </c>
      <c r="AX47" s="18">
        <v>14</v>
      </c>
      <c r="AY47" s="66" t="s">
        <v>30</v>
      </c>
      <c r="AZ47" s="12">
        <f>+'Form20 '!O48</f>
        <v>1</v>
      </c>
      <c r="BA47" s="75">
        <f t="shared" si="1"/>
        <v>564</v>
      </c>
    </row>
    <row r="48" spans="1:53" s="67" customFormat="1" ht="59.25" customHeight="1">
      <c r="A48" s="18">
        <v>333</v>
      </c>
      <c r="B48" s="59">
        <v>42</v>
      </c>
      <c r="C48" s="76" t="s">
        <v>122</v>
      </c>
      <c r="D48" s="61">
        <v>703</v>
      </c>
      <c r="E48" s="61">
        <v>178</v>
      </c>
      <c r="F48" s="61">
        <v>233</v>
      </c>
      <c r="G48" s="55">
        <v>0</v>
      </c>
      <c r="H48" s="62">
        <f t="shared" si="0"/>
        <v>411</v>
      </c>
      <c r="I48" s="55">
        <v>8</v>
      </c>
      <c r="J48" s="29">
        <v>0</v>
      </c>
      <c r="K48" s="18">
        <v>1</v>
      </c>
      <c r="L48" s="63" t="s">
        <v>29</v>
      </c>
      <c r="M48" s="12">
        <f>+'Form20 '!B49</f>
        <v>256</v>
      </c>
      <c r="N48" s="18">
        <v>2</v>
      </c>
      <c r="O48" s="58" t="s">
        <v>24</v>
      </c>
      <c r="P48" s="12">
        <f>+'Form20 '!C49</f>
        <v>61</v>
      </c>
      <c r="Q48" s="18">
        <v>3</v>
      </c>
      <c r="R48" s="63" t="s">
        <v>28</v>
      </c>
      <c r="S48" s="12">
        <f>+'Form20 '!D49</f>
        <v>87</v>
      </c>
      <c r="T48" s="18">
        <v>4</v>
      </c>
      <c r="U48" s="64" t="s">
        <v>65</v>
      </c>
      <c r="V48" s="12">
        <f>+'Form20 '!E49</f>
        <v>1</v>
      </c>
      <c r="W48" s="18">
        <v>5</v>
      </c>
      <c r="X48" s="58" t="s">
        <v>66</v>
      </c>
      <c r="Y48" s="12">
        <f>+'Form20 '!F49</f>
        <v>0</v>
      </c>
      <c r="Z48" s="18">
        <v>6</v>
      </c>
      <c r="AA48" s="64" t="s">
        <v>67</v>
      </c>
      <c r="AB48" s="12">
        <f>+'Form20 '!G49</f>
        <v>0</v>
      </c>
      <c r="AC48" s="18">
        <v>7</v>
      </c>
      <c r="AD48" s="63" t="s">
        <v>68</v>
      </c>
      <c r="AE48" s="12">
        <f>+'Form20 '!H49</f>
        <v>0</v>
      </c>
      <c r="AF48" s="18">
        <v>8</v>
      </c>
      <c r="AG48" s="63" t="s">
        <v>69</v>
      </c>
      <c r="AH48" s="12">
        <f>+'Form20 '!I49</f>
        <v>0</v>
      </c>
      <c r="AI48" s="18">
        <v>9</v>
      </c>
      <c r="AJ48" s="65" t="s">
        <v>70</v>
      </c>
      <c r="AK48" s="12">
        <f>+'Form20 '!J49</f>
        <v>0</v>
      </c>
      <c r="AL48" s="18">
        <v>10</v>
      </c>
      <c r="AM48" s="66" t="s">
        <v>30</v>
      </c>
      <c r="AN48" s="12">
        <f>+'Form20 '!K49</f>
        <v>1</v>
      </c>
      <c r="AO48" s="18">
        <v>11</v>
      </c>
      <c r="AP48" s="66" t="s">
        <v>30</v>
      </c>
      <c r="AQ48" s="12">
        <f>+'Form20 '!L49</f>
        <v>0</v>
      </c>
      <c r="AR48" s="18">
        <v>12</v>
      </c>
      <c r="AS48" s="66" t="s">
        <v>30</v>
      </c>
      <c r="AT48" s="12">
        <f>+'Form20 '!M49</f>
        <v>1</v>
      </c>
      <c r="AU48" s="18">
        <v>13</v>
      </c>
      <c r="AV48" s="66" t="s">
        <v>30</v>
      </c>
      <c r="AW48" s="12">
        <f>+'Form20 '!N49</f>
        <v>2</v>
      </c>
      <c r="AX48" s="18">
        <v>14</v>
      </c>
      <c r="AY48" s="66" t="s">
        <v>30</v>
      </c>
      <c r="AZ48" s="12">
        <f>+'Form20 '!O49</f>
        <v>0</v>
      </c>
      <c r="BA48" s="75">
        <f t="shared" si="1"/>
        <v>409</v>
      </c>
    </row>
    <row r="49" spans="1:53" s="67" customFormat="1" ht="59.25" customHeight="1">
      <c r="A49" s="18">
        <v>333</v>
      </c>
      <c r="B49" s="59">
        <v>43</v>
      </c>
      <c r="C49" s="76" t="s">
        <v>123</v>
      </c>
      <c r="D49" s="61">
        <v>688</v>
      </c>
      <c r="E49" s="61">
        <v>168</v>
      </c>
      <c r="F49" s="61">
        <v>220</v>
      </c>
      <c r="G49" s="55">
        <v>0</v>
      </c>
      <c r="H49" s="62">
        <f t="shared" si="0"/>
        <v>388</v>
      </c>
      <c r="I49" s="55">
        <v>7</v>
      </c>
      <c r="J49" s="29">
        <v>0</v>
      </c>
      <c r="K49" s="18">
        <v>1</v>
      </c>
      <c r="L49" s="63" t="s">
        <v>29</v>
      </c>
      <c r="M49" s="12">
        <f>+'Form20 '!B50</f>
        <v>238</v>
      </c>
      <c r="N49" s="18">
        <v>2</v>
      </c>
      <c r="O49" s="58" t="s">
        <v>24</v>
      </c>
      <c r="P49" s="12">
        <f>+'Form20 '!C50</f>
        <v>9</v>
      </c>
      <c r="Q49" s="18">
        <v>3</v>
      </c>
      <c r="R49" s="63" t="s">
        <v>28</v>
      </c>
      <c r="S49" s="12">
        <f>+'Form20 '!D50</f>
        <v>119</v>
      </c>
      <c r="T49" s="18">
        <v>4</v>
      </c>
      <c r="U49" s="64" t="s">
        <v>65</v>
      </c>
      <c r="V49" s="12">
        <f>+'Form20 '!E50</f>
        <v>3</v>
      </c>
      <c r="W49" s="18">
        <v>5</v>
      </c>
      <c r="X49" s="58" t="s">
        <v>66</v>
      </c>
      <c r="Y49" s="12">
        <f>+'Form20 '!F50</f>
        <v>0</v>
      </c>
      <c r="Z49" s="18">
        <v>6</v>
      </c>
      <c r="AA49" s="64" t="s">
        <v>67</v>
      </c>
      <c r="AB49" s="12">
        <f>+'Form20 '!G50</f>
        <v>0</v>
      </c>
      <c r="AC49" s="18">
        <v>7</v>
      </c>
      <c r="AD49" s="63" t="s">
        <v>68</v>
      </c>
      <c r="AE49" s="12">
        <f>+'Form20 '!H50</f>
        <v>0</v>
      </c>
      <c r="AF49" s="18">
        <v>8</v>
      </c>
      <c r="AG49" s="63" t="s">
        <v>69</v>
      </c>
      <c r="AH49" s="12">
        <f>+'Form20 '!I50</f>
        <v>0</v>
      </c>
      <c r="AI49" s="18">
        <v>9</v>
      </c>
      <c r="AJ49" s="65" t="s">
        <v>70</v>
      </c>
      <c r="AK49" s="12">
        <f>+'Form20 '!J50</f>
        <v>11</v>
      </c>
      <c r="AL49" s="18">
        <v>10</v>
      </c>
      <c r="AM49" s="66" t="s">
        <v>30</v>
      </c>
      <c r="AN49" s="12">
        <f>+'Form20 '!K50</f>
        <v>0</v>
      </c>
      <c r="AO49" s="18">
        <v>11</v>
      </c>
      <c r="AP49" s="66" t="s">
        <v>30</v>
      </c>
      <c r="AQ49" s="12">
        <f>+'Form20 '!L50</f>
        <v>2</v>
      </c>
      <c r="AR49" s="18">
        <v>12</v>
      </c>
      <c r="AS49" s="66" t="s">
        <v>30</v>
      </c>
      <c r="AT49" s="12">
        <f>+'Form20 '!M50</f>
        <v>1</v>
      </c>
      <c r="AU49" s="18">
        <v>13</v>
      </c>
      <c r="AV49" s="66" t="s">
        <v>30</v>
      </c>
      <c r="AW49" s="12">
        <f>+'Form20 '!N50</f>
        <v>3</v>
      </c>
      <c r="AX49" s="18">
        <v>14</v>
      </c>
      <c r="AY49" s="66" t="s">
        <v>30</v>
      </c>
      <c r="AZ49" s="12">
        <f>+'Form20 '!O50</f>
        <v>0</v>
      </c>
      <c r="BA49" s="75">
        <f t="shared" si="1"/>
        <v>386</v>
      </c>
    </row>
    <row r="50" spans="1:53" s="67" customFormat="1" ht="59.25" customHeight="1">
      <c r="A50" s="18">
        <v>333</v>
      </c>
      <c r="B50" s="59">
        <v>44</v>
      </c>
      <c r="C50" s="76" t="s">
        <v>124</v>
      </c>
      <c r="D50" s="61">
        <v>940</v>
      </c>
      <c r="E50" s="61">
        <v>319</v>
      </c>
      <c r="F50" s="61">
        <v>313</v>
      </c>
      <c r="G50" s="55">
        <v>0</v>
      </c>
      <c r="H50" s="62">
        <f t="shared" si="0"/>
        <v>632</v>
      </c>
      <c r="I50" s="55">
        <v>32</v>
      </c>
      <c r="J50" s="29">
        <v>0</v>
      </c>
      <c r="K50" s="18">
        <v>1</v>
      </c>
      <c r="L50" s="63" t="s">
        <v>29</v>
      </c>
      <c r="M50" s="12">
        <f>+'Form20 '!B51</f>
        <v>319</v>
      </c>
      <c r="N50" s="18">
        <v>2</v>
      </c>
      <c r="O50" s="58" t="s">
        <v>24</v>
      </c>
      <c r="P50" s="12">
        <f>+'Form20 '!C51</f>
        <v>23</v>
      </c>
      <c r="Q50" s="18">
        <v>3</v>
      </c>
      <c r="R50" s="63" t="s">
        <v>28</v>
      </c>
      <c r="S50" s="12">
        <f>+'Form20 '!D51</f>
        <v>265</v>
      </c>
      <c r="T50" s="18">
        <v>4</v>
      </c>
      <c r="U50" s="64" t="s">
        <v>65</v>
      </c>
      <c r="V50" s="12">
        <f>+'Form20 '!E51</f>
        <v>4</v>
      </c>
      <c r="W50" s="18">
        <v>5</v>
      </c>
      <c r="X50" s="58" t="s">
        <v>66</v>
      </c>
      <c r="Y50" s="12">
        <f>+'Form20 '!F51</f>
        <v>0</v>
      </c>
      <c r="Z50" s="18">
        <v>6</v>
      </c>
      <c r="AA50" s="64" t="s">
        <v>67</v>
      </c>
      <c r="AB50" s="12">
        <f>+'Form20 '!G51</f>
        <v>1</v>
      </c>
      <c r="AC50" s="18">
        <v>7</v>
      </c>
      <c r="AD50" s="63" t="s">
        <v>68</v>
      </c>
      <c r="AE50" s="12">
        <f>+'Form20 '!H51</f>
        <v>2</v>
      </c>
      <c r="AF50" s="18">
        <v>8</v>
      </c>
      <c r="AG50" s="63" t="s">
        <v>69</v>
      </c>
      <c r="AH50" s="12">
        <f>+'Form20 '!I51</f>
        <v>1</v>
      </c>
      <c r="AI50" s="18">
        <v>9</v>
      </c>
      <c r="AJ50" s="65" t="s">
        <v>70</v>
      </c>
      <c r="AK50" s="12">
        <f>+'Form20 '!J51</f>
        <v>4</v>
      </c>
      <c r="AL50" s="18">
        <v>10</v>
      </c>
      <c r="AM50" s="66" t="s">
        <v>30</v>
      </c>
      <c r="AN50" s="12">
        <f>+'Form20 '!K51</f>
        <v>0</v>
      </c>
      <c r="AO50" s="18">
        <v>11</v>
      </c>
      <c r="AP50" s="66" t="s">
        <v>30</v>
      </c>
      <c r="AQ50" s="12">
        <f>+'Form20 '!L51</f>
        <v>0</v>
      </c>
      <c r="AR50" s="18">
        <v>12</v>
      </c>
      <c r="AS50" s="66" t="s">
        <v>30</v>
      </c>
      <c r="AT50" s="12">
        <f>+'Form20 '!M51</f>
        <v>2</v>
      </c>
      <c r="AU50" s="18">
        <v>13</v>
      </c>
      <c r="AV50" s="66" t="s">
        <v>30</v>
      </c>
      <c r="AW50" s="12">
        <f>+'Form20 '!N51</f>
        <v>2</v>
      </c>
      <c r="AX50" s="18">
        <v>14</v>
      </c>
      <c r="AY50" s="66" t="s">
        <v>30</v>
      </c>
      <c r="AZ50" s="12">
        <f>+'Form20 '!O51</f>
        <v>1</v>
      </c>
      <c r="BA50" s="75">
        <f t="shared" si="1"/>
        <v>624</v>
      </c>
    </row>
    <row r="51" spans="1:53" s="67" customFormat="1" ht="59.25" customHeight="1">
      <c r="A51" s="18">
        <v>333</v>
      </c>
      <c r="B51" s="59">
        <v>45</v>
      </c>
      <c r="C51" s="76" t="s">
        <v>125</v>
      </c>
      <c r="D51" s="61">
        <v>912</v>
      </c>
      <c r="E51" s="61">
        <v>195</v>
      </c>
      <c r="F51" s="61">
        <v>262</v>
      </c>
      <c r="G51" s="55">
        <v>0</v>
      </c>
      <c r="H51" s="62">
        <f t="shared" si="0"/>
        <v>457</v>
      </c>
      <c r="I51" s="55">
        <v>16</v>
      </c>
      <c r="J51" s="29">
        <v>0</v>
      </c>
      <c r="K51" s="18">
        <v>1</v>
      </c>
      <c r="L51" s="63" t="s">
        <v>29</v>
      </c>
      <c r="M51" s="12">
        <f>+'Form20 '!B52</f>
        <v>324</v>
      </c>
      <c r="N51" s="18">
        <v>2</v>
      </c>
      <c r="O51" s="58" t="s">
        <v>24</v>
      </c>
      <c r="P51" s="12">
        <f>+'Form20 '!C52</f>
        <v>17</v>
      </c>
      <c r="Q51" s="18">
        <v>3</v>
      </c>
      <c r="R51" s="63" t="s">
        <v>28</v>
      </c>
      <c r="S51" s="12">
        <f>+'Form20 '!D52</f>
        <v>104</v>
      </c>
      <c r="T51" s="18">
        <v>4</v>
      </c>
      <c r="U51" s="64" t="s">
        <v>65</v>
      </c>
      <c r="V51" s="12">
        <f>+'Form20 '!E52</f>
        <v>0</v>
      </c>
      <c r="W51" s="18">
        <v>5</v>
      </c>
      <c r="X51" s="58" t="s">
        <v>66</v>
      </c>
      <c r="Y51" s="12">
        <f>+'Form20 '!F52</f>
        <v>0</v>
      </c>
      <c r="Z51" s="18">
        <v>6</v>
      </c>
      <c r="AA51" s="64" t="s">
        <v>67</v>
      </c>
      <c r="AB51" s="12">
        <f>+'Form20 '!G52</f>
        <v>1</v>
      </c>
      <c r="AC51" s="18">
        <v>7</v>
      </c>
      <c r="AD51" s="63" t="s">
        <v>68</v>
      </c>
      <c r="AE51" s="12">
        <f>+'Form20 '!H52</f>
        <v>0</v>
      </c>
      <c r="AF51" s="18">
        <v>8</v>
      </c>
      <c r="AG51" s="63" t="s">
        <v>69</v>
      </c>
      <c r="AH51" s="12">
        <f>+'Form20 '!I52</f>
        <v>0</v>
      </c>
      <c r="AI51" s="18">
        <v>9</v>
      </c>
      <c r="AJ51" s="65" t="s">
        <v>70</v>
      </c>
      <c r="AK51" s="12">
        <f>+'Form20 '!J52</f>
        <v>1</v>
      </c>
      <c r="AL51" s="18">
        <v>10</v>
      </c>
      <c r="AM51" s="66" t="s">
        <v>30</v>
      </c>
      <c r="AN51" s="12">
        <f>+'Form20 '!K52</f>
        <v>0</v>
      </c>
      <c r="AO51" s="18">
        <v>11</v>
      </c>
      <c r="AP51" s="66" t="s">
        <v>30</v>
      </c>
      <c r="AQ51" s="12">
        <f>+'Form20 '!L52</f>
        <v>0</v>
      </c>
      <c r="AR51" s="18">
        <v>12</v>
      </c>
      <c r="AS51" s="66" t="s">
        <v>30</v>
      </c>
      <c r="AT51" s="12">
        <f>+'Form20 '!M52</f>
        <v>1</v>
      </c>
      <c r="AU51" s="18">
        <v>13</v>
      </c>
      <c r="AV51" s="66" t="s">
        <v>30</v>
      </c>
      <c r="AW51" s="12">
        <f>+'Form20 '!N52</f>
        <v>3</v>
      </c>
      <c r="AX51" s="18">
        <v>14</v>
      </c>
      <c r="AY51" s="66" t="s">
        <v>30</v>
      </c>
      <c r="AZ51" s="12">
        <f>+'Form20 '!O52</f>
        <v>0</v>
      </c>
      <c r="BA51" s="75">
        <f t="shared" si="1"/>
        <v>451</v>
      </c>
    </row>
    <row r="52" spans="1:53" s="67" customFormat="1" ht="59.25" customHeight="1">
      <c r="A52" s="18">
        <v>333</v>
      </c>
      <c r="B52" s="59">
        <v>46</v>
      </c>
      <c r="C52" s="76" t="s">
        <v>126</v>
      </c>
      <c r="D52" s="61">
        <v>656</v>
      </c>
      <c r="E52" s="61">
        <v>132</v>
      </c>
      <c r="F52" s="61">
        <v>149</v>
      </c>
      <c r="G52" s="55">
        <v>0</v>
      </c>
      <c r="H52" s="62">
        <f t="shared" si="0"/>
        <v>281</v>
      </c>
      <c r="I52" s="55">
        <v>20</v>
      </c>
      <c r="J52" s="29">
        <v>0</v>
      </c>
      <c r="K52" s="18">
        <v>1</v>
      </c>
      <c r="L52" s="63" t="s">
        <v>29</v>
      </c>
      <c r="M52" s="12">
        <f>+'Form20 '!B53</f>
        <v>112</v>
      </c>
      <c r="N52" s="18">
        <v>2</v>
      </c>
      <c r="O52" s="58" t="s">
        <v>24</v>
      </c>
      <c r="P52" s="12">
        <f>+'Form20 '!C53</f>
        <v>15</v>
      </c>
      <c r="Q52" s="18">
        <v>3</v>
      </c>
      <c r="R52" s="63" t="s">
        <v>28</v>
      </c>
      <c r="S52" s="12">
        <f>+'Form20 '!D53</f>
        <v>143</v>
      </c>
      <c r="T52" s="18">
        <v>4</v>
      </c>
      <c r="U52" s="64" t="s">
        <v>65</v>
      </c>
      <c r="V52" s="12">
        <f>+'Form20 '!E53</f>
        <v>2</v>
      </c>
      <c r="W52" s="18">
        <v>5</v>
      </c>
      <c r="X52" s="58" t="s">
        <v>66</v>
      </c>
      <c r="Y52" s="12">
        <f>+'Form20 '!F53</f>
        <v>0</v>
      </c>
      <c r="Z52" s="18">
        <v>6</v>
      </c>
      <c r="AA52" s="64" t="s">
        <v>67</v>
      </c>
      <c r="AB52" s="12">
        <f>+'Form20 '!G53</f>
        <v>0</v>
      </c>
      <c r="AC52" s="18">
        <v>7</v>
      </c>
      <c r="AD52" s="63" t="s">
        <v>68</v>
      </c>
      <c r="AE52" s="12">
        <f>+'Form20 '!H53</f>
        <v>0</v>
      </c>
      <c r="AF52" s="18">
        <v>8</v>
      </c>
      <c r="AG52" s="63" t="s">
        <v>69</v>
      </c>
      <c r="AH52" s="12">
        <f>+'Form20 '!I53</f>
        <v>0</v>
      </c>
      <c r="AI52" s="18">
        <v>9</v>
      </c>
      <c r="AJ52" s="65" t="s">
        <v>70</v>
      </c>
      <c r="AK52" s="12">
        <f>+'Form20 '!J53</f>
        <v>1</v>
      </c>
      <c r="AL52" s="18">
        <v>10</v>
      </c>
      <c r="AM52" s="66" t="s">
        <v>30</v>
      </c>
      <c r="AN52" s="12">
        <f>+'Form20 '!K53</f>
        <v>0</v>
      </c>
      <c r="AO52" s="18">
        <v>11</v>
      </c>
      <c r="AP52" s="66" t="s">
        <v>30</v>
      </c>
      <c r="AQ52" s="12">
        <f>+'Form20 '!L53</f>
        <v>0</v>
      </c>
      <c r="AR52" s="18">
        <v>12</v>
      </c>
      <c r="AS52" s="66" t="s">
        <v>30</v>
      </c>
      <c r="AT52" s="12">
        <f>+'Form20 '!M53</f>
        <v>1</v>
      </c>
      <c r="AU52" s="18">
        <v>13</v>
      </c>
      <c r="AV52" s="66" t="s">
        <v>30</v>
      </c>
      <c r="AW52" s="12">
        <f>+'Form20 '!N53</f>
        <v>3</v>
      </c>
      <c r="AX52" s="18">
        <v>14</v>
      </c>
      <c r="AY52" s="66" t="s">
        <v>30</v>
      </c>
      <c r="AZ52" s="12">
        <f>+'Form20 '!O53</f>
        <v>2</v>
      </c>
      <c r="BA52" s="75">
        <f t="shared" si="1"/>
        <v>279</v>
      </c>
    </row>
    <row r="53" spans="1:53" s="67" customFormat="1" ht="59.25" customHeight="1">
      <c r="A53" s="18">
        <v>333</v>
      </c>
      <c r="B53" s="59">
        <v>47</v>
      </c>
      <c r="C53" s="76" t="s">
        <v>127</v>
      </c>
      <c r="D53" s="61">
        <v>1113</v>
      </c>
      <c r="E53" s="61">
        <v>286</v>
      </c>
      <c r="F53" s="61">
        <v>337</v>
      </c>
      <c r="G53" s="55">
        <v>0</v>
      </c>
      <c r="H53" s="62">
        <f t="shared" si="0"/>
        <v>623</v>
      </c>
      <c r="I53" s="55">
        <v>1</v>
      </c>
      <c r="J53" s="29">
        <v>0</v>
      </c>
      <c r="K53" s="18">
        <v>1</v>
      </c>
      <c r="L53" s="63" t="s">
        <v>29</v>
      </c>
      <c r="M53" s="12">
        <f>+'Form20 '!B54</f>
        <v>251</v>
      </c>
      <c r="N53" s="18">
        <v>2</v>
      </c>
      <c r="O53" s="58" t="s">
        <v>24</v>
      </c>
      <c r="P53" s="12">
        <f>+'Form20 '!C54</f>
        <v>58</v>
      </c>
      <c r="Q53" s="18">
        <v>3</v>
      </c>
      <c r="R53" s="63" t="s">
        <v>28</v>
      </c>
      <c r="S53" s="12">
        <f>+'Form20 '!D54</f>
        <v>275</v>
      </c>
      <c r="T53" s="18">
        <v>4</v>
      </c>
      <c r="U53" s="64" t="s">
        <v>65</v>
      </c>
      <c r="V53" s="12">
        <f>+'Form20 '!E54</f>
        <v>3</v>
      </c>
      <c r="W53" s="18">
        <v>5</v>
      </c>
      <c r="X53" s="58" t="s">
        <v>66</v>
      </c>
      <c r="Y53" s="12">
        <f>+'Form20 '!F54</f>
        <v>0</v>
      </c>
      <c r="Z53" s="18">
        <v>6</v>
      </c>
      <c r="AA53" s="64" t="s">
        <v>67</v>
      </c>
      <c r="AB53" s="12">
        <f>+'Form20 '!G54</f>
        <v>0</v>
      </c>
      <c r="AC53" s="18">
        <v>7</v>
      </c>
      <c r="AD53" s="63" t="s">
        <v>68</v>
      </c>
      <c r="AE53" s="12">
        <f>+'Form20 '!H54</f>
        <v>0</v>
      </c>
      <c r="AF53" s="18">
        <v>8</v>
      </c>
      <c r="AG53" s="63" t="s">
        <v>69</v>
      </c>
      <c r="AH53" s="12">
        <f>+'Form20 '!I54</f>
        <v>0</v>
      </c>
      <c r="AI53" s="18">
        <v>9</v>
      </c>
      <c r="AJ53" s="65" t="s">
        <v>70</v>
      </c>
      <c r="AK53" s="12">
        <f>+'Form20 '!J54</f>
        <v>1</v>
      </c>
      <c r="AL53" s="18">
        <v>10</v>
      </c>
      <c r="AM53" s="66" t="s">
        <v>30</v>
      </c>
      <c r="AN53" s="12">
        <f>+'Form20 '!K54</f>
        <v>1</v>
      </c>
      <c r="AO53" s="18">
        <v>11</v>
      </c>
      <c r="AP53" s="66" t="s">
        <v>30</v>
      </c>
      <c r="AQ53" s="12">
        <f>+'Form20 '!L54</f>
        <v>2</v>
      </c>
      <c r="AR53" s="18">
        <v>12</v>
      </c>
      <c r="AS53" s="66" t="s">
        <v>30</v>
      </c>
      <c r="AT53" s="12">
        <f>+'Form20 '!M54</f>
        <v>1</v>
      </c>
      <c r="AU53" s="18">
        <v>13</v>
      </c>
      <c r="AV53" s="66" t="s">
        <v>30</v>
      </c>
      <c r="AW53" s="12">
        <f>+'Form20 '!N54</f>
        <v>8</v>
      </c>
      <c r="AX53" s="18">
        <v>14</v>
      </c>
      <c r="AY53" s="66" t="s">
        <v>30</v>
      </c>
      <c r="AZ53" s="12">
        <f>+'Form20 '!O54</f>
        <v>4</v>
      </c>
      <c r="BA53" s="75">
        <f t="shared" si="1"/>
        <v>604</v>
      </c>
    </row>
    <row r="54" spans="1:53" s="67" customFormat="1" ht="59.25" customHeight="1">
      <c r="A54" s="18">
        <v>333</v>
      </c>
      <c r="B54" s="59">
        <v>48</v>
      </c>
      <c r="C54" s="76" t="s">
        <v>128</v>
      </c>
      <c r="D54" s="61">
        <v>1058</v>
      </c>
      <c r="E54" s="61">
        <v>302</v>
      </c>
      <c r="F54" s="61">
        <v>389</v>
      </c>
      <c r="G54" s="55">
        <v>0</v>
      </c>
      <c r="H54" s="62">
        <f t="shared" si="0"/>
        <v>691</v>
      </c>
      <c r="I54" s="55">
        <v>191</v>
      </c>
      <c r="J54" s="29">
        <v>0</v>
      </c>
      <c r="K54" s="18">
        <v>1</v>
      </c>
      <c r="L54" s="63" t="s">
        <v>29</v>
      </c>
      <c r="M54" s="12">
        <f>+'Form20 '!B55</f>
        <v>265</v>
      </c>
      <c r="N54" s="18">
        <v>2</v>
      </c>
      <c r="O54" s="58" t="s">
        <v>24</v>
      </c>
      <c r="P54" s="12">
        <f>+'Form20 '!C55</f>
        <v>31</v>
      </c>
      <c r="Q54" s="18">
        <v>3</v>
      </c>
      <c r="R54" s="63" t="s">
        <v>28</v>
      </c>
      <c r="S54" s="12">
        <f>+'Form20 '!D55</f>
        <v>341</v>
      </c>
      <c r="T54" s="18">
        <v>4</v>
      </c>
      <c r="U54" s="64" t="s">
        <v>65</v>
      </c>
      <c r="V54" s="12">
        <f>+'Form20 '!E55</f>
        <v>2</v>
      </c>
      <c r="W54" s="18">
        <v>5</v>
      </c>
      <c r="X54" s="58" t="s">
        <v>66</v>
      </c>
      <c r="Y54" s="12">
        <f>+'Form20 '!F55</f>
        <v>2</v>
      </c>
      <c r="Z54" s="18">
        <v>6</v>
      </c>
      <c r="AA54" s="64" t="s">
        <v>67</v>
      </c>
      <c r="AB54" s="12">
        <f>+'Form20 '!G55</f>
        <v>0</v>
      </c>
      <c r="AC54" s="18">
        <v>7</v>
      </c>
      <c r="AD54" s="63" t="s">
        <v>68</v>
      </c>
      <c r="AE54" s="12">
        <f>+'Form20 '!H55</f>
        <v>0</v>
      </c>
      <c r="AF54" s="18">
        <v>8</v>
      </c>
      <c r="AG54" s="63" t="s">
        <v>69</v>
      </c>
      <c r="AH54" s="12">
        <f>+'Form20 '!I55</f>
        <v>2</v>
      </c>
      <c r="AI54" s="18">
        <v>9</v>
      </c>
      <c r="AJ54" s="65" t="s">
        <v>70</v>
      </c>
      <c r="AK54" s="12">
        <f>+'Form20 '!J55</f>
        <v>27</v>
      </c>
      <c r="AL54" s="18">
        <v>10</v>
      </c>
      <c r="AM54" s="66" t="s">
        <v>30</v>
      </c>
      <c r="AN54" s="12">
        <f>+'Form20 '!K55</f>
        <v>0</v>
      </c>
      <c r="AO54" s="18">
        <v>11</v>
      </c>
      <c r="AP54" s="66" t="s">
        <v>30</v>
      </c>
      <c r="AQ54" s="12">
        <f>+'Form20 '!L55</f>
        <v>2</v>
      </c>
      <c r="AR54" s="18">
        <v>12</v>
      </c>
      <c r="AS54" s="66" t="s">
        <v>30</v>
      </c>
      <c r="AT54" s="12">
        <f>+'Form20 '!M55</f>
        <v>2</v>
      </c>
      <c r="AU54" s="18">
        <v>13</v>
      </c>
      <c r="AV54" s="66" t="s">
        <v>30</v>
      </c>
      <c r="AW54" s="12">
        <f>+'Form20 '!N55</f>
        <v>3</v>
      </c>
      <c r="AX54" s="18">
        <v>14</v>
      </c>
      <c r="AY54" s="66" t="s">
        <v>30</v>
      </c>
      <c r="AZ54" s="12">
        <f>+'Form20 '!O55</f>
        <v>4</v>
      </c>
      <c r="BA54" s="75">
        <f t="shared" si="1"/>
        <v>681</v>
      </c>
    </row>
    <row r="55" spans="1:53" s="67" customFormat="1" ht="59.25" customHeight="1">
      <c r="A55" s="18">
        <v>333</v>
      </c>
      <c r="B55" s="59">
        <v>49</v>
      </c>
      <c r="C55" s="76" t="s">
        <v>129</v>
      </c>
      <c r="D55" s="61">
        <v>677</v>
      </c>
      <c r="E55" s="61">
        <v>172</v>
      </c>
      <c r="F55" s="61">
        <v>242</v>
      </c>
      <c r="G55" s="55">
        <v>0</v>
      </c>
      <c r="H55" s="62">
        <f t="shared" si="0"/>
        <v>414</v>
      </c>
      <c r="I55" s="55">
        <v>22</v>
      </c>
      <c r="J55" s="29">
        <v>0</v>
      </c>
      <c r="K55" s="18">
        <v>1</v>
      </c>
      <c r="L55" s="63" t="s">
        <v>29</v>
      </c>
      <c r="M55" s="12">
        <f>+'Form20 '!B56</f>
        <v>261</v>
      </c>
      <c r="N55" s="18">
        <v>2</v>
      </c>
      <c r="O55" s="58" t="s">
        <v>24</v>
      </c>
      <c r="P55" s="12">
        <f>+'Form20 '!C56</f>
        <v>13</v>
      </c>
      <c r="Q55" s="18">
        <v>3</v>
      </c>
      <c r="R55" s="63" t="s">
        <v>28</v>
      </c>
      <c r="S55" s="12">
        <f>+'Form20 '!D56</f>
        <v>131</v>
      </c>
      <c r="T55" s="18">
        <v>4</v>
      </c>
      <c r="U55" s="64" t="s">
        <v>65</v>
      </c>
      <c r="V55" s="12">
        <f>+'Form20 '!E56</f>
        <v>1</v>
      </c>
      <c r="W55" s="18">
        <v>5</v>
      </c>
      <c r="X55" s="58" t="s">
        <v>66</v>
      </c>
      <c r="Y55" s="12">
        <f>+'Form20 '!F56</f>
        <v>0</v>
      </c>
      <c r="Z55" s="18">
        <v>6</v>
      </c>
      <c r="AA55" s="64" t="s">
        <v>67</v>
      </c>
      <c r="AB55" s="12">
        <f>+'Form20 '!G56</f>
        <v>0</v>
      </c>
      <c r="AC55" s="18">
        <v>7</v>
      </c>
      <c r="AD55" s="63" t="s">
        <v>68</v>
      </c>
      <c r="AE55" s="12">
        <f>+'Form20 '!H56</f>
        <v>0</v>
      </c>
      <c r="AF55" s="18">
        <v>8</v>
      </c>
      <c r="AG55" s="63" t="s">
        <v>69</v>
      </c>
      <c r="AH55" s="12">
        <f>+'Form20 '!I56</f>
        <v>0</v>
      </c>
      <c r="AI55" s="18">
        <v>9</v>
      </c>
      <c r="AJ55" s="65" t="s">
        <v>70</v>
      </c>
      <c r="AK55" s="12">
        <f>+'Form20 '!J56</f>
        <v>5</v>
      </c>
      <c r="AL55" s="18">
        <v>10</v>
      </c>
      <c r="AM55" s="66" t="s">
        <v>30</v>
      </c>
      <c r="AN55" s="12">
        <f>+'Form20 '!K56</f>
        <v>0</v>
      </c>
      <c r="AO55" s="18">
        <v>11</v>
      </c>
      <c r="AP55" s="66" t="s">
        <v>30</v>
      </c>
      <c r="AQ55" s="12">
        <f>+'Form20 '!L56</f>
        <v>0</v>
      </c>
      <c r="AR55" s="18">
        <v>12</v>
      </c>
      <c r="AS55" s="66" t="s">
        <v>30</v>
      </c>
      <c r="AT55" s="12">
        <f>+'Form20 '!M56</f>
        <v>1</v>
      </c>
      <c r="AU55" s="18">
        <v>13</v>
      </c>
      <c r="AV55" s="66" t="s">
        <v>30</v>
      </c>
      <c r="AW55" s="12">
        <f>+'Form20 '!N56</f>
        <v>0</v>
      </c>
      <c r="AX55" s="18">
        <v>14</v>
      </c>
      <c r="AY55" s="66" t="s">
        <v>30</v>
      </c>
      <c r="AZ55" s="12">
        <f>+'Form20 '!O56</f>
        <v>1</v>
      </c>
      <c r="BA55" s="75">
        <f t="shared" si="1"/>
        <v>413</v>
      </c>
    </row>
    <row r="56" spans="1:53" s="67" customFormat="1" ht="59.25" customHeight="1">
      <c r="A56" s="18">
        <v>333</v>
      </c>
      <c r="B56" s="59">
        <v>50</v>
      </c>
      <c r="C56" s="76" t="s">
        <v>130</v>
      </c>
      <c r="D56" s="61">
        <v>909</v>
      </c>
      <c r="E56" s="61">
        <v>236</v>
      </c>
      <c r="F56" s="61">
        <v>332</v>
      </c>
      <c r="G56" s="55">
        <v>0</v>
      </c>
      <c r="H56" s="62">
        <f t="shared" si="0"/>
        <v>568</v>
      </c>
      <c r="I56" s="55">
        <v>32</v>
      </c>
      <c r="J56" s="29">
        <v>0</v>
      </c>
      <c r="K56" s="18">
        <v>1</v>
      </c>
      <c r="L56" s="63" t="s">
        <v>29</v>
      </c>
      <c r="M56" s="12">
        <f>+'Form20 '!B57</f>
        <v>224</v>
      </c>
      <c r="N56" s="18">
        <v>2</v>
      </c>
      <c r="O56" s="58" t="s">
        <v>24</v>
      </c>
      <c r="P56" s="12">
        <f>+'Form20 '!C57</f>
        <v>106</v>
      </c>
      <c r="Q56" s="18">
        <v>3</v>
      </c>
      <c r="R56" s="63" t="s">
        <v>28</v>
      </c>
      <c r="S56" s="12">
        <f>+'Form20 '!D57</f>
        <v>219</v>
      </c>
      <c r="T56" s="18">
        <v>4</v>
      </c>
      <c r="U56" s="64" t="s">
        <v>65</v>
      </c>
      <c r="V56" s="12">
        <f>+'Form20 '!E57</f>
        <v>2</v>
      </c>
      <c r="W56" s="18">
        <v>5</v>
      </c>
      <c r="X56" s="58" t="s">
        <v>66</v>
      </c>
      <c r="Y56" s="12">
        <f>+'Form20 '!F57</f>
        <v>0</v>
      </c>
      <c r="Z56" s="18">
        <v>6</v>
      </c>
      <c r="AA56" s="64" t="s">
        <v>67</v>
      </c>
      <c r="AB56" s="12">
        <f>+'Form20 '!G57</f>
        <v>0</v>
      </c>
      <c r="AC56" s="18">
        <v>7</v>
      </c>
      <c r="AD56" s="63" t="s">
        <v>68</v>
      </c>
      <c r="AE56" s="12">
        <f>+'Form20 '!H57</f>
        <v>0</v>
      </c>
      <c r="AF56" s="18">
        <v>8</v>
      </c>
      <c r="AG56" s="63" t="s">
        <v>69</v>
      </c>
      <c r="AH56" s="12">
        <f>+'Form20 '!I57</f>
        <v>0</v>
      </c>
      <c r="AI56" s="18">
        <v>9</v>
      </c>
      <c r="AJ56" s="65" t="s">
        <v>70</v>
      </c>
      <c r="AK56" s="12">
        <f>+'Form20 '!J57</f>
        <v>5</v>
      </c>
      <c r="AL56" s="18">
        <v>10</v>
      </c>
      <c r="AM56" s="66" t="s">
        <v>30</v>
      </c>
      <c r="AN56" s="12">
        <f>+'Form20 '!K57</f>
        <v>0</v>
      </c>
      <c r="AO56" s="18">
        <v>11</v>
      </c>
      <c r="AP56" s="66" t="s">
        <v>30</v>
      </c>
      <c r="AQ56" s="12">
        <f>+'Form20 '!L57</f>
        <v>1</v>
      </c>
      <c r="AR56" s="18">
        <v>12</v>
      </c>
      <c r="AS56" s="66" t="s">
        <v>30</v>
      </c>
      <c r="AT56" s="12">
        <f>+'Form20 '!M57</f>
        <v>2</v>
      </c>
      <c r="AU56" s="18">
        <v>13</v>
      </c>
      <c r="AV56" s="66" t="s">
        <v>30</v>
      </c>
      <c r="AW56" s="12">
        <f>+'Form20 '!N57</f>
        <v>3</v>
      </c>
      <c r="AX56" s="18">
        <v>14</v>
      </c>
      <c r="AY56" s="66" t="s">
        <v>30</v>
      </c>
      <c r="AZ56" s="12">
        <f>+'Form20 '!O57</f>
        <v>3</v>
      </c>
      <c r="BA56" s="75">
        <f t="shared" si="1"/>
        <v>565</v>
      </c>
    </row>
    <row r="57" spans="1:53" s="67" customFormat="1" ht="59.25" customHeight="1">
      <c r="A57" s="18">
        <v>333</v>
      </c>
      <c r="B57" s="59">
        <v>51</v>
      </c>
      <c r="C57" s="76" t="s">
        <v>131</v>
      </c>
      <c r="D57" s="61">
        <v>738</v>
      </c>
      <c r="E57" s="61">
        <v>223</v>
      </c>
      <c r="F57" s="61">
        <v>280</v>
      </c>
      <c r="G57" s="55">
        <v>0</v>
      </c>
      <c r="H57" s="62">
        <f t="shared" si="0"/>
        <v>503</v>
      </c>
      <c r="I57" s="55">
        <v>223</v>
      </c>
      <c r="J57" s="29">
        <v>0</v>
      </c>
      <c r="K57" s="18">
        <v>1</v>
      </c>
      <c r="L57" s="63" t="s">
        <v>29</v>
      </c>
      <c r="M57" s="12">
        <f>+'Form20 '!B58</f>
        <v>200</v>
      </c>
      <c r="N57" s="18">
        <v>2</v>
      </c>
      <c r="O57" s="58" t="s">
        <v>24</v>
      </c>
      <c r="P57" s="12">
        <f>+'Form20 '!C58</f>
        <v>99</v>
      </c>
      <c r="Q57" s="18">
        <v>3</v>
      </c>
      <c r="R57" s="63" t="s">
        <v>28</v>
      </c>
      <c r="S57" s="12">
        <f>+'Form20 '!D58</f>
        <v>175</v>
      </c>
      <c r="T57" s="18">
        <v>4</v>
      </c>
      <c r="U57" s="64" t="s">
        <v>65</v>
      </c>
      <c r="V57" s="12">
        <f>+'Form20 '!E58</f>
        <v>4</v>
      </c>
      <c r="W57" s="18">
        <v>5</v>
      </c>
      <c r="X57" s="58" t="s">
        <v>66</v>
      </c>
      <c r="Y57" s="12">
        <f>+'Form20 '!F58</f>
        <v>0</v>
      </c>
      <c r="Z57" s="18">
        <v>6</v>
      </c>
      <c r="AA57" s="64" t="s">
        <v>67</v>
      </c>
      <c r="AB57" s="12">
        <f>+'Form20 '!G58</f>
        <v>1</v>
      </c>
      <c r="AC57" s="18">
        <v>7</v>
      </c>
      <c r="AD57" s="63" t="s">
        <v>68</v>
      </c>
      <c r="AE57" s="12">
        <f>+'Form20 '!H58</f>
        <v>1</v>
      </c>
      <c r="AF57" s="18">
        <v>8</v>
      </c>
      <c r="AG57" s="63" t="s">
        <v>69</v>
      </c>
      <c r="AH57" s="12">
        <f>+'Form20 '!I58</f>
        <v>0</v>
      </c>
      <c r="AI57" s="18">
        <v>9</v>
      </c>
      <c r="AJ57" s="65" t="s">
        <v>70</v>
      </c>
      <c r="AK57" s="12">
        <f>+'Form20 '!J58</f>
        <v>14</v>
      </c>
      <c r="AL57" s="18">
        <v>10</v>
      </c>
      <c r="AM57" s="66" t="s">
        <v>30</v>
      </c>
      <c r="AN57" s="12">
        <f>+'Form20 '!K58</f>
        <v>0</v>
      </c>
      <c r="AO57" s="18">
        <v>11</v>
      </c>
      <c r="AP57" s="66" t="s">
        <v>30</v>
      </c>
      <c r="AQ57" s="12">
        <f>+'Form20 '!L58</f>
        <v>1</v>
      </c>
      <c r="AR57" s="18">
        <v>12</v>
      </c>
      <c r="AS57" s="66" t="s">
        <v>30</v>
      </c>
      <c r="AT57" s="12">
        <f>+'Form20 '!M58</f>
        <v>1</v>
      </c>
      <c r="AU57" s="18">
        <v>13</v>
      </c>
      <c r="AV57" s="66" t="s">
        <v>30</v>
      </c>
      <c r="AW57" s="12">
        <f>+'Form20 '!N58</f>
        <v>2</v>
      </c>
      <c r="AX57" s="18">
        <v>14</v>
      </c>
      <c r="AY57" s="66" t="s">
        <v>30</v>
      </c>
      <c r="AZ57" s="12">
        <f>+'Form20 '!O58</f>
        <v>2</v>
      </c>
      <c r="BA57" s="75">
        <f t="shared" si="1"/>
        <v>500</v>
      </c>
    </row>
    <row r="58" spans="1:53" s="67" customFormat="1" ht="59.25" customHeight="1">
      <c r="A58" s="18">
        <v>333</v>
      </c>
      <c r="B58" s="59">
        <v>52</v>
      </c>
      <c r="C58" s="76" t="s">
        <v>132</v>
      </c>
      <c r="D58" s="61">
        <v>715</v>
      </c>
      <c r="E58" s="61">
        <v>185</v>
      </c>
      <c r="F58" s="61">
        <v>255</v>
      </c>
      <c r="G58" s="55">
        <v>0</v>
      </c>
      <c r="H58" s="62">
        <f t="shared" si="0"/>
        <v>440</v>
      </c>
      <c r="I58" s="55">
        <v>23</v>
      </c>
      <c r="J58" s="29">
        <v>0</v>
      </c>
      <c r="K58" s="18">
        <v>1</v>
      </c>
      <c r="L58" s="63" t="s">
        <v>29</v>
      </c>
      <c r="M58" s="12">
        <f>+'Form20 '!B59</f>
        <v>177</v>
      </c>
      <c r="N58" s="18">
        <v>2</v>
      </c>
      <c r="O58" s="58" t="s">
        <v>24</v>
      </c>
      <c r="P58" s="12">
        <f>+'Form20 '!C59</f>
        <v>8</v>
      </c>
      <c r="Q58" s="18">
        <v>3</v>
      </c>
      <c r="R58" s="63" t="s">
        <v>28</v>
      </c>
      <c r="S58" s="12">
        <f>+'Form20 '!D59</f>
        <v>233</v>
      </c>
      <c r="T58" s="18">
        <v>4</v>
      </c>
      <c r="U58" s="64" t="s">
        <v>65</v>
      </c>
      <c r="V58" s="12">
        <f>+'Form20 '!E59</f>
        <v>2</v>
      </c>
      <c r="W58" s="18">
        <v>5</v>
      </c>
      <c r="X58" s="58" t="s">
        <v>66</v>
      </c>
      <c r="Y58" s="12">
        <f>+'Form20 '!F59</f>
        <v>1</v>
      </c>
      <c r="Z58" s="18">
        <v>6</v>
      </c>
      <c r="AA58" s="64" t="s">
        <v>67</v>
      </c>
      <c r="AB58" s="12">
        <f>+'Form20 '!G59</f>
        <v>1</v>
      </c>
      <c r="AC58" s="18">
        <v>7</v>
      </c>
      <c r="AD58" s="63" t="s">
        <v>68</v>
      </c>
      <c r="AE58" s="12">
        <f>+'Form20 '!H59</f>
        <v>0</v>
      </c>
      <c r="AF58" s="18">
        <v>8</v>
      </c>
      <c r="AG58" s="63" t="s">
        <v>69</v>
      </c>
      <c r="AH58" s="12">
        <f>+'Form20 '!I59</f>
        <v>0</v>
      </c>
      <c r="AI58" s="18">
        <v>9</v>
      </c>
      <c r="AJ58" s="65" t="s">
        <v>70</v>
      </c>
      <c r="AK58" s="12">
        <f>+'Form20 '!J59</f>
        <v>14</v>
      </c>
      <c r="AL58" s="18">
        <v>10</v>
      </c>
      <c r="AM58" s="66" t="s">
        <v>30</v>
      </c>
      <c r="AN58" s="12">
        <f>+'Form20 '!K59</f>
        <v>0</v>
      </c>
      <c r="AO58" s="18">
        <v>11</v>
      </c>
      <c r="AP58" s="66" t="s">
        <v>30</v>
      </c>
      <c r="AQ58" s="12">
        <f>+'Form20 '!L59</f>
        <v>1</v>
      </c>
      <c r="AR58" s="18">
        <v>12</v>
      </c>
      <c r="AS58" s="66" t="s">
        <v>30</v>
      </c>
      <c r="AT58" s="12">
        <f>+'Form20 '!M59</f>
        <v>1</v>
      </c>
      <c r="AU58" s="18">
        <v>13</v>
      </c>
      <c r="AV58" s="66" t="s">
        <v>30</v>
      </c>
      <c r="AW58" s="12">
        <f>+'Form20 '!N59</f>
        <v>0</v>
      </c>
      <c r="AX58" s="18">
        <v>14</v>
      </c>
      <c r="AY58" s="66" t="s">
        <v>30</v>
      </c>
      <c r="AZ58" s="12">
        <f>+'Form20 '!O59</f>
        <v>1</v>
      </c>
      <c r="BA58" s="75">
        <f t="shared" si="1"/>
        <v>439</v>
      </c>
    </row>
    <row r="59" spans="1:53" s="67" customFormat="1" ht="59.25" customHeight="1">
      <c r="A59" s="18">
        <v>333</v>
      </c>
      <c r="B59" s="59">
        <v>53</v>
      </c>
      <c r="C59" s="76" t="s">
        <v>133</v>
      </c>
      <c r="D59" s="61">
        <v>921</v>
      </c>
      <c r="E59" s="61">
        <v>231</v>
      </c>
      <c r="F59" s="61">
        <v>320</v>
      </c>
      <c r="G59" s="55">
        <v>0</v>
      </c>
      <c r="H59" s="62">
        <f t="shared" si="0"/>
        <v>551</v>
      </c>
      <c r="I59" s="55">
        <v>151</v>
      </c>
      <c r="J59" s="29">
        <v>0</v>
      </c>
      <c r="K59" s="18">
        <v>1</v>
      </c>
      <c r="L59" s="63" t="s">
        <v>29</v>
      </c>
      <c r="M59" s="12">
        <f>+'Form20 '!B60</f>
        <v>87</v>
      </c>
      <c r="N59" s="18">
        <v>2</v>
      </c>
      <c r="O59" s="58" t="s">
        <v>24</v>
      </c>
      <c r="P59" s="12">
        <f>+'Form20 '!C60</f>
        <v>85</v>
      </c>
      <c r="Q59" s="18">
        <v>3</v>
      </c>
      <c r="R59" s="63" t="s">
        <v>28</v>
      </c>
      <c r="S59" s="12">
        <f>+'Form20 '!D60</f>
        <v>326</v>
      </c>
      <c r="T59" s="18">
        <v>4</v>
      </c>
      <c r="U59" s="64" t="s">
        <v>65</v>
      </c>
      <c r="V59" s="12">
        <f>+'Form20 '!E60</f>
        <v>4</v>
      </c>
      <c r="W59" s="18">
        <v>5</v>
      </c>
      <c r="X59" s="58" t="s">
        <v>66</v>
      </c>
      <c r="Y59" s="12">
        <f>+'Form20 '!F60</f>
        <v>0</v>
      </c>
      <c r="Z59" s="18">
        <v>6</v>
      </c>
      <c r="AA59" s="64" t="s">
        <v>67</v>
      </c>
      <c r="AB59" s="12">
        <f>+'Form20 '!G60</f>
        <v>0</v>
      </c>
      <c r="AC59" s="18">
        <v>7</v>
      </c>
      <c r="AD59" s="63" t="s">
        <v>68</v>
      </c>
      <c r="AE59" s="12">
        <f>+'Form20 '!H60</f>
        <v>0</v>
      </c>
      <c r="AF59" s="18">
        <v>8</v>
      </c>
      <c r="AG59" s="63" t="s">
        <v>69</v>
      </c>
      <c r="AH59" s="12">
        <f>+'Form20 '!I60</f>
        <v>0</v>
      </c>
      <c r="AI59" s="18">
        <v>9</v>
      </c>
      <c r="AJ59" s="65" t="s">
        <v>70</v>
      </c>
      <c r="AK59" s="12">
        <f>+'Form20 '!J60</f>
        <v>37</v>
      </c>
      <c r="AL59" s="18">
        <v>10</v>
      </c>
      <c r="AM59" s="66" t="s">
        <v>30</v>
      </c>
      <c r="AN59" s="12">
        <f>+'Form20 '!K60</f>
        <v>1</v>
      </c>
      <c r="AO59" s="18">
        <v>11</v>
      </c>
      <c r="AP59" s="66" t="s">
        <v>30</v>
      </c>
      <c r="AQ59" s="12">
        <f>+'Form20 '!L60</f>
        <v>0</v>
      </c>
      <c r="AR59" s="18">
        <v>12</v>
      </c>
      <c r="AS59" s="66" t="s">
        <v>30</v>
      </c>
      <c r="AT59" s="12">
        <f>+'Form20 '!M60</f>
        <v>2</v>
      </c>
      <c r="AU59" s="18">
        <v>13</v>
      </c>
      <c r="AV59" s="66" t="s">
        <v>30</v>
      </c>
      <c r="AW59" s="12">
        <f>+'Form20 '!N60</f>
        <v>1</v>
      </c>
      <c r="AX59" s="18">
        <v>14</v>
      </c>
      <c r="AY59" s="66" t="s">
        <v>30</v>
      </c>
      <c r="AZ59" s="12">
        <f>+'Form20 '!O60</f>
        <v>2</v>
      </c>
      <c r="BA59" s="75">
        <f t="shared" si="1"/>
        <v>545</v>
      </c>
    </row>
    <row r="60" spans="1:53" s="67" customFormat="1" ht="59.25" customHeight="1">
      <c r="A60" s="18">
        <v>333</v>
      </c>
      <c r="B60" s="59">
        <v>54</v>
      </c>
      <c r="C60" s="76" t="s">
        <v>134</v>
      </c>
      <c r="D60" s="61">
        <v>903</v>
      </c>
      <c r="E60" s="61">
        <v>241</v>
      </c>
      <c r="F60" s="61">
        <v>322</v>
      </c>
      <c r="G60" s="55">
        <v>0</v>
      </c>
      <c r="H60" s="62">
        <f t="shared" si="0"/>
        <v>563</v>
      </c>
      <c r="I60" s="55">
        <v>21</v>
      </c>
      <c r="J60" s="29">
        <v>0</v>
      </c>
      <c r="K60" s="18">
        <v>1</v>
      </c>
      <c r="L60" s="63" t="s">
        <v>29</v>
      </c>
      <c r="M60" s="12">
        <f>+'Form20 '!B61</f>
        <v>143</v>
      </c>
      <c r="N60" s="18">
        <v>2</v>
      </c>
      <c r="O60" s="58" t="s">
        <v>24</v>
      </c>
      <c r="P60" s="12">
        <f>+'Form20 '!C61</f>
        <v>6</v>
      </c>
      <c r="Q60" s="18">
        <v>3</v>
      </c>
      <c r="R60" s="63" t="s">
        <v>28</v>
      </c>
      <c r="S60" s="12">
        <f>+'Form20 '!D61</f>
        <v>383</v>
      </c>
      <c r="T60" s="18">
        <v>4</v>
      </c>
      <c r="U60" s="64" t="s">
        <v>65</v>
      </c>
      <c r="V60" s="12">
        <f>+'Form20 '!E61</f>
        <v>0</v>
      </c>
      <c r="W60" s="18">
        <v>5</v>
      </c>
      <c r="X60" s="58" t="s">
        <v>66</v>
      </c>
      <c r="Y60" s="12">
        <f>+'Form20 '!F61</f>
        <v>1</v>
      </c>
      <c r="Z60" s="18">
        <v>6</v>
      </c>
      <c r="AA60" s="64" t="s">
        <v>67</v>
      </c>
      <c r="AB60" s="12">
        <f>+'Form20 '!G61</f>
        <v>0</v>
      </c>
      <c r="AC60" s="18">
        <v>7</v>
      </c>
      <c r="AD60" s="63" t="s">
        <v>68</v>
      </c>
      <c r="AE60" s="12">
        <f>+'Form20 '!H61</f>
        <v>0</v>
      </c>
      <c r="AF60" s="18">
        <v>8</v>
      </c>
      <c r="AG60" s="63" t="s">
        <v>69</v>
      </c>
      <c r="AH60" s="12">
        <f>+'Form20 '!I61</f>
        <v>0</v>
      </c>
      <c r="AI60" s="18">
        <v>9</v>
      </c>
      <c r="AJ60" s="65" t="s">
        <v>70</v>
      </c>
      <c r="AK60" s="12">
        <f>+'Form20 '!J61</f>
        <v>23</v>
      </c>
      <c r="AL60" s="18">
        <v>10</v>
      </c>
      <c r="AM60" s="66" t="s">
        <v>30</v>
      </c>
      <c r="AN60" s="12">
        <f>+'Form20 '!K61</f>
        <v>1</v>
      </c>
      <c r="AO60" s="18">
        <v>11</v>
      </c>
      <c r="AP60" s="66" t="s">
        <v>30</v>
      </c>
      <c r="AQ60" s="12">
        <f>+'Form20 '!L61</f>
        <v>1</v>
      </c>
      <c r="AR60" s="18">
        <v>12</v>
      </c>
      <c r="AS60" s="66" t="s">
        <v>30</v>
      </c>
      <c r="AT60" s="12">
        <f>+'Form20 '!M61</f>
        <v>1</v>
      </c>
      <c r="AU60" s="18">
        <v>13</v>
      </c>
      <c r="AV60" s="66" t="s">
        <v>30</v>
      </c>
      <c r="AW60" s="12">
        <f>+'Form20 '!N61</f>
        <v>1</v>
      </c>
      <c r="AX60" s="18">
        <v>14</v>
      </c>
      <c r="AY60" s="66" t="s">
        <v>30</v>
      </c>
      <c r="AZ60" s="12">
        <f>+'Form20 '!O61</f>
        <v>3</v>
      </c>
      <c r="BA60" s="75">
        <f t="shared" si="1"/>
        <v>563</v>
      </c>
    </row>
    <row r="61" spans="1:53" s="67" customFormat="1" ht="59.25" customHeight="1">
      <c r="A61" s="18">
        <v>333</v>
      </c>
      <c r="B61" s="59">
        <v>55</v>
      </c>
      <c r="C61" s="76" t="s">
        <v>135</v>
      </c>
      <c r="D61" s="61">
        <v>844</v>
      </c>
      <c r="E61" s="61">
        <v>260</v>
      </c>
      <c r="F61" s="61">
        <v>318</v>
      </c>
      <c r="G61" s="55">
        <v>0</v>
      </c>
      <c r="H61" s="62">
        <f t="shared" si="0"/>
        <v>578</v>
      </c>
      <c r="I61" s="55">
        <v>150</v>
      </c>
      <c r="J61" s="29">
        <v>0</v>
      </c>
      <c r="K61" s="18">
        <v>1</v>
      </c>
      <c r="L61" s="63" t="s">
        <v>29</v>
      </c>
      <c r="M61" s="12">
        <f>+'Form20 '!B62</f>
        <v>140</v>
      </c>
      <c r="N61" s="18">
        <v>2</v>
      </c>
      <c r="O61" s="58" t="s">
        <v>24</v>
      </c>
      <c r="P61" s="12">
        <f>+'Form20 '!C62</f>
        <v>8</v>
      </c>
      <c r="Q61" s="18">
        <v>3</v>
      </c>
      <c r="R61" s="63" t="s">
        <v>28</v>
      </c>
      <c r="S61" s="12">
        <f>+'Form20 '!D62</f>
        <v>383</v>
      </c>
      <c r="T61" s="18">
        <v>4</v>
      </c>
      <c r="U61" s="64" t="s">
        <v>65</v>
      </c>
      <c r="V61" s="12">
        <f>+'Form20 '!E62</f>
        <v>1</v>
      </c>
      <c r="W61" s="18">
        <v>5</v>
      </c>
      <c r="X61" s="58" t="s">
        <v>66</v>
      </c>
      <c r="Y61" s="12">
        <f>+'Form20 '!F62</f>
        <v>0</v>
      </c>
      <c r="Z61" s="18">
        <v>6</v>
      </c>
      <c r="AA61" s="64" t="s">
        <v>67</v>
      </c>
      <c r="AB61" s="12">
        <f>+'Form20 '!G62</f>
        <v>0</v>
      </c>
      <c r="AC61" s="18">
        <v>7</v>
      </c>
      <c r="AD61" s="63" t="s">
        <v>68</v>
      </c>
      <c r="AE61" s="12">
        <f>+'Form20 '!H62</f>
        <v>0</v>
      </c>
      <c r="AF61" s="18">
        <v>8</v>
      </c>
      <c r="AG61" s="63" t="s">
        <v>69</v>
      </c>
      <c r="AH61" s="12">
        <f>+'Form20 '!I62</f>
        <v>0</v>
      </c>
      <c r="AI61" s="18">
        <v>9</v>
      </c>
      <c r="AJ61" s="65" t="s">
        <v>70</v>
      </c>
      <c r="AK61" s="12">
        <f>+'Form20 '!J62</f>
        <v>36</v>
      </c>
      <c r="AL61" s="18">
        <v>10</v>
      </c>
      <c r="AM61" s="66" t="s">
        <v>30</v>
      </c>
      <c r="AN61" s="12">
        <f>+'Form20 '!K62</f>
        <v>0</v>
      </c>
      <c r="AO61" s="18">
        <v>11</v>
      </c>
      <c r="AP61" s="66" t="s">
        <v>30</v>
      </c>
      <c r="AQ61" s="12">
        <f>+'Form20 '!L62</f>
        <v>1</v>
      </c>
      <c r="AR61" s="18">
        <v>12</v>
      </c>
      <c r="AS61" s="66" t="s">
        <v>30</v>
      </c>
      <c r="AT61" s="12">
        <f>+'Form20 '!M62</f>
        <v>3</v>
      </c>
      <c r="AU61" s="18">
        <v>13</v>
      </c>
      <c r="AV61" s="66" t="s">
        <v>30</v>
      </c>
      <c r="AW61" s="12">
        <f>+'Form20 '!N62</f>
        <v>3</v>
      </c>
      <c r="AX61" s="18">
        <v>14</v>
      </c>
      <c r="AY61" s="66" t="s">
        <v>30</v>
      </c>
      <c r="AZ61" s="12">
        <f>+'Form20 '!O62</f>
        <v>0</v>
      </c>
      <c r="BA61" s="75">
        <f t="shared" si="1"/>
        <v>575</v>
      </c>
    </row>
    <row r="62" spans="1:53" s="67" customFormat="1" ht="59.25" customHeight="1">
      <c r="A62" s="18">
        <v>333</v>
      </c>
      <c r="B62" s="59">
        <v>56</v>
      </c>
      <c r="C62" s="76" t="s">
        <v>136</v>
      </c>
      <c r="D62" s="61">
        <v>637</v>
      </c>
      <c r="E62" s="61">
        <v>158</v>
      </c>
      <c r="F62" s="61">
        <v>195</v>
      </c>
      <c r="G62" s="55">
        <v>0</v>
      </c>
      <c r="H62" s="62">
        <f t="shared" si="0"/>
        <v>353</v>
      </c>
      <c r="I62" s="55">
        <v>14</v>
      </c>
      <c r="J62" s="29">
        <v>0</v>
      </c>
      <c r="K62" s="18">
        <v>1</v>
      </c>
      <c r="L62" s="63" t="s">
        <v>29</v>
      </c>
      <c r="M62" s="12">
        <f>+'Form20 '!B63</f>
        <v>264</v>
      </c>
      <c r="N62" s="18">
        <v>2</v>
      </c>
      <c r="O62" s="58" t="s">
        <v>24</v>
      </c>
      <c r="P62" s="12">
        <f>+'Form20 '!C63</f>
        <v>2</v>
      </c>
      <c r="Q62" s="18">
        <v>3</v>
      </c>
      <c r="R62" s="63" t="s">
        <v>28</v>
      </c>
      <c r="S62" s="12">
        <f>+'Form20 '!D63</f>
        <v>82</v>
      </c>
      <c r="T62" s="18">
        <v>4</v>
      </c>
      <c r="U62" s="64" t="s">
        <v>65</v>
      </c>
      <c r="V62" s="12">
        <f>+'Form20 '!E63</f>
        <v>0</v>
      </c>
      <c r="W62" s="18">
        <v>5</v>
      </c>
      <c r="X62" s="58" t="s">
        <v>66</v>
      </c>
      <c r="Y62" s="12">
        <f>+'Form20 '!F63</f>
        <v>0</v>
      </c>
      <c r="Z62" s="18">
        <v>6</v>
      </c>
      <c r="AA62" s="64" t="s">
        <v>67</v>
      </c>
      <c r="AB62" s="12">
        <f>+'Form20 '!G63</f>
        <v>0</v>
      </c>
      <c r="AC62" s="18">
        <v>7</v>
      </c>
      <c r="AD62" s="63" t="s">
        <v>68</v>
      </c>
      <c r="AE62" s="12">
        <f>+'Form20 '!H63</f>
        <v>0</v>
      </c>
      <c r="AF62" s="18">
        <v>8</v>
      </c>
      <c r="AG62" s="63" t="s">
        <v>69</v>
      </c>
      <c r="AH62" s="12">
        <f>+'Form20 '!I63</f>
        <v>0</v>
      </c>
      <c r="AI62" s="18">
        <v>9</v>
      </c>
      <c r="AJ62" s="65" t="s">
        <v>70</v>
      </c>
      <c r="AK62" s="12">
        <f>+'Form20 '!J63</f>
        <v>0</v>
      </c>
      <c r="AL62" s="18">
        <v>10</v>
      </c>
      <c r="AM62" s="66" t="s">
        <v>30</v>
      </c>
      <c r="AN62" s="12">
        <f>+'Form20 '!K63</f>
        <v>3</v>
      </c>
      <c r="AO62" s="18">
        <v>11</v>
      </c>
      <c r="AP62" s="66" t="s">
        <v>30</v>
      </c>
      <c r="AQ62" s="12">
        <f>+'Form20 '!L63</f>
        <v>0</v>
      </c>
      <c r="AR62" s="18">
        <v>12</v>
      </c>
      <c r="AS62" s="66" t="s">
        <v>30</v>
      </c>
      <c r="AT62" s="12">
        <f>+'Form20 '!M63</f>
        <v>1</v>
      </c>
      <c r="AU62" s="18">
        <v>13</v>
      </c>
      <c r="AV62" s="66" t="s">
        <v>30</v>
      </c>
      <c r="AW62" s="12">
        <f>+'Form20 '!N63</f>
        <v>0</v>
      </c>
      <c r="AX62" s="18">
        <v>14</v>
      </c>
      <c r="AY62" s="66" t="s">
        <v>30</v>
      </c>
      <c r="AZ62" s="12">
        <f>+'Form20 '!O63</f>
        <v>0</v>
      </c>
      <c r="BA62" s="75">
        <f t="shared" si="1"/>
        <v>352</v>
      </c>
    </row>
    <row r="63" spans="1:53" s="67" customFormat="1" ht="59.25" customHeight="1">
      <c r="A63" s="18">
        <v>333</v>
      </c>
      <c r="B63" s="59">
        <v>57</v>
      </c>
      <c r="C63" s="76" t="s">
        <v>137</v>
      </c>
      <c r="D63" s="61">
        <v>644</v>
      </c>
      <c r="E63" s="61">
        <v>185</v>
      </c>
      <c r="F63" s="61">
        <v>233</v>
      </c>
      <c r="G63" s="55">
        <v>0</v>
      </c>
      <c r="H63" s="62">
        <f t="shared" si="0"/>
        <v>418</v>
      </c>
      <c r="I63" s="55">
        <v>10</v>
      </c>
      <c r="J63" s="29">
        <v>0</v>
      </c>
      <c r="K63" s="18">
        <v>1</v>
      </c>
      <c r="L63" s="63" t="s">
        <v>29</v>
      </c>
      <c r="M63" s="12">
        <f>+'Form20 '!B64</f>
        <v>236</v>
      </c>
      <c r="N63" s="18">
        <v>2</v>
      </c>
      <c r="O63" s="58" t="s">
        <v>24</v>
      </c>
      <c r="P63" s="12">
        <f>+'Form20 '!C64</f>
        <v>65</v>
      </c>
      <c r="Q63" s="18">
        <v>3</v>
      </c>
      <c r="R63" s="63" t="s">
        <v>28</v>
      </c>
      <c r="S63" s="12">
        <f>+'Form20 '!D64</f>
        <v>109</v>
      </c>
      <c r="T63" s="18">
        <v>4</v>
      </c>
      <c r="U63" s="64" t="s">
        <v>65</v>
      </c>
      <c r="V63" s="12">
        <f>+'Form20 '!E64</f>
        <v>3</v>
      </c>
      <c r="W63" s="18">
        <v>5</v>
      </c>
      <c r="X63" s="58" t="s">
        <v>66</v>
      </c>
      <c r="Y63" s="12">
        <f>+'Form20 '!F64</f>
        <v>0</v>
      </c>
      <c r="Z63" s="18">
        <v>6</v>
      </c>
      <c r="AA63" s="64" t="s">
        <v>67</v>
      </c>
      <c r="AB63" s="12">
        <f>+'Form20 '!G64</f>
        <v>0</v>
      </c>
      <c r="AC63" s="18">
        <v>7</v>
      </c>
      <c r="AD63" s="63" t="s">
        <v>68</v>
      </c>
      <c r="AE63" s="12">
        <f>+'Form20 '!H64</f>
        <v>0</v>
      </c>
      <c r="AF63" s="18">
        <v>8</v>
      </c>
      <c r="AG63" s="63" t="s">
        <v>69</v>
      </c>
      <c r="AH63" s="12">
        <f>+'Form20 '!I64</f>
        <v>0</v>
      </c>
      <c r="AI63" s="18">
        <v>9</v>
      </c>
      <c r="AJ63" s="65" t="s">
        <v>70</v>
      </c>
      <c r="AK63" s="12">
        <f>+'Form20 '!J64</f>
        <v>0</v>
      </c>
      <c r="AL63" s="18">
        <v>10</v>
      </c>
      <c r="AM63" s="66" t="s">
        <v>30</v>
      </c>
      <c r="AN63" s="12">
        <f>+'Form20 '!K64</f>
        <v>1</v>
      </c>
      <c r="AO63" s="18">
        <v>11</v>
      </c>
      <c r="AP63" s="66" t="s">
        <v>30</v>
      </c>
      <c r="AQ63" s="12">
        <f>+'Form20 '!L64</f>
        <v>0</v>
      </c>
      <c r="AR63" s="18">
        <v>12</v>
      </c>
      <c r="AS63" s="66" t="s">
        <v>30</v>
      </c>
      <c r="AT63" s="12">
        <f>+'Form20 '!M64</f>
        <v>0</v>
      </c>
      <c r="AU63" s="18">
        <v>13</v>
      </c>
      <c r="AV63" s="66" t="s">
        <v>30</v>
      </c>
      <c r="AW63" s="12">
        <f>+'Form20 '!N64</f>
        <v>0</v>
      </c>
      <c r="AX63" s="18">
        <v>14</v>
      </c>
      <c r="AY63" s="66" t="s">
        <v>30</v>
      </c>
      <c r="AZ63" s="12">
        <f>+'Form20 '!O64</f>
        <v>2</v>
      </c>
      <c r="BA63" s="75">
        <f t="shared" si="1"/>
        <v>416</v>
      </c>
    </row>
    <row r="64" spans="1:53" s="67" customFormat="1" ht="59.25" customHeight="1">
      <c r="A64" s="18">
        <v>333</v>
      </c>
      <c r="B64" s="59">
        <v>58</v>
      </c>
      <c r="C64" s="76" t="s">
        <v>138</v>
      </c>
      <c r="D64" s="61">
        <v>1068</v>
      </c>
      <c r="E64" s="61">
        <v>274</v>
      </c>
      <c r="F64" s="61">
        <v>302</v>
      </c>
      <c r="G64" s="55">
        <v>0</v>
      </c>
      <c r="H64" s="62">
        <f t="shared" si="0"/>
        <v>576</v>
      </c>
      <c r="I64" s="55">
        <v>13</v>
      </c>
      <c r="J64" s="29">
        <v>0</v>
      </c>
      <c r="K64" s="18">
        <v>1</v>
      </c>
      <c r="L64" s="63" t="s">
        <v>29</v>
      </c>
      <c r="M64" s="12">
        <f>+'Form20 '!B65</f>
        <v>396</v>
      </c>
      <c r="N64" s="18">
        <v>2</v>
      </c>
      <c r="O64" s="58" t="s">
        <v>24</v>
      </c>
      <c r="P64" s="12">
        <f>+'Form20 '!C65</f>
        <v>5</v>
      </c>
      <c r="Q64" s="18">
        <v>3</v>
      </c>
      <c r="R64" s="63" t="s">
        <v>28</v>
      </c>
      <c r="S64" s="12">
        <f>+'Form20 '!D65</f>
        <v>158</v>
      </c>
      <c r="T64" s="18">
        <v>4</v>
      </c>
      <c r="U64" s="64" t="s">
        <v>65</v>
      </c>
      <c r="V64" s="12">
        <f>+'Form20 '!E65</f>
        <v>12</v>
      </c>
      <c r="W64" s="18">
        <v>5</v>
      </c>
      <c r="X64" s="58" t="s">
        <v>66</v>
      </c>
      <c r="Y64" s="12">
        <f>+'Form20 '!F65</f>
        <v>0</v>
      </c>
      <c r="Z64" s="18">
        <v>6</v>
      </c>
      <c r="AA64" s="64" t="s">
        <v>67</v>
      </c>
      <c r="AB64" s="12">
        <f>+'Form20 '!G65</f>
        <v>0</v>
      </c>
      <c r="AC64" s="18">
        <v>7</v>
      </c>
      <c r="AD64" s="63" t="s">
        <v>68</v>
      </c>
      <c r="AE64" s="12">
        <f>+'Form20 '!H65</f>
        <v>1</v>
      </c>
      <c r="AF64" s="18">
        <v>8</v>
      </c>
      <c r="AG64" s="63" t="s">
        <v>69</v>
      </c>
      <c r="AH64" s="12">
        <f>+'Form20 '!I65</f>
        <v>0</v>
      </c>
      <c r="AI64" s="18">
        <v>9</v>
      </c>
      <c r="AJ64" s="65" t="s">
        <v>70</v>
      </c>
      <c r="AK64" s="12">
        <f>+'Form20 '!J65</f>
        <v>0</v>
      </c>
      <c r="AL64" s="18">
        <v>10</v>
      </c>
      <c r="AM64" s="66" t="s">
        <v>30</v>
      </c>
      <c r="AN64" s="12">
        <f>+'Form20 '!K65</f>
        <v>0</v>
      </c>
      <c r="AO64" s="18">
        <v>11</v>
      </c>
      <c r="AP64" s="66" t="s">
        <v>30</v>
      </c>
      <c r="AQ64" s="12">
        <f>+'Form20 '!L65</f>
        <v>0</v>
      </c>
      <c r="AR64" s="18">
        <v>12</v>
      </c>
      <c r="AS64" s="66" t="s">
        <v>30</v>
      </c>
      <c r="AT64" s="12">
        <f>+'Form20 '!M65</f>
        <v>1</v>
      </c>
      <c r="AU64" s="18">
        <v>13</v>
      </c>
      <c r="AV64" s="66" t="s">
        <v>30</v>
      </c>
      <c r="AW64" s="12">
        <f>+'Form20 '!N65</f>
        <v>1</v>
      </c>
      <c r="AX64" s="18">
        <v>14</v>
      </c>
      <c r="AY64" s="66" t="s">
        <v>30</v>
      </c>
      <c r="AZ64" s="12">
        <f>+'Form20 '!O65</f>
        <v>0</v>
      </c>
      <c r="BA64" s="75">
        <f t="shared" si="1"/>
        <v>574</v>
      </c>
    </row>
    <row r="65" spans="1:53" s="67" customFormat="1" ht="59.25" customHeight="1">
      <c r="A65" s="18">
        <v>333</v>
      </c>
      <c r="B65" s="59">
        <v>59</v>
      </c>
      <c r="C65" s="76" t="s">
        <v>139</v>
      </c>
      <c r="D65" s="61">
        <v>1139</v>
      </c>
      <c r="E65" s="61">
        <v>289</v>
      </c>
      <c r="F65" s="61">
        <v>333</v>
      </c>
      <c r="G65" s="55">
        <v>0</v>
      </c>
      <c r="H65" s="62">
        <f t="shared" si="0"/>
        <v>622</v>
      </c>
      <c r="I65" s="55">
        <v>26</v>
      </c>
      <c r="J65" s="29">
        <v>0</v>
      </c>
      <c r="K65" s="18">
        <v>1</v>
      </c>
      <c r="L65" s="63" t="s">
        <v>29</v>
      </c>
      <c r="M65" s="12">
        <f>+'Form20 '!B66</f>
        <v>311</v>
      </c>
      <c r="N65" s="18">
        <v>2</v>
      </c>
      <c r="O65" s="58" t="s">
        <v>24</v>
      </c>
      <c r="P65" s="12">
        <f>+'Form20 '!C66</f>
        <v>62</v>
      </c>
      <c r="Q65" s="18">
        <v>3</v>
      </c>
      <c r="R65" s="63" t="s">
        <v>28</v>
      </c>
      <c r="S65" s="12">
        <f>+'Form20 '!D66</f>
        <v>195</v>
      </c>
      <c r="T65" s="18">
        <v>4</v>
      </c>
      <c r="U65" s="64" t="s">
        <v>65</v>
      </c>
      <c r="V65" s="12">
        <f>+'Form20 '!E66</f>
        <v>36</v>
      </c>
      <c r="W65" s="18">
        <v>5</v>
      </c>
      <c r="X65" s="58" t="s">
        <v>66</v>
      </c>
      <c r="Y65" s="12">
        <f>+'Form20 '!F66</f>
        <v>0</v>
      </c>
      <c r="Z65" s="18">
        <v>6</v>
      </c>
      <c r="AA65" s="64" t="s">
        <v>67</v>
      </c>
      <c r="AB65" s="12">
        <f>+'Form20 '!G66</f>
        <v>0</v>
      </c>
      <c r="AC65" s="18">
        <v>7</v>
      </c>
      <c r="AD65" s="63" t="s">
        <v>68</v>
      </c>
      <c r="AE65" s="12">
        <f>+'Form20 '!H66</f>
        <v>1</v>
      </c>
      <c r="AF65" s="18">
        <v>8</v>
      </c>
      <c r="AG65" s="63" t="s">
        <v>69</v>
      </c>
      <c r="AH65" s="12">
        <f>+'Form20 '!I66</f>
        <v>1</v>
      </c>
      <c r="AI65" s="18">
        <v>9</v>
      </c>
      <c r="AJ65" s="65" t="s">
        <v>70</v>
      </c>
      <c r="AK65" s="12">
        <f>+'Form20 '!J66</f>
        <v>0</v>
      </c>
      <c r="AL65" s="18">
        <v>10</v>
      </c>
      <c r="AM65" s="66" t="s">
        <v>30</v>
      </c>
      <c r="AN65" s="12">
        <f>+'Form20 '!K66</f>
        <v>0</v>
      </c>
      <c r="AO65" s="18">
        <v>11</v>
      </c>
      <c r="AP65" s="66" t="s">
        <v>30</v>
      </c>
      <c r="AQ65" s="12">
        <f>+'Form20 '!L66</f>
        <v>2</v>
      </c>
      <c r="AR65" s="18">
        <v>12</v>
      </c>
      <c r="AS65" s="66" t="s">
        <v>30</v>
      </c>
      <c r="AT65" s="12">
        <f>+'Form20 '!M66</f>
        <v>3</v>
      </c>
      <c r="AU65" s="18">
        <v>13</v>
      </c>
      <c r="AV65" s="66" t="s">
        <v>30</v>
      </c>
      <c r="AW65" s="12">
        <f>+'Form20 '!N66</f>
        <v>4</v>
      </c>
      <c r="AX65" s="18">
        <v>14</v>
      </c>
      <c r="AY65" s="66" t="s">
        <v>30</v>
      </c>
      <c r="AZ65" s="12">
        <f>+'Form20 '!O66</f>
        <v>2</v>
      </c>
      <c r="BA65" s="75">
        <f t="shared" si="1"/>
        <v>617</v>
      </c>
    </row>
    <row r="66" spans="1:53" s="67" customFormat="1" ht="59.25" customHeight="1">
      <c r="A66" s="18">
        <v>333</v>
      </c>
      <c r="B66" s="59">
        <v>60</v>
      </c>
      <c r="C66" s="76" t="s">
        <v>140</v>
      </c>
      <c r="D66" s="61">
        <v>1035</v>
      </c>
      <c r="E66" s="61">
        <v>230</v>
      </c>
      <c r="F66" s="61">
        <v>250</v>
      </c>
      <c r="G66" s="55">
        <v>0</v>
      </c>
      <c r="H66" s="62">
        <f t="shared" si="0"/>
        <v>480</v>
      </c>
      <c r="I66" s="55">
        <v>22</v>
      </c>
      <c r="J66" s="29">
        <v>0</v>
      </c>
      <c r="K66" s="18">
        <v>1</v>
      </c>
      <c r="L66" s="63" t="s">
        <v>29</v>
      </c>
      <c r="M66" s="12">
        <f>+'Form20 '!B67</f>
        <v>264</v>
      </c>
      <c r="N66" s="18">
        <v>2</v>
      </c>
      <c r="O66" s="58" t="s">
        <v>24</v>
      </c>
      <c r="P66" s="12">
        <f>+'Form20 '!C67</f>
        <v>25</v>
      </c>
      <c r="Q66" s="18">
        <v>3</v>
      </c>
      <c r="R66" s="63" t="s">
        <v>28</v>
      </c>
      <c r="S66" s="12">
        <f>+'Form20 '!D67</f>
        <v>179</v>
      </c>
      <c r="T66" s="18">
        <v>4</v>
      </c>
      <c r="U66" s="64" t="s">
        <v>65</v>
      </c>
      <c r="V66" s="12">
        <f>+'Form20 '!E67</f>
        <v>2</v>
      </c>
      <c r="W66" s="18">
        <v>5</v>
      </c>
      <c r="X66" s="58" t="s">
        <v>66</v>
      </c>
      <c r="Y66" s="12">
        <f>+'Form20 '!F67</f>
        <v>0</v>
      </c>
      <c r="Z66" s="18">
        <v>6</v>
      </c>
      <c r="AA66" s="64" t="s">
        <v>67</v>
      </c>
      <c r="AB66" s="12">
        <f>+'Form20 '!G67</f>
        <v>0</v>
      </c>
      <c r="AC66" s="18">
        <v>7</v>
      </c>
      <c r="AD66" s="63" t="s">
        <v>68</v>
      </c>
      <c r="AE66" s="12">
        <f>+'Form20 '!H67</f>
        <v>0</v>
      </c>
      <c r="AF66" s="18">
        <v>8</v>
      </c>
      <c r="AG66" s="63" t="s">
        <v>69</v>
      </c>
      <c r="AH66" s="12">
        <f>+'Form20 '!I67</f>
        <v>1</v>
      </c>
      <c r="AI66" s="18">
        <v>9</v>
      </c>
      <c r="AJ66" s="65" t="s">
        <v>70</v>
      </c>
      <c r="AK66" s="12">
        <f>+'Form20 '!J67</f>
        <v>0</v>
      </c>
      <c r="AL66" s="18">
        <v>10</v>
      </c>
      <c r="AM66" s="66" t="s">
        <v>30</v>
      </c>
      <c r="AN66" s="12">
        <f>+'Form20 '!K67</f>
        <v>1</v>
      </c>
      <c r="AO66" s="18">
        <v>11</v>
      </c>
      <c r="AP66" s="66" t="s">
        <v>30</v>
      </c>
      <c r="AQ66" s="12">
        <f>+'Form20 '!L67</f>
        <v>2</v>
      </c>
      <c r="AR66" s="18">
        <v>12</v>
      </c>
      <c r="AS66" s="66" t="s">
        <v>30</v>
      </c>
      <c r="AT66" s="12">
        <f>+'Form20 '!M67</f>
        <v>2</v>
      </c>
      <c r="AU66" s="18">
        <v>13</v>
      </c>
      <c r="AV66" s="66" t="s">
        <v>30</v>
      </c>
      <c r="AW66" s="12">
        <f>+'Form20 '!N67</f>
        <v>3</v>
      </c>
      <c r="AX66" s="18">
        <v>14</v>
      </c>
      <c r="AY66" s="66" t="s">
        <v>30</v>
      </c>
      <c r="AZ66" s="12">
        <f>+'Form20 '!O67</f>
        <v>0</v>
      </c>
      <c r="BA66" s="75">
        <f t="shared" si="1"/>
        <v>479</v>
      </c>
    </row>
    <row r="67" spans="1:53" s="67" customFormat="1" ht="59.25" customHeight="1">
      <c r="A67" s="18">
        <v>333</v>
      </c>
      <c r="B67" s="59">
        <v>61</v>
      </c>
      <c r="C67" s="76" t="s">
        <v>141</v>
      </c>
      <c r="D67" s="61">
        <v>789</v>
      </c>
      <c r="E67" s="61">
        <v>178</v>
      </c>
      <c r="F67" s="61">
        <v>224</v>
      </c>
      <c r="G67" s="55">
        <v>0</v>
      </c>
      <c r="H67" s="62">
        <f t="shared" si="0"/>
        <v>402</v>
      </c>
      <c r="I67" s="55">
        <v>30</v>
      </c>
      <c r="J67" s="29">
        <v>0</v>
      </c>
      <c r="K67" s="18">
        <v>1</v>
      </c>
      <c r="L67" s="63" t="s">
        <v>29</v>
      </c>
      <c r="M67" s="12">
        <f>+'Form20 '!B68</f>
        <v>219</v>
      </c>
      <c r="N67" s="18">
        <v>2</v>
      </c>
      <c r="O67" s="58" t="s">
        <v>24</v>
      </c>
      <c r="P67" s="12">
        <f>+'Form20 '!C68</f>
        <v>21</v>
      </c>
      <c r="Q67" s="18">
        <v>3</v>
      </c>
      <c r="R67" s="63" t="s">
        <v>28</v>
      </c>
      <c r="S67" s="12">
        <f>+'Form20 '!D68</f>
        <v>151</v>
      </c>
      <c r="T67" s="18">
        <v>4</v>
      </c>
      <c r="U67" s="64" t="s">
        <v>65</v>
      </c>
      <c r="V67" s="12">
        <f>+'Form20 '!E68</f>
        <v>2</v>
      </c>
      <c r="W67" s="18">
        <v>5</v>
      </c>
      <c r="X67" s="58" t="s">
        <v>66</v>
      </c>
      <c r="Y67" s="12">
        <f>+'Form20 '!F68</f>
        <v>2</v>
      </c>
      <c r="Z67" s="18">
        <v>6</v>
      </c>
      <c r="AA67" s="64" t="s">
        <v>67</v>
      </c>
      <c r="AB67" s="12">
        <f>+'Form20 '!G68</f>
        <v>0</v>
      </c>
      <c r="AC67" s="18">
        <v>7</v>
      </c>
      <c r="AD67" s="63" t="s">
        <v>68</v>
      </c>
      <c r="AE67" s="12">
        <f>+'Form20 '!H68</f>
        <v>0</v>
      </c>
      <c r="AF67" s="18">
        <v>8</v>
      </c>
      <c r="AG67" s="63" t="s">
        <v>69</v>
      </c>
      <c r="AH67" s="12">
        <f>+'Form20 '!I68</f>
        <v>0</v>
      </c>
      <c r="AI67" s="18">
        <v>9</v>
      </c>
      <c r="AJ67" s="65" t="s">
        <v>70</v>
      </c>
      <c r="AK67" s="12">
        <f>+'Form20 '!J68</f>
        <v>1</v>
      </c>
      <c r="AL67" s="18">
        <v>10</v>
      </c>
      <c r="AM67" s="66" t="s">
        <v>30</v>
      </c>
      <c r="AN67" s="12">
        <f>+'Form20 '!K68</f>
        <v>2</v>
      </c>
      <c r="AO67" s="18">
        <v>11</v>
      </c>
      <c r="AP67" s="66" t="s">
        <v>30</v>
      </c>
      <c r="AQ67" s="12">
        <f>+'Form20 '!L68</f>
        <v>1</v>
      </c>
      <c r="AR67" s="18">
        <v>12</v>
      </c>
      <c r="AS67" s="66" t="s">
        <v>30</v>
      </c>
      <c r="AT67" s="12">
        <f>+'Form20 '!M68</f>
        <v>0</v>
      </c>
      <c r="AU67" s="18">
        <v>13</v>
      </c>
      <c r="AV67" s="66" t="s">
        <v>30</v>
      </c>
      <c r="AW67" s="12">
        <f>+'Form20 '!N68</f>
        <v>3</v>
      </c>
      <c r="AX67" s="18">
        <v>14</v>
      </c>
      <c r="AY67" s="66" t="s">
        <v>30</v>
      </c>
      <c r="AZ67" s="12">
        <f>+'Form20 '!O68</f>
        <v>0</v>
      </c>
      <c r="BA67" s="75">
        <f t="shared" si="1"/>
        <v>402</v>
      </c>
    </row>
    <row r="68" spans="1:53" s="67" customFormat="1" ht="59.25" customHeight="1">
      <c r="A68" s="18">
        <v>333</v>
      </c>
      <c r="B68" s="59">
        <v>62</v>
      </c>
      <c r="C68" s="76" t="s">
        <v>142</v>
      </c>
      <c r="D68" s="61">
        <v>1134</v>
      </c>
      <c r="E68" s="61">
        <v>275</v>
      </c>
      <c r="F68" s="61">
        <v>357</v>
      </c>
      <c r="G68" s="55">
        <v>0</v>
      </c>
      <c r="H68" s="62">
        <f t="shared" si="0"/>
        <v>632</v>
      </c>
      <c r="I68" s="55">
        <v>40</v>
      </c>
      <c r="J68" s="29">
        <v>0</v>
      </c>
      <c r="K68" s="18">
        <v>1</v>
      </c>
      <c r="L68" s="63" t="s">
        <v>29</v>
      </c>
      <c r="M68" s="12">
        <f>+'Form20 '!B69</f>
        <v>479</v>
      </c>
      <c r="N68" s="18">
        <v>2</v>
      </c>
      <c r="O68" s="58" t="s">
        <v>24</v>
      </c>
      <c r="P68" s="12">
        <f>+'Form20 '!C69</f>
        <v>30</v>
      </c>
      <c r="Q68" s="18">
        <v>3</v>
      </c>
      <c r="R68" s="63" t="s">
        <v>28</v>
      </c>
      <c r="S68" s="12">
        <f>+'Form20 '!D69</f>
        <v>95</v>
      </c>
      <c r="T68" s="18">
        <v>4</v>
      </c>
      <c r="U68" s="64" t="s">
        <v>65</v>
      </c>
      <c r="V68" s="12">
        <f>+'Form20 '!E69</f>
        <v>7</v>
      </c>
      <c r="W68" s="18">
        <v>5</v>
      </c>
      <c r="X68" s="58" t="s">
        <v>66</v>
      </c>
      <c r="Y68" s="12">
        <f>+'Form20 '!F69</f>
        <v>0</v>
      </c>
      <c r="Z68" s="18">
        <v>6</v>
      </c>
      <c r="AA68" s="64" t="s">
        <v>67</v>
      </c>
      <c r="AB68" s="12">
        <f>+'Form20 '!G69</f>
        <v>0</v>
      </c>
      <c r="AC68" s="18">
        <v>7</v>
      </c>
      <c r="AD68" s="63" t="s">
        <v>68</v>
      </c>
      <c r="AE68" s="12">
        <f>+'Form20 '!H69</f>
        <v>1</v>
      </c>
      <c r="AF68" s="18">
        <v>8</v>
      </c>
      <c r="AG68" s="63" t="s">
        <v>69</v>
      </c>
      <c r="AH68" s="12">
        <f>+'Form20 '!I69</f>
        <v>1</v>
      </c>
      <c r="AI68" s="18">
        <v>9</v>
      </c>
      <c r="AJ68" s="65" t="s">
        <v>70</v>
      </c>
      <c r="AK68" s="12">
        <f>+'Form20 '!J69</f>
        <v>1</v>
      </c>
      <c r="AL68" s="18">
        <v>10</v>
      </c>
      <c r="AM68" s="66" t="s">
        <v>30</v>
      </c>
      <c r="AN68" s="12">
        <f>+'Form20 '!K69</f>
        <v>1</v>
      </c>
      <c r="AO68" s="18">
        <v>11</v>
      </c>
      <c r="AP68" s="66" t="s">
        <v>30</v>
      </c>
      <c r="AQ68" s="12">
        <f>+'Form20 '!L69</f>
        <v>2</v>
      </c>
      <c r="AR68" s="18">
        <v>12</v>
      </c>
      <c r="AS68" s="66" t="s">
        <v>30</v>
      </c>
      <c r="AT68" s="12">
        <f>+'Form20 '!M69</f>
        <v>2</v>
      </c>
      <c r="AU68" s="18">
        <v>13</v>
      </c>
      <c r="AV68" s="66" t="s">
        <v>30</v>
      </c>
      <c r="AW68" s="12">
        <f>+'Form20 '!N69</f>
        <v>4</v>
      </c>
      <c r="AX68" s="18">
        <v>14</v>
      </c>
      <c r="AY68" s="66" t="s">
        <v>30</v>
      </c>
      <c r="AZ68" s="12">
        <f>+'Form20 '!O69</f>
        <v>1</v>
      </c>
      <c r="BA68" s="75">
        <f t="shared" si="1"/>
        <v>624</v>
      </c>
    </row>
    <row r="69" spans="1:53" s="67" customFormat="1" ht="59.25" customHeight="1">
      <c r="A69" s="18">
        <v>333</v>
      </c>
      <c r="B69" s="59">
        <v>63</v>
      </c>
      <c r="C69" s="76" t="s">
        <v>143</v>
      </c>
      <c r="D69" s="61">
        <v>1096</v>
      </c>
      <c r="E69" s="61">
        <v>236</v>
      </c>
      <c r="F69" s="61">
        <v>355</v>
      </c>
      <c r="G69" s="55">
        <v>0</v>
      </c>
      <c r="H69" s="62">
        <f t="shared" si="0"/>
        <v>591</v>
      </c>
      <c r="I69" s="55">
        <v>45</v>
      </c>
      <c r="J69" s="29">
        <v>0</v>
      </c>
      <c r="K69" s="18">
        <v>1</v>
      </c>
      <c r="L69" s="63" t="s">
        <v>29</v>
      </c>
      <c r="M69" s="12">
        <f>+'Form20 '!B70</f>
        <v>416</v>
      </c>
      <c r="N69" s="18">
        <v>2</v>
      </c>
      <c r="O69" s="58" t="s">
        <v>24</v>
      </c>
      <c r="P69" s="12">
        <f>+'Form20 '!C70</f>
        <v>11</v>
      </c>
      <c r="Q69" s="18">
        <v>3</v>
      </c>
      <c r="R69" s="63" t="s">
        <v>28</v>
      </c>
      <c r="S69" s="12">
        <f>+'Form20 '!D70</f>
        <v>148</v>
      </c>
      <c r="T69" s="18">
        <v>4</v>
      </c>
      <c r="U69" s="64" t="s">
        <v>65</v>
      </c>
      <c r="V69" s="12">
        <f>+'Form20 '!E70</f>
        <v>3</v>
      </c>
      <c r="W69" s="18">
        <v>5</v>
      </c>
      <c r="X69" s="58" t="s">
        <v>66</v>
      </c>
      <c r="Y69" s="12">
        <f>+'Form20 '!F70</f>
        <v>1</v>
      </c>
      <c r="Z69" s="18">
        <v>6</v>
      </c>
      <c r="AA69" s="64" t="s">
        <v>67</v>
      </c>
      <c r="AB69" s="12">
        <f>+'Form20 '!G70</f>
        <v>1</v>
      </c>
      <c r="AC69" s="18">
        <v>7</v>
      </c>
      <c r="AD69" s="63" t="s">
        <v>68</v>
      </c>
      <c r="AE69" s="12">
        <f>+'Form20 '!H70</f>
        <v>0</v>
      </c>
      <c r="AF69" s="18">
        <v>8</v>
      </c>
      <c r="AG69" s="63" t="s">
        <v>69</v>
      </c>
      <c r="AH69" s="12">
        <f>+'Form20 '!I70</f>
        <v>0</v>
      </c>
      <c r="AI69" s="18">
        <v>9</v>
      </c>
      <c r="AJ69" s="65" t="s">
        <v>70</v>
      </c>
      <c r="AK69" s="12">
        <f>+'Form20 '!J70</f>
        <v>0</v>
      </c>
      <c r="AL69" s="18">
        <v>10</v>
      </c>
      <c r="AM69" s="66" t="s">
        <v>30</v>
      </c>
      <c r="AN69" s="12">
        <f>+'Form20 '!K70</f>
        <v>1</v>
      </c>
      <c r="AO69" s="18">
        <v>11</v>
      </c>
      <c r="AP69" s="66" t="s">
        <v>30</v>
      </c>
      <c r="AQ69" s="12">
        <f>+'Form20 '!L70</f>
        <v>1</v>
      </c>
      <c r="AR69" s="18">
        <v>12</v>
      </c>
      <c r="AS69" s="66" t="s">
        <v>30</v>
      </c>
      <c r="AT69" s="12">
        <f>+'Form20 '!M70</f>
        <v>1</v>
      </c>
      <c r="AU69" s="18">
        <v>13</v>
      </c>
      <c r="AV69" s="66" t="s">
        <v>30</v>
      </c>
      <c r="AW69" s="12">
        <f>+'Form20 '!N70</f>
        <v>5</v>
      </c>
      <c r="AX69" s="18">
        <v>14</v>
      </c>
      <c r="AY69" s="66" t="s">
        <v>30</v>
      </c>
      <c r="AZ69" s="12">
        <f>+'Form20 '!O70</f>
        <v>2</v>
      </c>
      <c r="BA69" s="75">
        <f t="shared" si="1"/>
        <v>590</v>
      </c>
    </row>
    <row r="70" spans="1:53" s="67" customFormat="1" ht="59.25" customHeight="1">
      <c r="A70" s="18">
        <v>333</v>
      </c>
      <c r="B70" s="59">
        <v>64</v>
      </c>
      <c r="C70" s="76" t="s">
        <v>144</v>
      </c>
      <c r="D70" s="61">
        <v>1023</v>
      </c>
      <c r="E70" s="61">
        <v>352</v>
      </c>
      <c r="F70" s="61">
        <v>320</v>
      </c>
      <c r="G70" s="55">
        <v>0</v>
      </c>
      <c r="H70" s="62">
        <f t="shared" si="0"/>
        <v>672</v>
      </c>
      <c r="I70" s="55">
        <v>124</v>
      </c>
      <c r="J70" s="29">
        <v>0</v>
      </c>
      <c r="K70" s="18">
        <v>1</v>
      </c>
      <c r="L70" s="63" t="s">
        <v>29</v>
      </c>
      <c r="M70" s="12">
        <f>+'Form20 '!B71</f>
        <v>442</v>
      </c>
      <c r="N70" s="18">
        <v>2</v>
      </c>
      <c r="O70" s="58" t="s">
        <v>24</v>
      </c>
      <c r="P70" s="12">
        <f>+'Form20 '!C71</f>
        <v>33</v>
      </c>
      <c r="Q70" s="18">
        <v>3</v>
      </c>
      <c r="R70" s="63" t="s">
        <v>28</v>
      </c>
      <c r="S70" s="12">
        <f>+'Form20 '!D71</f>
        <v>162</v>
      </c>
      <c r="T70" s="18">
        <v>4</v>
      </c>
      <c r="U70" s="64" t="s">
        <v>65</v>
      </c>
      <c r="V70" s="12">
        <f>+'Form20 '!E71</f>
        <v>7</v>
      </c>
      <c r="W70" s="18">
        <v>5</v>
      </c>
      <c r="X70" s="58" t="s">
        <v>66</v>
      </c>
      <c r="Y70" s="12">
        <f>+'Form20 '!F71</f>
        <v>0</v>
      </c>
      <c r="Z70" s="18">
        <v>6</v>
      </c>
      <c r="AA70" s="64" t="s">
        <v>67</v>
      </c>
      <c r="AB70" s="12">
        <f>+'Form20 '!G71</f>
        <v>0</v>
      </c>
      <c r="AC70" s="18">
        <v>7</v>
      </c>
      <c r="AD70" s="63" t="s">
        <v>68</v>
      </c>
      <c r="AE70" s="12">
        <f>+'Form20 '!H71</f>
        <v>1</v>
      </c>
      <c r="AF70" s="18">
        <v>8</v>
      </c>
      <c r="AG70" s="63" t="s">
        <v>69</v>
      </c>
      <c r="AH70" s="12">
        <f>+'Form20 '!I71</f>
        <v>3</v>
      </c>
      <c r="AI70" s="18">
        <v>9</v>
      </c>
      <c r="AJ70" s="65" t="s">
        <v>70</v>
      </c>
      <c r="AK70" s="12">
        <f>+'Form20 '!J71</f>
        <v>2</v>
      </c>
      <c r="AL70" s="18">
        <v>10</v>
      </c>
      <c r="AM70" s="66" t="s">
        <v>30</v>
      </c>
      <c r="AN70" s="12">
        <f>+'Form20 '!K71</f>
        <v>0</v>
      </c>
      <c r="AO70" s="18">
        <v>11</v>
      </c>
      <c r="AP70" s="66" t="s">
        <v>30</v>
      </c>
      <c r="AQ70" s="12">
        <f>+'Form20 '!L71</f>
        <v>1</v>
      </c>
      <c r="AR70" s="18">
        <v>12</v>
      </c>
      <c r="AS70" s="66" t="s">
        <v>30</v>
      </c>
      <c r="AT70" s="12">
        <f>+'Form20 '!M71</f>
        <v>5</v>
      </c>
      <c r="AU70" s="18">
        <v>13</v>
      </c>
      <c r="AV70" s="66" t="s">
        <v>30</v>
      </c>
      <c r="AW70" s="12">
        <f>+'Form20 '!N71</f>
        <v>2</v>
      </c>
      <c r="AX70" s="18">
        <v>14</v>
      </c>
      <c r="AY70" s="66" t="s">
        <v>30</v>
      </c>
      <c r="AZ70" s="12">
        <f>+'Form20 '!O71</f>
        <v>4</v>
      </c>
      <c r="BA70" s="75">
        <f t="shared" si="1"/>
        <v>662</v>
      </c>
    </row>
    <row r="71" spans="1:53" s="67" customFormat="1" ht="59.25" customHeight="1">
      <c r="A71" s="18">
        <v>333</v>
      </c>
      <c r="B71" s="59">
        <v>65</v>
      </c>
      <c r="C71" s="76" t="s">
        <v>144</v>
      </c>
      <c r="D71" s="61">
        <v>1149</v>
      </c>
      <c r="E71" s="61">
        <v>303</v>
      </c>
      <c r="F71" s="61">
        <v>384</v>
      </c>
      <c r="G71" s="55">
        <v>0</v>
      </c>
      <c r="H71" s="62">
        <f t="shared" si="0"/>
        <v>687</v>
      </c>
      <c r="I71" s="55">
        <v>15</v>
      </c>
      <c r="J71" s="29">
        <v>0</v>
      </c>
      <c r="K71" s="18">
        <v>1</v>
      </c>
      <c r="L71" s="63" t="s">
        <v>29</v>
      </c>
      <c r="M71" s="12">
        <f>+'Form20 '!B72</f>
        <v>248</v>
      </c>
      <c r="N71" s="18">
        <v>2</v>
      </c>
      <c r="O71" s="58" t="s">
        <v>24</v>
      </c>
      <c r="P71" s="12">
        <f>+'Form20 '!C72</f>
        <v>72</v>
      </c>
      <c r="Q71" s="18">
        <v>3</v>
      </c>
      <c r="R71" s="63" t="s">
        <v>28</v>
      </c>
      <c r="S71" s="12">
        <f>+'Form20 '!D72</f>
        <v>352</v>
      </c>
      <c r="T71" s="18">
        <v>4</v>
      </c>
      <c r="U71" s="64" t="s">
        <v>65</v>
      </c>
      <c r="V71" s="12">
        <f>+'Form20 '!E72</f>
        <v>3</v>
      </c>
      <c r="W71" s="18">
        <v>5</v>
      </c>
      <c r="X71" s="58" t="s">
        <v>66</v>
      </c>
      <c r="Y71" s="12">
        <f>+'Form20 '!F72</f>
        <v>0</v>
      </c>
      <c r="Z71" s="18">
        <v>6</v>
      </c>
      <c r="AA71" s="64" t="s">
        <v>67</v>
      </c>
      <c r="AB71" s="12">
        <f>+'Form20 '!G72</f>
        <v>0</v>
      </c>
      <c r="AC71" s="18">
        <v>7</v>
      </c>
      <c r="AD71" s="63" t="s">
        <v>68</v>
      </c>
      <c r="AE71" s="12">
        <f>+'Form20 '!H72</f>
        <v>0</v>
      </c>
      <c r="AF71" s="18">
        <v>8</v>
      </c>
      <c r="AG71" s="63" t="s">
        <v>69</v>
      </c>
      <c r="AH71" s="12">
        <f>+'Form20 '!I72</f>
        <v>0</v>
      </c>
      <c r="AI71" s="18">
        <v>9</v>
      </c>
      <c r="AJ71" s="65" t="s">
        <v>70</v>
      </c>
      <c r="AK71" s="12">
        <f>+'Form20 '!J72</f>
        <v>0</v>
      </c>
      <c r="AL71" s="18">
        <v>10</v>
      </c>
      <c r="AM71" s="66" t="s">
        <v>30</v>
      </c>
      <c r="AN71" s="12">
        <f>+'Form20 '!K72</f>
        <v>1</v>
      </c>
      <c r="AO71" s="18">
        <v>11</v>
      </c>
      <c r="AP71" s="66" t="s">
        <v>30</v>
      </c>
      <c r="AQ71" s="12">
        <f>+'Form20 '!L72</f>
        <v>5</v>
      </c>
      <c r="AR71" s="18">
        <v>12</v>
      </c>
      <c r="AS71" s="66" t="s">
        <v>30</v>
      </c>
      <c r="AT71" s="12">
        <f>+'Form20 '!M72</f>
        <v>2</v>
      </c>
      <c r="AU71" s="18">
        <v>13</v>
      </c>
      <c r="AV71" s="66" t="s">
        <v>30</v>
      </c>
      <c r="AW71" s="12">
        <f>+'Form20 '!N72</f>
        <v>2</v>
      </c>
      <c r="AX71" s="18">
        <v>14</v>
      </c>
      <c r="AY71" s="66" t="s">
        <v>30</v>
      </c>
      <c r="AZ71" s="12">
        <f>+'Form20 '!O72</f>
        <v>1</v>
      </c>
      <c r="BA71" s="75">
        <f t="shared" si="1"/>
        <v>686</v>
      </c>
    </row>
    <row r="72" spans="1:53" s="67" customFormat="1" ht="59.25" customHeight="1">
      <c r="A72" s="18">
        <v>333</v>
      </c>
      <c r="B72" s="59">
        <v>66</v>
      </c>
      <c r="C72" s="76" t="s">
        <v>145</v>
      </c>
      <c r="D72" s="61">
        <v>746</v>
      </c>
      <c r="E72" s="61">
        <v>201</v>
      </c>
      <c r="F72" s="61">
        <v>243</v>
      </c>
      <c r="G72" s="55">
        <v>0</v>
      </c>
      <c r="H72" s="62">
        <f t="shared" ref="H72:H135" si="2">E72+F72+G72</f>
        <v>444</v>
      </c>
      <c r="I72" s="55">
        <v>18</v>
      </c>
      <c r="J72" s="29">
        <v>0</v>
      </c>
      <c r="K72" s="18">
        <v>1</v>
      </c>
      <c r="L72" s="63" t="s">
        <v>29</v>
      </c>
      <c r="M72" s="12">
        <f>+'Form20 '!B73</f>
        <v>225</v>
      </c>
      <c r="N72" s="18">
        <v>2</v>
      </c>
      <c r="O72" s="58" t="s">
        <v>24</v>
      </c>
      <c r="P72" s="12">
        <f>+'Form20 '!C73</f>
        <v>28</v>
      </c>
      <c r="Q72" s="18">
        <v>3</v>
      </c>
      <c r="R72" s="63" t="s">
        <v>28</v>
      </c>
      <c r="S72" s="12">
        <f>+'Form20 '!D73</f>
        <v>181</v>
      </c>
      <c r="T72" s="18">
        <v>4</v>
      </c>
      <c r="U72" s="64" t="s">
        <v>65</v>
      </c>
      <c r="V72" s="12">
        <f>+'Form20 '!E73</f>
        <v>1</v>
      </c>
      <c r="W72" s="18">
        <v>5</v>
      </c>
      <c r="X72" s="58" t="s">
        <v>66</v>
      </c>
      <c r="Y72" s="12">
        <f>+'Form20 '!F73</f>
        <v>1</v>
      </c>
      <c r="Z72" s="18">
        <v>6</v>
      </c>
      <c r="AA72" s="64" t="s">
        <v>67</v>
      </c>
      <c r="AB72" s="12">
        <f>+'Form20 '!G73</f>
        <v>0</v>
      </c>
      <c r="AC72" s="18">
        <v>7</v>
      </c>
      <c r="AD72" s="63" t="s">
        <v>68</v>
      </c>
      <c r="AE72" s="12">
        <f>+'Form20 '!H73</f>
        <v>1</v>
      </c>
      <c r="AF72" s="18">
        <v>8</v>
      </c>
      <c r="AG72" s="63" t="s">
        <v>69</v>
      </c>
      <c r="AH72" s="12">
        <f>+'Form20 '!I73</f>
        <v>0</v>
      </c>
      <c r="AI72" s="18">
        <v>9</v>
      </c>
      <c r="AJ72" s="65" t="s">
        <v>70</v>
      </c>
      <c r="AK72" s="12">
        <f>+'Form20 '!J73</f>
        <v>0</v>
      </c>
      <c r="AL72" s="18">
        <v>10</v>
      </c>
      <c r="AM72" s="66" t="s">
        <v>30</v>
      </c>
      <c r="AN72" s="12">
        <f>+'Form20 '!K73</f>
        <v>0</v>
      </c>
      <c r="AO72" s="18">
        <v>11</v>
      </c>
      <c r="AP72" s="66" t="s">
        <v>30</v>
      </c>
      <c r="AQ72" s="12">
        <f>+'Form20 '!L73</f>
        <v>0</v>
      </c>
      <c r="AR72" s="18">
        <v>12</v>
      </c>
      <c r="AS72" s="66" t="s">
        <v>30</v>
      </c>
      <c r="AT72" s="12">
        <f>+'Form20 '!M73</f>
        <v>1</v>
      </c>
      <c r="AU72" s="18">
        <v>13</v>
      </c>
      <c r="AV72" s="66" t="s">
        <v>30</v>
      </c>
      <c r="AW72" s="12">
        <f>+'Form20 '!N73</f>
        <v>1</v>
      </c>
      <c r="AX72" s="18">
        <v>14</v>
      </c>
      <c r="AY72" s="66" t="s">
        <v>30</v>
      </c>
      <c r="AZ72" s="12">
        <f>+'Form20 '!O73</f>
        <v>1</v>
      </c>
      <c r="BA72" s="75">
        <f t="shared" ref="BA72:BA135" si="3">AZ72+AW72+AT72+AQ72+AN72+AK72+AH72+AE72+AB72+Y72+V72+S72+P72+M72</f>
        <v>440</v>
      </c>
    </row>
    <row r="73" spans="1:53" s="67" customFormat="1" ht="59.25" customHeight="1">
      <c r="A73" s="18">
        <v>333</v>
      </c>
      <c r="B73" s="59">
        <v>67</v>
      </c>
      <c r="C73" s="76" t="s">
        <v>146</v>
      </c>
      <c r="D73" s="61">
        <v>658</v>
      </c>
      <c r="E73" s="61">
        <v>182</v>
      </c>
      <c r="F73" s="61">
        <v>190</v>
      </c>
      <c r="G73" s="55">
        <v>0</v>
      </c>
      <c r="H73" s="62">
        <f t="shared" si="2"/>
        <v>372</v>
      </c>
      <c r="I73" s="55">
        <v>33</v>
      </c>
      <c r="J73" s="29">
        <v>0</v>
      </c>
      <c r="K73" s="18">
        <v>1</v>
      </c>
      <c r="L73" s="63" t="s">
        <v>29</v>
      </c>
      <c r="M73" s="12">
        <f>+'Form20 '!B74</f>
        <v>100</v>
      </c>
      <c r="N73" s="18">
        <v>2</v>
      </c>
      <c r="O73" s="58" t="s">
        <v>24</v>
      </c>
      <c r="P73" s="12">
        <f>+'Form20 '!C74</f>
        <v>29</v>
      </c>
      <c r="Q73" s="18">
        <v>3</v>
      </c>
      <c r="R73" s="63" t="s">
        <v>28</v>
      </c>
      <c r="S73" s="12">
        <f>+'Form20 '!D74</f>
        <v>237</v>
      </c>
      <c r="T73" s="18">
        <v>4</v>
      </c>
      <c r="U73" s="64" t="s">
        <v>65</v>
      </c>
      <c r="V73" s="12">
        <f>+'Form20 '!E74</f>
        <v>3</v>
      </c>
      <c r="W73" s="18">
        <v>5</v>
      </c>
      <c r="X73" s="58" t="s">
        <v>66</v>
      </c>
      <c r="Y73" s="12">
        <f>+'Form20 '!F74</f>
        <v>0</v>
      </c>
      <c r="Z73" s="18">
        <v>6</v>
      </c>
      <c r="AA73" s="64" t="s">
        <v>67</v>
      </c>
      <c r="AB73" s="12">
        <f>+'Form20 '!G74</f>
        <v>0</v>
      </c>
      <c r="AC73" s="18">
        <v>7</v>
      </c>
      <c r="AD73" s="63" t="s">
        <v>68</v>
      </c>
      <c r="AE73" s="12">
        <f>+'Form20 '!H74</f>
        <v>0</v>
      </c>
      <c r="AF73" s="18">
        <v>8</v>
      </c>
      <c r="AG73" s="63" t="s">
        <v>69</v>
      </c>
      <c r="AH73" s="12">
        <f>+'Form20 '!I74</f>
        <v>0</v>
      </c>
      <c r="AI73" s="18">
        <v>9</v>
      </c>
      <c r="AJ73" s="65" t="s">
        <v>70</v>
      </c>
      <c r="AK73" s="12">
        <f>+'Form20 '!J74</f>
        <v>0</v>
      </c>
      <c r="AL73" s="18">
        <v>10</v>
      </c>
      <c r="AM73" s="66" t="s">
        <v>30</v>
      </c>
      <c r="AN73" s="12">
        <f>+'Form20 '!K74</f>
        <v>0</v>
      </c>
      <c r="AO73" s="18">
        <v>11</v>
      </c>
      <c r="AP73" s="66" t="s">
        <v>30</v>
      </c>
      <c r="AQ73" s="12">
        <f>+'Form20 '!L74</f>
        <v>0</v>
      </c>
      <c r="AR73" s="18">
        <v>12</v>
      </c>
      <c r="AS73" s="66" t="s">
        <v>30</v>
      </c>
      <c r="AT73" s="12">
        <f>+'Form20 '!M74</f>
        <v>1</v>
      </c>
      <c r="AU73" s="18">
        <v>13</v>
      </c>
      <c r="AV73" s="66" t="s">
        <v>30</v>
      </c>
      <c r="AW73" s="12">
        <f>+'Form20 '!N74</f>
        <v>1</v>
      </c>
      <c r="AX73" s="18">
        <v>14</v>
      </c>
      <c r="AY73" s="66" t="s">
        <v>30</v>
      </c>
      <c r="AZ73" s="12">
        <f>+'Form20 '!O74</f>
        <v>0</v>
      </c>
      <c r="BA73" s="75">
        <f t="shared" si="3"/>
        <v>371</v>
      </c>
    </row>
    <row r="74" spans="1:53" s="67" customFormat="1" ht="59.25" customHeight="1">
      <c r="A74" s="18">
        <v>333</v>
      </c>
      <c r="B74" s="59">
        <v>68</v>
      </c>
      <c r="C74" s="76" t="s">
        <v>147</v>
      </c>
      <c r="D74" s="61">
        <v>631</v>
      </c>
      <c r="E74" s="61">
        <v>173</v>
      </c>
      <c r="F74" s="61">
        <v>193</v>
      </c>
      <c r="G74" s="55">
        <v>0</v>
      </c>
      <c r="H74" s="62">
        <f t="shared" si="2"/>
        <v>366</v>
      </c>
      <c r="I74" s="55">
        <v>244</v>
      </c>
      <c r="J74" s="29">
        <v>0</v>
      </c>
      <c r="K74" s="18">
        <v>1</v>
      </c>
      <c r="L74" s="63" t="s">
        <v>29</v>
      </c>
      <c r="M74" s="12">
        <f>+'Form20 '!B75</f>
        <v>150</v>
      </c>
      <c r="N74" s="18">
        <v>2</v>
      </c>
      <c r="O74" s="58" t="s">
        <v>24</v>
      </c>
      <c r="P74" s="12">
        <f>+'Form20 '!C75</f>
        <v>77</v>
      </c>
      <c r="Q74" s="18">
        <v>3</v>
      </c>
      <c r="R74" s="63" t="s">
        <v>28</v>
      </c>
      <c r="S74" s="12">
        <f>+'Form20 '!D75</f>
        <v>134</v>
      </c>
      <c r="T74" s="18">
        <v>4</v>
      </c>
      <c r="U74" s="64" t="s">
        <v>65</v>
      </c>
      <c r="V74" s="12">
        <f>+'Form20 '!E75</f>
        <v>1</v>
      </c>
      <c r="W74" s="18">
        <v>5</v>
      </c>
      <c r="X74" s="58" t="s">
        <v>66</v>
      </c>
      <c r="Y74" s="12">
        <f>+'Form20 '!F75</f>
        <v>0</v>
      </c>
      <c r="Z74" s="18">
        <v>6</v>
      </c>
      <c r="AA74" s="64" t="s">
        <v>67</v>
      </c>
      <c r="AB74" s="12">
        <f>+'Form20 '!G75</f>
        <v>0</v>
      </c>
      <c r="AC74" s="18">
        <v>7</v>
      </c>
      <c r="AD74" s="63" t="s">
        <v>68</v>
      </c>
      <c r="AE74" s="12">
        <f>+'Form20 '!H75</f>
        <v>0</v>
      </c>
      <c r="AF74" s="18">
        <v>8</v>
      </c>
      <c r="AG74" s="63" t="s">
        <v>69</v>
      </c>
      <c r="AH74" s="12">
        <f>+'Form20 '!I75</f>
        <v>0</v>
      </c>
      <c r="AI74" s="18">
        <v>9</v>
      </c>
      <c r="AJ74" s="65" t="s">
        <v>70</v>
      </c>
      <c r="AK74" s="12">
        <f>+'Form20 '!J75</f>
        <v>0</v>
      </c>
      <c r="AL74" s="18">
        <v>10</v>
      </c>
      <c r="AM74" s="66" t="s">
        <v>30</v>
      </c>
      <c r="AN74" s="12">
        <f>+'Form20 '!K75</f>
        <v>1</v>
      </c>
      <c r="AO74" s="18">
        <v>11</v>
      </c>
      <c r="AP74" s="66" t="s">
        <v>30</v>
      </c>
      <c r="AQ74" s="12">
        <f>+'Form20 '!L75</f>
        <v>0</v>
      </c>
      <c r="AR74" s="18">
        <v>12</v>
      </c>
      <c r="AS74" s="66" t="s">
        <v>30</v>
      </c>
      <c r="AT74" s="12">
        <f>+'Form20 '!M75</f>
        <v>0</v>
      </c>
      <c r="AU74" s="18">
        <v>13</v>
      </c>
      <c r="AV74" s="66" t="s">
        <v>30</v>
      </c>
      <c r="AW74" s="12">
        <f>+'Form20 '!N75</f>
        <v>1</v>
      </c>
      <c r="AX74" s="18">
        <v>14</v>
      </c>
      <c r="AY74" s="66" t="s">
        <v>30</v>
      </c>
      <c r="AZ74" s="12">
        <f>+'Form20 '!O75</f>
        <v>1</v>
      </c>
      <c r="BA74" s="75">
        <f t="shared" si="3"/>
        <v>365</v>
      </c>
    </row>
    <row r="75" spans="1:53" s="67" customFormat="1" ht="59.25" customHeight="1">
      <c r="A75" s="18">
        <v>333</v>
      </c>
      <c r="B75" s="59">
        <v>69</v>
      </c>
      <c r="C75" s="76" t="s">
        <v>148</v>
      </c>
      <c r="D75" s="61">
        <v>658</v>
      </c>
      <c r="E75" s="61">
        <v>168</v>
      </c>
      <c r="F75" s="61">
        <v>208</v>
      </c>
      <c r="G75" s="55">
        <v>0</v>
      </c>
      <c r="H75" s="62">
        <f t="shared" si="2"/>
        <v>376</v>
      </c>
      <c r="I75" s="55">
        <v>24</v>
      </c>
      <c r="J75" s="29">
        <v>0</v>
      </c>
      <c r="K75" s="18">
        <v>1</v>
      </c>
      <c r="L75" s="63" t="s">
        <v>29</v>
      </c>
      <c r="M75" s="12">
        <f>+'Form20 '!B76</f>
        <v>140</v>
      </c>
      <c r="N75" s="18">
        <v>2</v>
      </c>
      <c r="O75" s="58" t="s">
        <v>24</v>
      </c>
      <c r="P75" s="12">
        <f>+'Form20 '!C76</f>
        <v>21</v>
      </c>
      <c r="Q75" s="18">
        <v>3</v>
      </c>
      <c r="R75" s="63" t="s">
        <v>28</v>
      </c>
      <c r="S75" s="12">
        <f>+'Form20 '!D76</f>
        <v>198</v>
      </c>
      <c r="T75" s="18">
        <v>4</v>
      </c>
      <c r="U75" s="64" t="s">
        <v>65</v>
      </c>
      <c r="V75" s="12">
        <f>+'Form20 '!E76</f>
        <v>6</v>
      </c>
      <c r="W75" s="18">
        <v>5</v>
      </c>
      <c r="X75" s="58" t="s">
        <v>66</v>
      </c>
      <c r="Y75" s="12">
        <f>+'Form20 '!F76</f>
        <v>0</v>
      </c>
      <c r="Z75" s="18">
        <v>6</v>
      </c>
      <c r="AA75" s="64" t="s">
        <v>67</v>
      </c>
      <c r="AB75" s="12">
        <f>+'Form20 '!G76</f>
        <v>0</v>
      </c>
      <c r="AC75" s="18">
        <v>7</v>
      </c>
      <c r="AD75" s="63" t="s">
        <v>68</v>
      </c>
      <c r="AE75" s="12">
        <f>+'Form20 '!H76</f>
        <v>2</v>
      </c>
      <c r="AF75" s="18">
        <v>8</v>
      </c>
      <c r="AG75" s="63" t="s">
        <v>69</v>
      </c>
      <c r="AH75" s="12">
        <f>+'Form20 '!I76</f>
        <v>0</v>
      </c>
      <c r="AI75" s="18">
        <v>9</v>
      </c>
      <c r="AJ75" s="65" t="s">
        <v>70</v>
      </c>
      <c r="AK75" s="12">
        <f>+'Form20 '!J76</f>
        <v>2</v>
      </c>
      <c r="AL75" s="18">
        <v>10</v>
      </c>
      <c r="AM75" s="66" t="s">
        <v>30</v>
      </c>
      <c r="AN75" s="12">
        <f>+'Form20 '!K76</f>
        <v>1</v>
      </c>
      <c r="AO75" s="18">
        <v>11</v>
      </c>
      <c r="AP75" s="66" t="s">
        <v>30</v>
      </c>
      <c r="AQ75" s="12">
        <f>+'Form20 '!L76</f>
        <v>1</v>
      </c>
      <c r="AR75" s="18">
        <v>12</v>
      </c>
      <c r="AS75" s="66" t="s">
        <v>30</v>
      </c>
      <c r="AT75" s="12">
        <f>+'Form20 '!M76</f>
        <v>1</v>
      </c>
      <c r="AU75" s="18">
        <v>13</v>
      </c>
      <c r="AV75" s="66" t="s">
        <v>30</v>
      </c>
      <c r="AW75" s="12">
        <f>+'Form20 '!N76</f>
        <v>1</v>
      </c>
      <c r="AX75" s="18">
        <v>14</v>
      </c>
      <c r="AY75" s="66" t="s">
        <v>30</v>
      </c>
      <c r="AZ75" s="12">
        <f>+'Form20 '!O76</f>
        <v>0</v>
      </c>
      <c r="BA75" s="75">
        <f t="shared" si="3"/>
        <v>373</v>
      </c>
    </row>
    <row r="76" spans="1:53" s="67" customFormat="1" ht="59.25" customHeight="1">
      <c r="A76" s="18">
        <v>333</v>
      </c>
      <c r="B76" s="59">
        <v>70</v>
      </c>
      <c r="C76" s="76" t="s">
        <v>149</v>
      </c>
      <c r="D76" s="61">
        <v>693</v>
      </c>
      <c r="E76" s="61">
        <v>225</v>
      </c>
      <c r="F76" s="61">
        <v>231</v>
      </c>
      <c r="G76" s="55">
        <v>0</v>
      </c>
      <c r="H76" s="62">
        <f t="shared" si="2"/>
        <v>456</v>
      </c>
      <c r="I76" s="55">
        <v>43</v>
      </c>
      <c r="J76" s="29">
        <v>0</v>
      </c>
      <c r="K76" s="18">
        <v>1</v>
      </c>
      <c r="L76" s="63" t="s">
        <v>29</v>
      </c>
      <c r="M76" s="12">
        <f>+'Form20 '!B77</f>
        <v>278</v>
      </c>
      <c r="N76" s="18">
        <v>2</v>
      </c>
      <c r="O76" s="58" t="s">
        <v>24</v>
      </c>
      <c r="P76" s="12">
        <f>+'Form20 '!C77</f>
        <v>6</v>
      </c>
      <c r="Q76" s="18">
        <v>3</v>
      </c>
      <c r="R76" s="63" t="s">
        <v>28</v>
      </c>
      <c r="S76" s="12">
        <f>+'Form20 '!D77</f>
        <v>166</v>
      </c>
      <c r="T76" s="18">
        <v>4</v>
      </c>
      <c r="U76" s="64" t="s">
        <v>65</v>
      </c>
      <c r="V76" s="12">
        <f>+'Form20 '!E77</f>
        <v>1</v>
      </c>
      <c r="W76" s="18">
        <v>5</v>
      </c>
      <c r="X76" s="58" t="s">
        <v>66</v>
      </c>
      <c r="Y76" s="12">
        <f>+'Form20 '!F77</f>
        <v>0</v>
      </c>
      <c r="Z76" s="18">
        <v>6</v>
      </c>
      <c r="AA76" s="64" t="s">
        <v>67</v>
      </c>
      <c r="AB76" s="12">
        <f>+'Form20 '!G77</f>
        <v>0</v>
      </c>
      <c r="AC76" s="18">
        <v>7</v>
      </c>
      <c r="AD76" s="63" t="s">
        <v>68</v>
      </c>
      <c r="AE76" s="12">
        <f>+'Form20 '!H77</f>
        <v>0</v>
      </c>
      <c r="AF76" s="18">
        <v>8</v>
      </c>
      <c r="AG76" s="63" t="s">
        <v>69</v>
      </c>
      <c r="AH76" s="12">
        <f>+'Form20 '!I77</f>
        <v>0</v>
      </c>
      <c r="AI76" s="18">
        <v>9</v>
      </c>
      <c r="AJ76" s="65" t="s">
        <v>70</v>
      </c>
      <c r="AK76" s="12">
        <f>+'Form20 '!J77</f>
        <v>0</v>
      </c>
      <c r="AL76" s="18">
        <v>10</v>
      </c>
      <c r="AM76" s="66" t="s">
        <v>30</v>
      </c>
      <c r="AN76" s="12">
        <f>+'Form20 '!K77</f>
        <v>0</v>
      </c>
      <c r="AO76" s="18">
        <v>11</v>
      </c>
      <c r="AP76" s="66" t="s">
        <v>30</v>
      </c>
      <c r="AQ76" s="12">
        <f>+'Form20 '!L77</f>
        <v>0</v>
      </c>
      <c r="AR76" s="18">
        <v>12</v>
      </c>
      <c r="AS76" s="66" t="s">
        <v>30</v>
      </c>
      <c r="AT76" s="12">
        <f>+'Form20 '!M77</f>
        <v>0</v>
      </c>
      <c r="AU76" s="18">
        <v>13</v>
      </c>
      <c r="AV76" s="66" t="s">
        <v>30</v>
      </c>
      <c r="AW76" s="12">
        <f>+'Form20 '!N77</f>
        <v>0</v>
      </c>
      <c r="AX76" s="18">
        <v>14</v>
      </c>
      <c r="AY76" s="66" t="s">
        <v>30</v>
      </c>
      <c r="AZ76" s="12">
        <f>+'Form20 '!O77</f>
        <v>2</v>
      </c>
      <c r="BA76" s="75">
        <f t="shared" si="3"/>
        <v>453</v>
      </c>
    </row>
    <row r="77" spans="1:53" s="67" customFormat="1" ht="59.25" customHeight="1">
      <c r="A77" s="18">
        <v>333</v>
      </c>
      <c r="B77" s="59">
        <v>71</v>
      </c>
      <c r="C77" s="76" t="s">
        <v>150</v>
      </c>
      <c r="D77" s="61">
        <v>1128</v>
      </c>
      <c r="E77" s="61">
        <v>269</v>
      </c>
      <c r="F77" s="61">
        <v>331</v>
      </c>
      <c r="G77" s="55">
        <v>0</v>
      </c>
      <c r="H77" s="62">
        <f t="shared" si="2"/>
        <v>600</v>
      </c>
      <c r="I77" s="55">
        <v>84</v>
      </c>
      <c r="J77" s="29">
        <v>0</v>
      </c>
      <c r="K77" s="18">
        <v>1</v>
      </c>
      <c r="L77" s="63" t="s">
        <v>29</v>
      </c>
      <c r="M77" s="12">
        <f>+'Form20 '!B78</f>
        <v>389</v>
      </c>
      <c r="N77" s="18">
        <v>2</v>
      </c>
      <c r="O77" s="58" t="s">
        <v>24</v>
      </c>
      <c r="P77" s="12">
        <f>+'Form20 '!C78</f>
        <v>13</v>
      </c>
      <c r="Q77" s="18">
        <v>3</v>
      </c>
      <c r="R77" s="63" t="s">
        <v>28</v>
      </c>
      <c r="S77" s="12">
        <f>+'Form20 '!D78</f>
        <v>194</v>
      </c>
      <c r="T77" s="18">
        <v>4</v>
      </c>
      <c r="U77" s="64" t="s">
        <v>65</v>
      </c>
      <c r="V77" s="12">
        <f>+'Form20 '!E78</f>
        <v>1</v>
      </c>
      <c r="W77" s="18">
        <v>5</v>
      </c>
      <c r="X77" s="58" t="s">
        <v>66</v>
      </c>
      <c r="Y77" s="12">
        <f>+'Form20 '!F78</f>
        <v>0</v>
      </c>
      <c r="Z77" s="18">
        <v>6</v>
      </c>
      <c r="AA77" s="64" t="s">
        <v>67</v>
      </c>
      <c r="AB77" s="12">
        <f>+'Form20 '!G78</f>
        <v>0</v>
      </c>
      <c r="AC77" s="18">
        <v>7</v>
      </c>
      <c r="AD77" s="63" t="s">
        <v>68</v>
      </c>
      <c r="AE77" s="12">
        <f>+'Form20 '!H78</f>
        <v>0</v>
      </c>
      <c r="AF77" s="18">
        <v>8</v>
      </c>
      <c r="AG77" s="63" t="s">
        <v>69</v>
      </c>
      <c r="AH77" s="12">
        <f>+'Form20 '!I78</f>
        <v>0</v>
      </c>
      <c r="AI77" s="18">
        <v>9</v>
      </c>
      <c r="AJ77" s="65" t="s">
        <v>70</v>
      </c>
      <c r="AK77" s="12">
        <f>+'Form20 '!J78</f>
        <v>0</v>
      </c>
      <c r="AL77" s="18">
        <v>10</v>
      </c>
      <c r="AM77" s="66" t="s">
        <v>30</v>
      </c>
      <c r="AN77" s="12">
        <f>+'Form20 '!K78</f>
        <v>0</v>
      </c>
      <c r="AO77" s="18">
        <v>11</v>
      </c>
      <c r="AP77" s="66" t="s">
        <v>30</v>
      </c>
      <c r="AQ77" s="12">
        <f>+'Form20 '!L78</f>
        <v>0</v>
      </c>
      <c r="AR77" s="18">
        <v>12</v>
      </c>
      <c r="AS77" s="66" t="s">
        <v>30</v>
      </c>
      <c r="AT77" s="12">
        <f>+'Form20 '!M78</f>
        <v>0</v>
      </c>
      <c r="AU77" s="18">
        <v>13</v>
      </c>
      <c r="AV77" s="66" t="s">
        <v>30</v>
      </c>
      <c r="AW77" s="12">
        <f>+'Form20 '!N78</f>
        <v>1</v>
      </c>
      <c r="AX77" s="18">
        <v>14</v>
      </c>
      <c r="AY77" s="66" t="s">
        <v>30</v>
      </c>
      <c r="AZ77" s="12">
        <f>+'Form20 '!O78</f>
        <v>1</v>
      </c>
      <c r="BA77" s="75">
        <f t="shared" si="3"/>
        <v>599</v>
      </c>
    </row>
    <row r="78" spans="1:53" s="67" customFormat="1" ht="59.25" customHeight="1">
      <c r="A78" s="18">
        <v>333</v>
      </c>
      <c r="B78" s="59">
        <v>72</v>
      </c>
      <c r="C78" s="76" t="s">
        <v>151</v>
      </c>
      <c r="D78" s="61">
        <v>1017</v>
      </c>
      <c r="E78" s="61">
        <v>270</v>
      </c>
      <c r="F78" s="61">
        <v>311</v>
      </c>
      <c r="G78" s="55">
        <v>0</v>
      </c>
      <c r="H78" s="62">
        <f t="shared" si="2"/>
        <v>581</v>
      </c>
      <c r="I78" s="55">
        <v>85</v>
      </c>
      <c r="J78" s="29">
        <v>0</v>
      </c>
      <c r="K78" s="18">
        <v>1</v>
      </c>
      <c r="L78" s="63" t="s">
        <v>29</v>
      </c>
      <c r="M78" s="12">
        <f>+'Form20 '!B79</f>
        <v>189</v>
      </c>
      <c r="N78" s="18">
        <v>2</v>
      </c>
      <c r="O78" s="58" t="s">
        <v>24</v>
      </c>
      <c r="P78" s="12">
        <f>+'Form20 '!C79</f>
        <v>50</v>
      </c>
      <c r="Q78" s="18">
        <v>3</v>
      </c>
      <c r="R78" s="63" t="s">
        <v>28</v>
      </c>
      <c r="S78" s="12">
        <f>+'Form20 '!D79</f>
        <v>327</v>
      </c>
      <c r="T78" s="18">
        <v>4</v>
      </c>
      <c r="U78" s="64" t="s">
        <v>65</v>
      </c>
      <c r="V78" s="12">
        <f>+'Form20 '!E79</f>
        <v>2</v>
      </c>
      <c r="W78" s="18">
        <v>5</v>
      </c>
      <c r="X78" s="58" t="s">
        <v>66</v>
      </c>
      <c r="Y78" s="12">
        <f>+'Form20 '!F79</f>
        <v>0</v>
      </c>
      <c r="Z78" s="18">
        <v>6</v>
      </c>
      <c r="AA78" s="64" t="s">
        <v>67</v>
      </c>
      <c r="AB78" s="12">
        <f>+'Form20 '!G79</f>
        <v>0</v>
      </c>
      <c r="AC78" s="18">
        <v>7</v>
      </c>
      <c r="AD78" s="63" t="s">
        <v>68</v>
      </c>
      <c r="AE78" s="12">
        <f>+'Form20 '!H79</f>
        <v>0</v>
      </c>
      <c r="AF78" s="18">
        <v>8</v>
      </c>
      <c r="AG78" s="63" t="s">
        <v>69</v>
      </c>
      <c r="AH78" s="12">
        <f>+'Form20 '!I79</f>
        <v>2</v>
      </c>
      <c r="AI78" s="18">
        <v>9</v>
      </c>
      <c r="AJ78" s="65" t="s">
        <v>70</v>
      </c>
      <c r="AK78" s="12">
        <f>+'Form20 '!J79</f>
        <v>2</v>
      </c>
      <c r="AL78" s="18">
        <v>10</v>
      </c>
      <c r="AM78" s="66" t="s">
        <v>30</v>
      </c>
      <c r="AN78" s="12">
        <f>+'Form20 '!K79</f>
        <v>0</v>
      </c>
      <c r="AO78" s="18">
        <v>11</v>
      </c>
      <c r="AP78" s="66" t="s">
        <v>30</v>
      </c>
      <c r="AQ78" s="12">
        <f>+'Form20 '!L79</f>
        <v>0</v>
      </c>
      <c r="AR78" s="18">
        <v>12</v>
      </c>
      <c r="AS78" s="66" t="s">
        <v>30</v>
      </c>
      <c r="AT78" s="12">
        <f>+'Form20 '!M79</f>
        <v>3</v>
      </c>
      <c r="AU78" s="18">
        <v>13</v>
      </c>
      <c r="AV78" s="66" t="s">
        <v>30</v>
      </c>
      <c r="AW78" s="12">
        <f>+'Form20 '!N79</f>
        <v>0</v>
      </c>
      <c r="AX78" s="18">
        <v>14</v>
      </c>
      <c r="AY78" s="66" t="s">
        <v>30</v>
      </c>
      <c r="AZ78" s="12">
        <f>+'Form20 '!O79</f>
        <v>2</v>
      </c>
      <c r="BA78" s="75">
        <f t="shared" si="3"/>
        <v>577</v>
      </c>
    </row>
    <row r="79" spans="1:53" s="67" customFormat="1" ht="59.25" customHeight="1">
      <c r="A79" s="18">
        <v>333</v>
      </c>
      <c r="B79" s="59">
        <v>73</v>
      </c>
      <c r="C79" s="76" t="s">
        <v>152</v>
      </c>
      <c r="D79" s="61">
        <v>530</v>
      </c>
      <c r="E79" s="61">
        <v>145</v>
      </c>
      <c r="F79" s="61">
        <v>187</v>
      </c>
      <c r="G79" s="55">
        <v>0</v>
      </c>
      <c r="H79" s="62">
        <f t="shared" si="2"/>
        <v>332</v>
      </c>
      <c r="I79" s="55">
        <v>321</v>
      </c>
      <c r="J79" s="29">
        <v>0</v>
      </c>
      <c r="K79" s="18">
        <v>1</v>
      </c>
      <c r="L79" s="63" t="s">
        <v>29</v>
      </c>
      <c r="M79" s="12">
        <f>+'Form20 '!B80</f>
        <v>90</v>
      </c>
      <c r="N79" s="18">
        <v>2</v>
      </c>
      <c r="O79" s="58" t="s">
        <v>24</v>
      </c>
      <c r="P79" s="12">
        <f>+'Form20 '!C80</f>
        <v>32</v>
      </c>
      <c r="Q79" s="18">
        <v>3</v>
      </c>
      <c r="R79" s="63" t="s">
        <v>28</v>
      </c>
      <c r="S79" s="12">
        <f>+'Form20 '!D80</f>
        <v>199</v>
      </c>
      <c r="T79" s="18">
        <v>4</v>
      </c>
      <c r="U79" s="64" t="s">
        <v>65</v>
      </c>
      <c r="V79" s="12">
        <f>+'Form20 '!E80</f>
        <v>3</v>
      </c>
      <c r="W79" s="18">
        <v>5</v>
      </c>
      <c r="X79" s="58" t="s">
        <v>66</v>
      </c>
      <c r="Y79" s="12">
        <f>+'Form20 '!F80</f>
        <v>0</v>
      </c>
      <c r="Z79" s="18">
        <v>6</v>
      </c>
      <c r="AA79" s="64" t="s">
        <v>67</v>
      </c>
      <c r="AB79" s="12">
        <f>+'Form20 '!G80</f>
        <v>0</v>
      </c>
      <c r="AC79" s="18">
        <v>7</v>
      </c>
      <c r="AD79" s="63" t="s">
        <v>68</v>
      </c>
      <c r="AE79" s="12">
        <f>+'Form20 '!H80</f>
        <v>0</v>
      </c>
      <c r="AF79" s="18">
        <v>8</v>
      </c>
      <c r="AG79" s="63" t="s">
        <v>69</v>
      </c>
      <c r="AH79" s="12">
        <f>+'Form20 '!I80</f>
        <v>0</v>
      </c>
      <c r="AI79" s="18">
        <v>9</v>
      </c>
      <c r="AJ79" s="65" t="s">
        <v>70</v>
      </c>
      <c r="AK79" s="12">
        <f>+'Form20 '!J80</f>
        <v>1</v>
      </c>
      <c r="AL79" s="18">
        <v>10</v>
      </c>
      <c r="AM79" s="66" t="s">
        <v>30</v>
      </c>
      <c r="AN79" s="12">
        <f>+'Form20 '!K80</f>
        <v>0</v>
      </c>
      <c r="AO79" s="18">
        <v>11</v>
      </c>
      <c r="AP79" s="66" t="s">
        <v>30</v>
      </c>
      <c r="AQ79" s="12">
        <f>+'Form20 '!L80</f>
        <v>0</v>
      </c>
      <c r="AR79" s="18">
        <v>12</v>
      </c>
      <c r="AS79" s="66" t="s">
        <v>30</v>
      </c>
      <c r="AT79" s="12">
        <f>+'Form20 '!M80</f>
        <v>2</v>
      </c>
      <c r="AU79" s="18">
        <v>13</v>
      </c>
      <c r="AV79" s="66" t="s">
        <v>30</v>
      </c>
      <c r="AW79" s="12">
        <f>+'Form20 '!N80</f>
        <v>1</v>
      </c>
      <c r="AX79" s="18">
        <v>14</v>
      </c>
      <c r="AY79" s="66" t="s">
        <v>30</v>
      </c>
      <c r="AZ79" s="12">
        <f>+'Form20 '!O80</f>
        <v>1</v>
      </c>
      <c r="BA79" s="75">
        <f t="shared" si="3"/>
        <v>329</v>
      </c>
    </row>
    <row r="80" spans="1:53" s="67" customFormat="1" ht="59.25" customHeight="1">
      <c r="A80" s="18">
        <v>333</v>
      </c>
      <c r="B80" s="59">
        <v>74</v>
      </c>
      <c r="C80" s="76" t="s">
        <v>153</v>
      </c>
      <c r="D80" s="61">
        <v>729</v>
      </c>
      <c r="E80" s="61">
        <v>213</v>
      </c>
      <c r="F80" s="61">
        <v>241</v>
      </c>
      <c r="G80" s="55">
        <v>0</v>
      </c>
      <c r="H80" s="62">
        <f t="shared" si="2"/>
        <v>454</v>
      </c>
      <c r="I80" s="55">
        <v>37</v>
      </c>
      <c r="J80" s="29">
        <v>0</v>
      </c>
      <c r="K80" s="18">
        <v>1</v>
      </c>
      <c r="L80" s="63" t="s">
        <v>29</v>
      </c>
      <c r="M80" s="12">
        <f>+'Form20 '!B81</f>
        <v>191</v>
      </c>
      <c r="N80" s="18">
        <v>2</v>
      </c>
      <c r="O80" s="58" t="s">
        <v>24</v>
      </c>
      <c r="P80" s="12">
        <f>+'Form20 '!C81</f>
        <v>39</v>
      </c>
      <c r="Q80" s="18">
        <v>3</v>
      </c>
      <c r="R80" s="63" t="s">
        <v>28</v>
      </c>
      <c r="S80" s="12">
        <f>+'Form20 '!D81</f>
        <v>197</v>
      </c>
      <c r="T80" s="18">
        <v>4</v>
      </c>
      <c r="U80" s="64" t="s">
        <v>65</v>
      </c>
      <c r="V80" s="12">
        <f>+'Form20 '!E81</f>
        <v>1</v>
      </c>
      <c r="W80" s="18">
        <v>5</v>
      </c>
      <c r="X80" s="58" t="s">
        <v>66</v>
      </c>
      <c r="Y80" s="12">
        <f>+'Form20 '!F81</f>
        <v>0</v>
      </c>
      <c r="Z80" s="18">
        <v>6</v>
      </c>
      <c r="AA80" s="64" t="s">
        <v>67</v>
      </c>
      <c r="AB80" s="12">
        <f>+'Form20 '!G81</f>
        <v>0</v>
      </c>
      <c r="AC80" s="18">
        <v>7</v>
      </c>
      <c r="AD80" s="63" t="s">
        <v>68</v>
      </c>
      <c r="AE80" s="12">
        <f>+'Form20 '!H81</f>
        <v>0</v>
      </c>
      <c r="AF80" s="18">
        <v>8</v>
      </c>
      <c r="AG80" s="63" t="s">
        <v>69</v>
      </c>
      <c r="AH80" s="12">
        <f>+'Form20 '!I81</f>
        <v>0</v>
      </c>
      <c r="AI80" s="18">
        <v>9</v>
      </c>
      <c r="AJ80" s="65" t="s">
        <v>70</v>
      </c>
      <c r="AK80" s="12">
        <f>+'Form20 '!J81</f>
        <v>25</v>
      </c>
      <c r="AL80" s="18">
        <v>10</v>
      </c>
      <c r="AM80" s="66" t="s">
        <v>30</v>
      </c>
      <c r="AN80" s="12">
        <f>+'Form20 '!K81</f>
        <v>0</v>
      </c>
      <c r="AO80" s="18">
        <v>11</v>
      </c>
      <c r="AP80" s="66" t="s">
        <v>30</v>
      </c>
      <c r="AQ80" s="12">
        <f>+'Form20 '!L81</f>
        <v>0</v>
      </c>
      <c r="AR80" s="18">
        <v>12</v>
      </c>
      <c r="AS80" s="66" t="s">
        <v>30</v>
      </c>
      <c r="AT80" s="12">
        <f>+'Form20 '!M81</f>
        <v>0</v>
      </c>
      <c r="AU80" s="18">
        <v>13</v>
      </c>
      <c r="AV80" s="66" t="s">
        <v>30</v>
      </c>
      <c r="AW80" s="12">
        <f>+'Form20 '!N81</f>
        <v>0</v>
      </c>
      <c r="AX80" s="18">
        <v>14</v>
      </c>
      <c r="AY80" s="66" t="s">
        <v>30</v>
      </c>
      <c r="AZ80" s="12">
        <f>+'Form20 '!O81</f>
        <v>1</v>
      </c>
      <c r="BA80" s="75">
        <f t="shared" si="3"/>
        <v>454</v>
      </c>
    </row>
    <row r="81" spans="1:53" s="67" customFormat="1" ht="59.25" customHeight="1">
      <c r="A81" s="18">
        <v>333</v>
      </c>
      <c r="B81" s="59">
        <v>75</v>
      </c>
      <c r="C81" s="76" t="s">
        <v>154</v>
      </c>
      <c r="D81" s="61">
        <v>616</v>
      </c>
      <c r="E81" s="61">
        <v>189</v>
      </c>
      <c r="F81" s="61">
        <v>208</v>
      </c>
      <c r="G81" s="55">
        <v>0</v>
      </c>
      <c r="H81" s="62">
        <f t="shared" si="2"/>
        <v>397</v>
      </c>
      <c r="I81" s="55">
        <v>33</v>
      </c>
      <c r="J81" s="29">
        <v>0</v>
      </c>
      <c r="K81" s="18">
        <v>1</v>
      </c>
      <c r="L81" s="63" t="s">
        <v>29</v>
      </c>
      <c r="M81" s="12">
        <f>+'Form20 '!B82</f>
        <v>147</v>
      </c>
      <c r="N81" s="18">
        <v>2</v>
      </c>
      <c r="O81" s="58" t="s">
        <v>24</v>
      </c>
      <c r="P81" s="12">
        <f>+'Form20 '!C82</f>
        <v>3</v>
      </c>
      <c r="Q81" s="18">
        <v>3</v>
      </c>
      <c r="R81" s="63" t="s">
        <v>28</v>
      </c>
      <c r="S81" s="12">
        <f>+'Form20 '!D82</f>
        <v>231</v>
      </c>
      <c r="T81" s="18">
        <v>4</v>
      </c>
      <c r="U81" s="64" t="s">
        <v>65</v>
      </c>
      <c r="V81" s="12">
        <f>+'Form20 '!E82</f>
        <v>1</v>
      </c>
      <c r="W81" s="18">
        <v>5</v>
      </c>
      <c r="X81" s="58" t="s">
        <v>66</v>
      </c>
      <c r="Y81" s="12">
        <f>+'Form20 '!F82</f>
        <v>0</v>
      </c>
      <c r="Z81" s="18">
        <v>6</v>
      </c>
      <c r="AA81" s="64" t="s">
        <v>67</v>
      </c>
      <c r="AB81" s="12">
        <f>+'Form20 '!G82</f>
        <v>0</v>
      </c>
      <c r="AC81" s="18">
        <v>7</v>
      </c>
      <c r="AD81" s="63" t="s">
        <v>68</v>
      </c>
      <c r="AE81" s="12">
        <f>+'Form20 '!H82</f>
        <v>0</v>
      </c>
      <c r="AF81" s="18">
        <v>8</v>
      </c>
      <c r="AG81" s="63" t="s">
        <v>69</v>
      </c>
      <c r="AH81" s="12">
        <f>+'Form20 '!I82</f>
        <v>0</v>
      </c>
      <c r="AI81" s="18">
        <v>9</v>
      </c>
      <c r="AJ81" s="65" t="s">
        <v>70</v>
      </c>
      <c r="AK81" s="12">
        <f>+'Form20 '!J82</f>
        <v>11</v>
      </c>
      <c r="AL81" s="18">
        <v>10</v>
      </c>
      <c r="AM81" s="66" t="s">
        <v>30</v>
      </c>
      <c r="AN81" s="12">
        <f>+'Form20 '!K82</f>
        <v>0</v>
      </c>
      <c r="AO81" s="18">
        <v>11</v>
      </c>
      <c r="AP81" s="66" t="s">
        <v>30</v>
      </c>
      <c r="AQ81" s="12">
        <f>+'Form20 '!L82</f>
        <v>0</v>
      </c>
      <c r="AR81" s="18">
        <v>12</v>
      </c>
      <c r="AS81" s="66" t="s">
        <v>30</v>
      </c>
      <c r="AT81" s="12">
        <f>+'Form20 '!M82</f>
        <v>1</v>
      </c>
      <c r="AU81" s="18">
        <v>13</v>
      </c>
      <c r="AV81" s="66" t="s">
        <v>30</v>
      </c>
      <c r="AW81" s="12">
        <f>+'Form20 '!N82</f>
        <v>2</v>
      </c>
      <c r="AX81" s="18">
        <v>14</v>
      </c>
      <c r="AY81" s="66" t="s">
        <v>30</v>
      </c>
      <c r="AZ81" s="12">
        <f>+'Form20 '!O82</f>
        <v>1</v>
      </c>
      <c r="BA81" s="75">
        <f t="shared" si="3"/>
        <v>397</v>
      </c>
    </row>
    <row r="82" spans="1:53" s="67" customFormat="1" ht="59.25" customHeight="1">
      <c r="A82" s="18">
        <v>333</v>
      </c>
      <c r="B82" s="59">
        <v>76</v>
      </c>
      <c r="C82" s="76" t="s">
        <v>155</v>
      </c>
      <c r="D82" s="61">
        <v>693</v>
      </c>
      <c r="E82" s="61">
        <v>175</v>
      </c>
      <c r="F82" s="61">
        <v>194</v>
      </c>
      <c r="G82" s="55">
        <v>0</v>
      </c>
      <c r="H82" s="62">
        <f t="shared" si="2"/>
        <v>369</v>
      </c>
      <c r="I82" s="55">
        <v>52</v>
      </c>
      <c r="J82" s="29">
        <v>0</v>
      </c>
      <c r="K82" s="18">
        <v>1</v>
      </c>
      <c r="L82" s="63" t="s">
        <v>29</v>
      </c>
      <c r="M82" s="12">
        <f>+'Form20 '!B83</f>
        <v>227</v>
      </c>
      <c r="N82" s="18">
        <v>2</v>
      </c>
      <c r="O82" s="58" t="s">
        <v>24</v>
      </c>
      <c r="P82" s="12">
        <f>+'Form20 '!C83</f>
        <v>3</v>
      </c>
      <c r="Q82" s="18">
        <v>3</v>
      </c>
      <c r="R82" s="63" t="s">
        <v>28</v>
      </c>
      <c r="S82" s="12">
        <f>+'Form20 '!D83</f>
        <v>131</v>
      </c>
      <c r="T82" s="18">
        <v>4</v>
      </c>
      <c r="U82" s="64" t="s">
        <v>65</v>
      </c>
      <c r="V82" s="12">
        <f>+'Form20 '!E83</f>
        <v>0</v>
      </c>
      <c r="W82" s="18">
        <v>5</v>
      </c>
      <c r="X82" s="58" t="s">
        <v>66</v>
      </c>
      <c r="Y82" s="12">
        <f>+'Form20 '!F83</f>
        <v>0</v>
      </c>
      <c r="Z82" s="18">
        <v>6</v>
      </c>
      <c r="AA82" s="64" t="s">
        <v>67</v>
      </c>
      <c r="AB82" s="12">
        <f>+'Form20 '!G83</f>
        <v>0</v>
      </c>
      <c r="AC82" s="18">
        <v>7</v>
      </c>
      <c r="AD82" s="63" t="s">
        <v>68</v>
      </c>
      <c r="AE82" s="12">
        <f>+'Form20 '!H83</f>
        <v>1</v>
      </c>
      <c r="AF82" s="18">
        <v>8</v>
      </c>
      <c r="AG82" s="63" t="s">
        <v>69</v>
      </c>
      <c r="AH82" s="12">
        <f>+'Form20 '!I83</f>
        <v>0</v>
      </c>
      <c r="AI82" s="18">
        <v>9</v>
      </c>
      <c r="AJ82" s="65" t="s">
        <v>70</v>
      </c>
      <c r="AK82" s="12">
        <f>+'Form20 '!J83</f>
        <v>3</v>
      </c>
      <c r="AL82" s="18">
        <v>10</v>
      </c>
      <c r="AM82" s="66" t="s">
        <v>30</v>
      </c>
      <c r="AN82" s="12">
        <f>+'Form20 '!K83</f>
        <v>0</v>
      </c>
      <c r="AO82" s="18">
        <v>11</v>
      </c>
      <c r="AP82" s="66" t="s">
        <v>30</v>
      </c>
      <c r="AQ82" s="12">
        <f>+'Form20 '!L83</f>
        <v>1</v>
      </c>
      <c r="AR82" s="18">
        <v>12</v>
      </c>
      <c r="AS82" s="66" t="s">
        <v>30</v>
      </c>
      <c r="AT82" s="12">
        <f>+'Form20 '!M83</f>
        <v>0</v>
      </c>
      <c r="AU82" s="18">
        <v>13</v>
      </c>
      <c r="AV82" s="66" t="s">
        <v>30</v>
      </c>
      <c r="AW82" s="12">
        <f>+'Form20 '!N83</f>
        <v>1</v>
      </c>
      <c r="AX82" s="18">
        <v>14</v>
      </c>
      <c r="AY82" s="66" t="s">
        <v>30</v>
      </c>
      <c r="AZ82" s="12">
        <f>+'Form20 '!O83</f>
        <v>0</v>
      </c>
      <c r="BA82" s="75">
        <f t="shared" si="3"/>
        <v>367</v>
      </c>
    </row>
    <row r="83" spans="1:53" s="67" customFormat="1" ht="59.25" customHeight="1">
      <c r="A83" s="18">
        <v>333</v>
      </c>
      <c r="B83" s="59">
        <v>77</v>
      </c>
      <c r="C83" s="76" t="s">
        <v>156</v>
      </c>
      <c r="D83" s="61">
        <v>686</v>
      </c>
      <c r="E83" s="61">
        <v>166</v>
      </c>
      <c r="F83" s="61">
        <v>215</v>
      </c>
      <c r="G83" s="55">
        <v>0</v>
      </c>
      <c r="H83" s="62">
        <f t="shared" si="2"/>
        <v>381</v>
      </c>
      <c r="I83" s="55">
        <v>24</v>
      </c>
      <c r="J83" s="29">
        <v>0</v>
      </c>
      <c r="K83" s="18">
        <v>1</v>
      </c>
      <c r="L83" s="63" t="s">
        <v>29</v>
      </c>
      <c r="M83" s="12">
        <f>+'Form20 '!B84</f>
        <v>273</v>
      </c>
      <c r="N83" s="18">
        <v>2</v>
      </c>
      <c r="O83" s="58" t="s">
        <v>24</v>
      </c>
      <c r="P83" s="12">
        <f>+'Form20 '!C84</f>
        <v>17</v>
      </c>
      <c r="Q83" s="18">
        <v>3</v>
      </c>
      <c r="R83" s="63" t="s">
        <v>28</v>
      </c>
      <c r="S83" s="12">
        <f>+'Form20 '!D84</f>
        <v>77</v>
      </c>
      <c r="T83" s="18">
        <v>4</v>
      </c>
      <c r="U83" s="64" t="s">
        <v>65</v>
      </c>
      <c r="V83" s="12">
        <f>+'Form20 '!E84</f>
        <v>7</v>
      </c>
      <c r="W83" s="18">
        <v>5</v>
      </c>
      <c r="X83" s="58" t="s">
        <v>66</v>
      </c>
      <c r="Y83" s="12">
        <f>+'Form20 '!F84</f>
        <v>0</v>
      </c>
      <c r="Z83" s="18">
        <v>6</v>
      </c>
      <c r="AA83" s="64" t="s">
        <v>67</v>
      </c>
      <c r="AB83" s="12">
        <f>+'Form20 '!G84</f>
        <v>0</v>
      </c>
      <c r="AC83" s="18">
        <v>7</v>
      </c>
      <c r="AD83" s="63" t="s">
        <v>68</v>
      </c>
      <c r="AE83" s="12">
        <f>+'Form20 '!H84</f>
        <v>0</v>
      </c>
      <c r="AF83" s="18">
        <v>8</v>
      </c>
      <c r="AG83" s="63" t="s">
        <v>69</v>
      </c>
      <c r="AH83" s="12">
        <f>+'Form20 '!I84</f>
        <v>0</v>
      </c>
      <c r="AI83" s="18">
        <v>9</v>
      </c>
      <c r="AJ83" s="65" t="s">
        <v>70</v>
      </c>
      <c r="AK83" s="12">
        <f>+'Form20 '!J84</f>
        <v>1</v>
      </c>
      <c r="AL83" s="18">
        <v>10</v>
      </c>
      <c r="AM83" s="66" t="s">
        <v>30</v>
      </c>
      <c r="AN83" s="12">
        <f>+'Form20 '!K84</f>
        <v>0</v>
      </c>
      <c r="AO83" s="18">
        <v>11</v>
      </c>
      <c r="AP83" s="66" t="s">
        <v>30</v>
      </c>
      <c r="AQ83" s="12">
        <f>+'Form20 '!L84</f>
        <v>1</v>
      </c>
      <c r="AR83" s="18">
        <v>12</v>
      </c>
      <c r="AS83" s="66" t="s">
        <v>30</v>
      </c>
      <c r="AT83" s="12">
        <f>+'Form20 '!M84</f>
        <v>2</v>
      </c>
      <c r="AU83" s="18">
        <v>13</v>
      </c>
      <c r="AV83" s="66" t="s">
        <v>30</v>
      </c>
      <c r="AW83" s="12">
        <f>+'Form20 '!N84</f>
        <v>1</v>
      </c>
      <c r="AX83" s="18">
        <v>14</v>
      </c>
      <c r="AY83" s="66" t="s">
        <v>30</v>
      </c>
      <c r="AZ83" s="12">
        <f>+'Form20 '!O84</f>
        <v>0</v>
      </c>
      <c r="BA83" s="75">
        <f t="shared" si="3"/>
        <v>379</v>
      </c>
    </row>
    <row r="84" spans="1:53" s="67" customFormat="1" ht="59.25" customHeight="1">
      <c r="A84" s="18">
        <v>333</v>
      </c>
      <c r="B84" s="59">
        <v>78</v>
      </c>
      <c r="C84" s="76" t="s">
        <v>157</v>
      </c>
      <c r="D84" s="61">
        <v>685</v>
      </c>
      <c r="E84" s="61">
        <v>188</v>
      </c>
      <c r="F84" s="61">
        <v>203</v>
      </c>
      <c r="G84" s="55">
        <v>0</v>
      </c>
      <c r="H84" s="62">
        <f t="shared" si="2"/>
        <v>391</v>
      </c>
      <c r="I84" s="55">
        <v>35</v>
      </c>
      <c r="J84" s="29">
        <v>0</v>
      </c>
      <c r="K84" s="18">
        <v>1</v>
      </c>
      <c r="L84" s="63" t="s">
        <v>29</v>
      </c>
      <c r="M84" s="12">
        <f>+'Form20 '!B85</f>
        <v>255</v>
      </c>
      <c r="N84" s="18">
        <v>2</v>
      </c>
      <c r="O84" s="58" t="s">
        <v>24</v>
      </c>
      <c r="P84" s="12">
        <f>+'Form20 '!C85</f>
        <v>33</v>
      </c>
      <c r="Q84" s="18">
        <v>3</v>
      </c>
      <c r="R84" s="63" t="s">
        <v>28</v>
      </c>
      <c r="S84" s="12">
        <f>+'Form20 '!D85</f>
        <v>86</v>
      </c>
      <c r="T84" s="18">
        <v>4</v>
      </c>
      <c r="U84" s="64" t="s">
        <v>65</v>
      </c>
      <c r="V84" s="12">
        <f>+'Form20 '!E85</f>
        <v>9</v>
      </c>
      <c r="W84" s="18">
        <v>5</v>
      </c>
      <c r="X84" s="58" t="s">
        <v>66</v>
      </c>
      <c r="Y84" s="12">
        <f>+'Form20 '!F85</f>
        <v>0</v>
      </c>
      <c r="Z84" s="18">
        <v>6</v>
      </c>
      <c r="AA84" s="64" t="s">
        <v>67</v>
      </c>
      <c r="AB84" s="12">
        <f>+'Form20 '!G85</f>
        <v>1</v>
      </c>
      <c r="AC84" s="18">
        <v>7</v>
      </c>
      <c r="AD84" s="63" t="s">
        <v>68</v>
      </c>
      <c r="AE84" s="12">
        <f>+'Form20 '!H85</f>
        <v>0</v>
      </c>
      <c r="AF84" s="18">
        <v>8</v>
      </c>
      <c r="AG84" s="63" t="s">
        <v>69</v>
      </c>
      <c r="AH84" s="12">
        <f>+'Form20 '!I85</f>
        <v>0</v>
      </c>
      <c r="AI84" s="18">
        <v>9</v>
      </c>
      <c r="AJ84" s="65" t="s">
        <v>70</v>
      </c>
      <c r="AK84" s="12">
        <f>+'Form20 '!J85</f>
        <v>1</v>
      </c>
      <c r="AL84" s="18">
        <v>10</v>
      </c>
      <c r="AM84" s="66" t="s">
        <v>30</v>
      </c>
      <c r="AN84" s="12">
        <f>+'Form20 '!K85</f>
        <v>0</v>
      </c>
      <c r="AO84" s="18">
        <v>11</v>
      </c>
      <c r="AP84" s="66" t="s">
        <v>30</v>
      </c>
      <c r="AQ84" s="12">
        <f>+'Form20 '!L85</f>
        <v>0</v>
      </c>
      <c r="AR84" s="18">
        <v>12</v>
      </c>
      <c r="AS84" s="66" t="s">
        <v>30</v>
      </c>
      <c r="AT84" s="12">
        <f>+'Form20 '!M85</f>
        <v>2</v>
      </c>
      <c r="AU84" s="18">
        <v>13</v>
      </c>
      <c r="AV84" s="66" t="s">
        <v>30</v>
      </c>
      <c r="AW84" s="12">
        <f>+'Form20 '!N85</f>
        <v>1</v>
      </c>
      <c r="AX84" s="18">
        <v>14</v>
      </c>
      <c r="AY84" s="66" t="s">
        <v>30</v>
      </c>
      <c r="AZ84" s="12">
        <f>+'Form20 '!O85</f>
        <v>1</v>
      </c>
      <c r="BA84" s="75">
        <f t="shared" si="3"/>
        <v>389</v>
      </c>
    </row>
    <row r="85" spans="1:53" s="67" customFormat="1" ht="59.25" customHeight="1">
      <c r="A85" s="18">
        <v>333</v>
      </c>
      <c r="B85" s="59">
        <v>79</v>
      </c>
      <c r="C85" s="76" t="s">
        <v>158</v>
      </c>
      <c r="D85" s="61">
        <v>775</v>
      </c>
      <c r="E85" s="61">
        <v>225</v>
      </c>
      <c r="F85" s="61">
        <v>264</v>
      </c>
      <c r="G85" s="55">
        <v>0</v>
      </c>
      <c r="H85" s="62">
        <f t="shared" si="2"/>
        <v>489</v>
      </c>
      <c r="I85" s="55">
        <v>29</v>
      </c>
      <c r="J85" s="29">
        <v>0</v>
      </c>
      <c r="K85" s="18">
        <v>1</v>
      </c>
      <c r="L85" s="63" t="s">
        <v>29</v>
      </c>
      <c r="M85" s="12">
        <f>+'Form20 '!B86</f>
        <v>128</v>
      </c>
      <c r="N85" s="18">
        <v>2</v>
      </c>
      <c r="O85" s="58" t="s">
        <v>24</v>
      </c>
      <c r="P85" s="12">
        <f>+'Form20 '!C86</f>
        <v>14</v>
      </c>
      <c r="Q85" s="18">
        <v>3</v>
      </c>
      <c r="R85" s="63" t="s">
        <v>28</v>
      </c>
      <c r="S85" s="12">
        <f>+'Form20 '!D86</f>
        <v>327</v>
      </c>
      <c r="T85" s="18">
        <v>4</v>
      </c>
      <c r="U85" s="64" t="s">
        <v>65</v>
      </c>
      <c r="V85" s="12">
        <f>+'Form20 '!E86</f>
        <v>2</v>
      </c>
      <c r="W85" s="18">
        <v>5</v>
      </c>
      <c r="X85" s="58" t="s">
        <v>66</v>
      </c>
      <c r="Y85" s="12">
        <f>+'Form20 '!F86</f>
        <v>0</v>
      </c>
      <c r="Z85" s="18">
        <v>6</v>
      </c>
      <c r="AA85" s="64" t="s">
        <v>67</v>
      </c>
      <c r="AB85" s="12">
        <f>+'Form20 '!G86</f>
        <v>1</v>
      </c>
      <c r="AC85" s="18">
        <v>7</v>
      </c>
      <c r="AD85" s="63" t="s">
        <v>68</v>
      </c>
      <c r="AE85" s="12">
        <f>+'Form20 '!H86</f>
        <v>0</v>
      </c>
      <c r="AF85" s="18">
        <v>8</v>
      </c>
      <c r="AG85" s="63" t="s">
        <v>69</v>
      </c>
      <c r="AH85" s="12">
        <f>+'Form20 '!I86</f>
        <v>0</v>
      </c>
      <c r="AI85" s="18">
        <v>9</v>
      </c>
      <c r="AJ85" s="65" t="s">
        <v>70</v>
      </c>
      <c r="AK85" s="12">
        <f>+'Form20 '!J86</f>
        <v>11</v>
      </c>
      <c r="AL85" s="18">
        <v>10</v>
      </c>
      <c r="AM85" s="66" t="s">
        <v>30</v>
      </c>
      <c r="AN85" s="12">
        <f>+'Form20 '!K86</f>
        <v>0</v>
      </c>
      <c r="AO85" s="18">
        <v>11</v>
      </c>
      <c r="AP85" s="66" t="s">
        <v>30</v>
      </c>
      <c r="AQ85" s="12">
        <f>+'Form20 '!L86</f>
        <v>0</v>
      </c>
      <c r="AR85" s="18">
        <v>12</v>
      </c>
      <c r="AS85" s="66" t="s">
        <v>30</v>
      </c>
      <c r="AT85" s="12">
        <f>+'Form20 '!M86</f>
        <v>1</v>
      </c>
      <c r="AU85" s="18">
        <v>13</v>
      </c>
      <c r="AV85" s="66" t="s">
        <v>30</v>
      </c>
      <c r="AW85" s="12">
        <f>+'Form20 '!N86</f>
        <v>4</v>
      </c>
      <c r="AX85" s="18">
        <v>14</v>
      </c>
      <c r="AY85" s="66" t="s">
        <v>30</v>
      </c>
      <c r="AZ85" s="12">
        <f>+'Form20 '!O86</f>
        <v>1</v>
      </c>
      <c r="BA85" s="75">
        <f t="shared" si="3"/>
        <v>489</v>
      </c>
    </row>
    <row r="86" spans="1:53" s="67" customFormat="1" ht="59.25" customHeight="1">
      <c r="A86" s="18">
        <v>333</v>
      </c>
      <c r="B86" s="59">
        <v>80</v>
      </c>
      <c r="C86" s="76" t="s">
        <v>159</v>
      </c>
      <c r="D86" s="61">
        <v>811</v>
      </c>
      <c r="E86" s="61">
        <v>194</v>
      </c>
      <c r="F86" s="61">
        <v>270</v>
      </c>
      <c r="G86" s="55">
        <v>0</v>
      </c>
      <c r="H86" s="62">
        <f t="shared" si="2"/>
        <v>464</v>
      </c>
      <c r="I86" s="55">
        <v>196</v>
      </c>
      <c r="J86" s="29">
        <v>0</v>
      </c>
      <c r="K86" s="18">
        <v>1</v>
      </c>
      <c r="L86" s="63" t="s">
        <v>29</v>
      </c>
      <c r="M86" s="12">
        <f>+'Form20 '!B87</f>
        <v>289</v>
      </c>
      <c r="N86" s="18">
        <v>2</v>
      </c>
      <c r="O86" s="58" t="s">
        <v>24</v>
      </c>
      <c r="P86" s="12">
        <f>+'Form20 '!C87</f>
        <v>20</v>
      </c>
      <c r="Q86" s="18">
        <v>3</v>
      </c>
      <c r="R86" s="63" t="s">
        <v>28</v>
      </c>
      <c r="S86" s="12">
        <f>+'Form20 '!D87</f>
        <v>125</v>
      </c>
      <c r="T86" s="18">
        <v>4</v>
      </c>
      <c r="U86" s="64" t="s">
        <v>65</v>
      </c>
      <c r="V86" s="12">
        <f>+'Form20 '!E87</f>
        <v>17</v>
      </c>
      <c r="W86" s="18">
        <v>5</v>
      </c>
      <c r="X86" s="58" t="s">
        <v>66</v>
      </c>
      <c r="Y86" s="12">
        <f>+'Form20 '!F87</f>
        <v>1</v>
      </c>
      <c r="Z86" s="18">
        <v>6</v>
      </c>
      <c r="AA86" s="64" t="s">
        <v>67</v>
      </c>
      <c r="AB86" s="12">
        <f>+'Form20 '!G87</f>
        <v>0</v>
      </c>
      <c r="AC86" s="18">
        <v>7</v>
      </c>
      <c r="AD86" s="63" t="s">
        <v>68</v>
      </c>
      <c r="AE86" s="12">
        <f>+'Form20 '!H87</f>
        <v>0</v>
      </c>
      <c r="AF86" s="18">
        <v>8</v>
      </c>
      <c r="AG86" s="63" t="s">
        <v>69</v>
      </c>
      <c r="AH86" s="12">
        <f>+'Form20 '!I87</f>
        <v>0</v>
      </c>
      <c r="AI86" s="18">
        <v>9</v>
      </c>
      <c r="AJ86" s="65" t="s">
        <v>70</v>
      </c>
      <c r="AK86" s="12">
        <f>+'Form20 '!J87</f>
        <v>1</v>
      </c>
      <c r="AL86" s="18">
        <v>10</v>
      </c>
      <c r="AM86" s="66" t="s">
        <v>30</v>
      </c>
      <c r="AN86" s="12">
        <f>+'Form20 '!K87</f>
        <v>2</v>
      </c>
      <c r="AO86" s="18">
        <v>11</v>
      </c>
      <c r="AP86" s="66" t="s">
        <v>30</v>
      </c>
      <c r="AQ86" s="12">
        <f>+'Form20 '!L87</f>
        <v>0</v>
      </c>
      <c r="AR86" s="18">
        <v>12</v>
      </c>
      <c r="AS86" s="66" t="s">
        <v>30</v>
      </c>
      <c r="AT86" s="12">
        <f>+'Form20 '!M87</f>
        <v>0</v>
      </c>
      <c r="AU86" s="18">
        <v>13</v>
      </c>
      <c r="AV86" s="66" t="s">
        <v>30</v>
      </c>
      <c r="AW86" s="12">
        <f>+'Form20 '!N87</f>
        <v>2</v>
      </c>
      <c r="AX86" s="18">
        <v>14</v>
      </c>
      <c r="AY86" s="66" t="s">
        <v>30</v>
      </c>
      <c r="AZ86" s="12">
        <f>+'Form20 '!O87</f>
        <v>2</v>
      </c>
      <c r="BA86" s="75">
        <f t="shared" si="3"/>
        <v>459</v>
      </c>
    </row>
    <row r="87" spans="1:53" s="67" customFormat="1" ht="59.25" customHeight="1">
      <c r="A87" s="18">
        <v>333</v>
      </c>
      <c r="B87" s="59">
        <v>81</v>
      </c>
      <c r="C87" s="76" t="s">
        <v>160</v>
      </c>
      <c r="D87" s="61">
        <v>598</v>
      </c>
      <c r="E87" s="61">
        <v>173</v>
      </c>
      <c r="F87" s="61">
        <v>235</v>
      </c>
      <c r="G87" s="55">
        <v>0</v>
      </c>
      <c r="H87" s="62">
        <f t="shared" si="2"/>
        <v>408</v>
      </c>
      <c r="I87" s="55">
        <v>86</v>
      </c>
      <c r="J87" s="29">
        <v>0</v>
      </c>
      <c r="K87" s="18">
        <v>1</v>
      </c>
      <c r="L87" s="63" t="s">
        <v>29</v>
      </c>
      <c r="M87" s="12">
        <f>+'Form20 '!B88</f>
        <v>297</v>
      </c>
      <c r="N87" s="18">
        <v>2</v>
      </c>
      <c r="O87" s="58" t="s">
        <v>24</v>
      </c>
      <c r="P87" s="12">
        <f>+'Form20 '!C88</f>
        <v>17</v>
      </c>
      <c r="Q87" s="18">
        <v>3</v>
      </c>
      <c r="R87" s="63" t="s">
        <v>28</v>
      </c>
      <c r="S87" s="12">
        <f>+'Form20 '!D88</f>
        <v>80</v>
      </c>
      <c r="T87" s="18">
        <v>4</v>
      </c>
      <c r="U87" s="64" t="s">
        <v>65</v>
      </c>
      <c r="V87" s="12">
        <f>+'Form20 '!E88</f>
        <v>0</v>
      </c>
      <c r="W87" s="18">
        <v>5</v>
      </c>
      <c r="X87" s="58" t="s">
        <v>66</v>
      </c>
      <c r="Y87" s="12">
        <f>+'Form20 '!F88</f>
        <v>0</v>
      </c>
      <c r="Z87" s="18">
        <v>6</v>
      </c>
      <c r="AA87" s="64" t="s">
        <v>67</v>
      </c>
      <c r="AB87" s="12">
        <f>+'Form20 '!G88</f>
        <v>1</v>
      </c>
      <c r="AC87" s="18">
        <v>7</v>
      </c>
      <c r="AD87" s="63" t="s">
        <v>68</v>
      </c>
      <c r="AE87" s="12">
        <f>+'Form20 '!H88</f>
        <v>1</v>
      </c>
      <c r="AF87" s="18">
        <v>8</v>
      </c>
      <c r="AG87" s="63" t="s">
        <v>69</v>
      </c>
      <c r="AH87" s="12">
        <f>+'Form20 '!I88</f>
        <v>0</v>
      </c>
      <c r="AI87" s="18">
        <v>9</v>
      </c>
      <c r="AJ87" s="65" t="s">
        <v>70</v>
      </c>
      <c r="AK87" s="12">
        <f>+'Form20 '!J88</f>
        <v>3</v>
      </c>
      <c r="AL87" s="18">
        <v>10</v>
      </c>
      <c r="AM87" s="66" t="s">
        <v>30</v>
      </c>
      <c r="AN87" s="12">
        <f>+'Form20 '!K88</f>
        <v>1</v>
      </c>
      <c r="AO87" s="18">
        <v>11</v>
      </c>
      <c r="AP87" s="66" t="s">
        <v>30</v>
      </c>
      <c r="AQ87" s="12">
        <f>+'Form20 '!L88</f>
        <v>0</v>
      </c>
      <c r="AR87" s="18">
        <v>12</v>
      </c>
      <c r="AS87" s="66" t="s">
        <v>30</v>
      </c>
      <c r="AT87" s="12">
        <f>+'Form20 '!M88</f>
        <v>1</v>
      </c>
      <c r="AU87" s="18">
        <v>13</v>
      </c>
      <c r="AV87" s="66" t="s">
        <v>30</v>
      </c>
      <c r="AW87" s="12">
        <f>+'Form20 '!N88</f>
        <v>1</v>
      </c>
      <c r="AX87" s="18">
        <v>14</v>
      </c>
      <c r="AY87" s="66" t="s">
        <v>30</v>
      </c>
      <c r="AZ87" s="12">
        <f>+'Form20 '!O88</f>
        <v>1</v>
      </c>
      <c r="BA87" s="75">
        <f t="shared" si="3"/>
        <v>403</v>
      </c>
    </row>
    <row r="88" spans="1:53" s="67" customFormat="1" ht="59.25" customHeight="1">
      <c r="A88" s="18">
        <v>333</v>
      </c>
      <c r="B88" s="59">
        <v>82</v>
      </c>
      <c r="C88" s="76" t="s">
        <v>161</v>
      </c>
      <c r="D88" s="61">
        <v>787</v>
      </c>
      <c r="E88" s="61">
        <v>239</v>
      </c>
      <c r="F88" s="61">
        <v>245</v>
      </c>
      <c r="G88" s="55">
        <v>0</v>
      </c>
      <c r="H88" s="62">
        <f t="shared" si="2"/>
        <v>484</v>
      </c>
      <c r="I88" s="55">
        <v>33</v>
      </c>
      <c r="J88" s="29">
        <v>0</v>
      </c>
      <c r="K88" s="18">
        <v>1</v>
      </c>
      <c r="L88" s="63" t="s">
        <v>29</v>
      </c>
      <c r="M88" s="12">
        <f>+'Form20 '!B89</f>
        <v>261</v>
      </c>
      <c r="N88" s="18">
        <v>2</v>
      </c>
      <c r="O88" s="58" t="s">
        <v>24</v>
      </c>
      <c r="P88" s="12">
        <f>+'Form20 '!C89</f>
        <v>32</v>
      </c>
      <c r="Q88" s="18">
        <v>3</v>
      </c>
      <c r="R88" s="63" t="s">
        <v>28</v>
      </c>
      <c r="S88" s="12">
        <f>+'Form20 '!D89</f>
        <v>168</v>
      </c>
      <c r="T88" s="18">
        <v>4</v>
      </c>
      <c r="U88" s="64" t="s">
        <v>65</v>
      </c>
      <c r="V88" s="12">
        <f>+'Form20 '!E89</f>
        <v>6</v>
      </c>
      <c r="W88" s="18">
        <v>5</v>
      </c>
      <c r="X88" s="58" t="s">
        <v>66</v>
      </c>
      <c r="Y88" s="12">
        <f>+'Form20 '!F89</f>
        <v>0</v>
      </c>
      <c r="Z88" s="18">
        <v>6</v>
      </c>
      <c r="AA88" s="64" t="s">
        <v>67</v>
      </c>
      <c r="AB88" s="12">
        <f>+'Form20 '!G89</f>
        <v>3</v>
      </c>
      <c r="AC88" s="18">
        <v>7</v>
      </c>
      <c r="AD88" s="63" t="s">
        <v>68</v>
      </c>
      <c r="AE88" s="12">
        <f>+'Form20 '!H89</f>
        <v>0</v>
      </c>
      <c r="AF88" s="18">
        <v>8</v>
      </c>
      <c r="AG88" s="63" t="s">
        <v>69</v>
      </c>
      <c r="AH88" s="12">
        <f>+'Form20 '!I89</f>
        <v>2</v>
      </c>
      <c r="AI88" s="18">
        <v>9</v>
      </c>
      <c r="AJ88" s="65" t="s">
        <v>70</v>
      </c>
      <c r="AK88" s="12">
        <f>+'Form20 '!J89</f>
        <v>0</v>
      </c>
      <c r="AL88" s="18">
        <v>10</v>
      </c>
      <c r="AM88" s="66" t="s">
        <v>30</v>
      </c>
      <c r="AN88" s="12">
        <f>+'Form20 '!K89</f>
        <v>0</v>
      </c>
      <c r="AO88" s="18">
        <v>11</v>
      </c>
      <c r="AP88" s="66" t="s">
        <v>30</v>
      </c>
      <c r="AQ88" s="12">
        <f>+'Form20 '!L89</f>
        <v>0</v>
      </c>
      <c r="AR88" s="18">
        <v>12</v>
      </c>
      <c r="AS88" s="66" t="s">
        <v>30</v>
      </c>
      <c r="AT88" s="12">
        <f>+'Form20 '!M89</f>
        <v>0</v>
      </c>
      <c r="AU88" s="18">
        <v>13</v>
      </c>
      <c r="AV88" s="66" t="s">
        <v>30</v>
      </c>
      <c r="AW88" s="12">
        <f>+'Form20 '!N89</f>
        <v>2</v>
      </c>
      <c r="AX88" s="18">
        <v>14</v>
      </c>
      <c r="AY88" s="66" t="s">
        <v>30</v>
      </c>
      <c r="AZ88" s="12">
        <f>+'Form20 '!O89</f>
        <v>3</v>
      </c>
      <c r="BA88" s="75">
        <f t="shared" si="3"/>
        <v>477</v>
      </c>
    </row>
    <row r="89" spans="1:53" s="67" customFormat="1" ht="59.25" customHeight="1">
      <c r="A89" s="18">
        <v>333</v>
      </c>
      <c r="B89" s="59">
        <v>83</v>
      </c>
      <c r="C89" s="76" t="s">
        <v>162</v>
      </c>
      <c r="D89" s="61">
        <v>745</v>
      </c>
      <c r="E89" s="61">
        <v>196</v>
      </c>
      <c r="F89" s="61">
        <v>239</v>
      </c>
      <c r="G89" s="55">
        <v>0</v>
      </c>
      <c r="H89" s="62">
        <f t="shared" si="2"/>
        <v>435</v>
      </c>
      <c r="I89" s="55">
        <v>100</v>
      </c>
      <c r="J89" s="29">
        <v>0</v>
      </c>
      <c r="K89" s="18">
        <v>1</v>
      </c>
      <c r="L89" s="63" t="s">
        <v>29</v>
      </c>
      <c r="M89" s="12">
        <f>+'Form20 '!B90</f>
        <v>269</v>
      </c>
      <c r="N89" s="18">
        <v>2</v>
      </c>
      <c r="O89" s="58" t="s">
        <v>24</v>
      </c>
      <c r="P89" s="12">
        <f>+'Form20 '!C90</f>
        <v>65</v>
      </c>
      <c r="Q89" s="18">
        <v>3</v>
      </c>
      <c r="R89" s="63" t="s">
        <v>28</v>
      </c>
      <c r="S89" s="12">
        <f>+'Form20 '!D90</f>
        <v>82</v>
      </c>
      <c r="T89" s="18">
        <v>4</v>
      </c>
      <c r="U89" s="64" t="s">
        <v>65</v>
      </c>
      <c r="V89" s="12">
        <f>+'Form20 '!E90</f>
        <v>1</v>
      </c>
      <c r="W89" s="18">
        <v>5</v>
      </c>
      <c r="X89" s="58" t="s">
        <v>66</v>
      </c>
      <c r="Y89" s="12">
        <f>+'Form20 '!F90</f>
        <v>0</v>
      </c>
      <c r="Z89" s="18">
        <v>6</v>
      </c>
      <c r="AA89" s="64" t="s">
        <v>67</v>
      </c>
      <c r="AB89" s="12">
        <f>+'Form20 '!G90</f>
        <v>1</v>
      </c>
      <c r="AC89" s="18">
        <v>7</v>
      </c>
      <c r="AD89" s="63" t="s">
        <v>68</v>
      </c>
      <c r="AE89" s="12">
        <f>+'Form20 '!H90</f>
        <v>0</v>
      </c>
      <c r="AF89" s="18">
        <v>8</v>
      </c>
      <c r="AG89" s="63" t="s">
        <v>69</v>
      </c>
      <c r="AH89" s="12">
        <f>+'Form20 '!I90</f>
        <v>1</v>
      </c>
      <c r="AI89" s="18">
        <v>9</v>
      </c>
      <c r="AJ89" s="65" t="s">
        <v>70</v>
      </c>
      <c r="AK89" s="12">
        <f>+'Form20 '!J90</f>
        <v>7</v>
      </c>
      <c r="AL89" s="18">
        <v>10</v>
      </c>
      <c r="AM89" s="66" t="s">
        <v>30</v>
      </c>
      <c r="AN89" s="12">
        <f>+'Form20 '!K90</f>
        <v>0</v>
      </c>
      <c r="AO89" s="18">
        <v>11</v>
      </c>
      <c r="AP89" s="66" t="s">
        <v>30</v>
      </c>
      <c r="AQ89" s="12">
        <f>+'Form20 '!L90</f>
        <v>0</v>
      </c>
      <c r="AR89" s="18">
        <v>12</v>
      </c>
      <c r="AS89" s="66" t="s">
        <v>30</v>
      </c>
      <c r="AT89" s="12">
        <f>+'Form20 '!M90</f>
        <v>1</v>
      </c>
      <c r="AU89" s="18">
        <v>13</v>
      </c>
      <c r="AV89" s="66" t="s">
        <v>30</v>
      </c>
      <c r="AW89" s="12">
        <f>+'Form20 '!N90</f>
        <v>0</v>
      </c>
      <c r="AX89" s="18">
        <v>14</v>
      </c>
      <c r="AY89" s="66" t="s">
        <v>30</v>
      </c>
      <c r="AZ89" s="12">
        <f>+'Form20 '!O90</f>
        <v>1</v>
      </c>
      <c r="BA89" s="75">
        <f t="shared" si="3"/>
        <v>428</v>
      </c>
    </row>
    <row r="90" spans="1:53" s="67" customFormat="1" ht="59.25" customHeight="1">
      <c r="A90" s="18">
        <v>333</v>
      </c>
      <c r="B90" s="59">
        <v>84</v>
      </c>
      <c r="C90" s="76" t="s">
        <v>163</v>
      </c>
      <c r="D90" s="61">
        <v>862</v>
      </c>
      <c r="E90" s="61">
        <v>220</v>
      </c>
      <c r="F90" s="61">
        <v>275</v>
      </c>
      <c r="G90" s="55">
        <v>0</v>
      </c>
      <c r="H90" s="62">
        <f t="shared" si="2"/>
        <v>495</v>
      </c>
      <c r="I90" s="55">
        <v>127</v>
      </c>
      <c r="J90" s="29">
        <v>0</v>
      </c>
      <c r="K90" s="18">
        <v>1</v>
      </c>
      <c r="L90" s="63" t="s">
        <v>29</v>
      </c>
      <c r="M90" s="12">
        <f>+'Form20 '!B91</f>
        <v>305</v>
      </c>
      <c r="N90" s="18">
        <v>2</v>
      </c>
      <c r="O90" s="58" t="s">
        <v>24</v>
      </c>
      <c r="P90" s="12">
        <f>+'Form20 '!C91</f>
        <v>67</v>
      </c>
      <c r="Q90" s="18">
        <v>3</v>
      </c>
      <c r="R90" s="63" t="s">
        <v>28</v>
      </c>
      <c r="S90" s="12">
        <f>+'Form20 '!D91</f>
        <v>118</v>
      </c>
      <c r="T90" s="18">
        <v>4</v>
      </c>
      <c r="U90" s="64" t="s">
        <v>65</v>
      </c>
      <c r="V90" s="12">
        <f>+'Form20 '!E91</f>
        <v>1</v>
      </c>
      <c r="W90" s="18">
        <v>5</v>
      </c>
      <c r="X90" s="58" t="s">
        <v>66</v>
      </c>
      <c r="Y90" s="12">
        <f>+'Form20 '!F91</f>
        <v>0</v>
      </c>
      <c r="Z90" s="18">
        <v>6</v>
      </c>
      <c r="AA90" s="64" t="s">
        <v>67</v>
      </c>
      <c r="AB90" s="12">
        <f>+'Form20 '!G91</f>
        <v>0</v>
      </c>
      <c r="AC90" s="18">
        <v>7</v>
      </c>
      <c r="AD90" s="63" t="s">
        <v>68</v>
      </c>
      <c r="AE90" s="12">
        <f>+'Form20 '!H91</f>
        <v>0</v>
      </c>
      <c r="AF90" s="18">
        <v>8</v>
      </c>
      <c r="AG90" s="63" t="s">
        <v>69</v>
      </c>
      <c r="AH90" s="12">
        <f>+'Form20 '!I91</f>
        <v>0</v>
      </c>
      <c r="AI90" s="18">
        <v>9</v>
      </c>
      <c r="AJ90" s="65" t="s">
        <v>70</v>
      </c>
      <c r="AK90" s="12">
        <f>+'Form20 '!J91</f>
        <v>1</v>
      </c>
      <c r="AL90" s="18">
        <v>10</v>
      </c>
      <c r="AM90" s="66" t="s">
        <v>30</v>
      </c>
      <c r="AN90" s="12">
        <f>+'Form20 '!K91</f>
        <v>0</v>
      </c>
      <c r="AO90" s="18">
        <v>11</v>
      </c>
      <c r="AP90" s="66" t="s">
        <v>30</v>
      </c>
      <c r="AQ90" s="12">
        <f>+'Form20 '!L91</f>
        <v>0</v>
      </c>
      <c r="AR90" s="18">
        <v>12</v>
      </c>
      <c r="AS90" s="66" t="s">
        <v>30</v>
      </c>
      <c r="AT90" s="12">
        <f>+'Form20 '!M91</f>
        <v>1</v>
      </c>
      <c r="AU90" s="18">
        <v>13</v>
      </c>
      <c r="AV90" s="66" t="s">
        <v>30</v>
      </c>
      <c r="AW90" s="12">
        <f>+'Form20 '!N91</f>
        <v>0</v>
      </c>
      <c r="AX90" s="18">
        <v>14</v>
      </c>
      <c r="AY90" s="66" t="s">
        <v>30</v>
      </c>
      <c r="AZ90" s="12">
        <f>+'Form20 '!O91</f>
        <v>0</v>
      </c>
      <c r="BA90" s="75">
        <f t="shared" si="3"/>
        <v>493</v>
      </c>
    </row>
    <row r="91" spans="1:53" s="67" customFormat="1" ht="59.25" customHeight="1">
      <c r="A91" s="18">
        <v>333</v>
      </c>
      <c r="B91" s="59">
        <v>85</v>
      </c>
      <c r="C91" s="76" t="s">
        <v>164</v>
      </c>
      <c r="D91" s="61">
        <v>858</v>
      </c>
      <c r="E91" s="61">
        <v>285</v>
      </c>
      <c r="F91" s="61">
        <v>302</v>
      </c>
      <c r="G91" s="55">
        <v>0</v>
      </c>
      <c r="H91" s="62">
        <f t="shared" si="2"/>
        <v>587</v>
      </c>
      <c r="I91" s="55">
        <v>42</v>
      </c>
      <c r="J91" s="29">
        <v>0</v>
      </c>
      <c r="K91" s="18">
        <v>1</v>
      </c>
      <c r="L91" s="63" t="s">
        <v>29</v>
      </c>
      <c r="M91" s="12">
        <f>+'Form20 '!B92</f>
        <v>345</v>
      </c>
      <c r="N91" s="18">
        <v>2</v>
      </c>
      <c r="O91" s="58" t="s">
        <v>24</v>
      </c>
      <c r="P91" s="12">
        <f>+'Form20 '!C92</f>
        <v>23</v>
      </c>
      <c r="Q91" s="18">
        <v>3</v>
      </c>
      <c r="R91" s="63" t="s">
        <v>28</v>
      </c>
      <c r="S91" s="12">
        <f>+'Form20 '!D92</f>
        <v>207</v>
      </c>
      <c r="T91" s="18">
        <v>4</v>
      </c>
      <c r="U91" s="64" t="s">
        <v>65</v>
      </c>
      <c r="V91" s="12">
        <f>+'Form20 '!E92</f>
        <v>3</v>
      </c>
      <c r="W91" s="18">
        <v>5</v>
      </c>
      <c r="X91" s="58" t="s">
        <v>66</v>
      </c>
      <c r="Y91" s="12">
        <f>+'Form20 '!F92</f>
        <v>0</v>
      </c>
      <c r="Z91" s="18">
        <v>6</v>
      </c>
      <c r="AA91" s="64" t="s">
        <v>67</v>
      </c>
      <c r="AB91" s="12">
        <f>+'Form20 '!G92</f>
        <v>0</v>
      </c>
      <c r="AC91" s="18">
        <v>7</v>
      </c>
      <c r="AD91" s="63" t="s">
        <v>68</v>
      </c>
      <c r="AE91" s="12">
        <f>+'Form20 '!H92</f>
        <v>0</v>
      </c>
      <c r="AF91" s="18">
        <v>8</v>
      </c>
      <c r="AG91" s="63" t="s">
        <v>69</v>
      </c>
      <c r="AH91" s="12">
        <f>+'Form20 '!I92</f>
        <v>0</v>
      </c>
      <c r="AI91" s="18">
        <v>9</v>
      </c>
      <c r="AJ91" s="65" t="s">
        <v>70</v>
      </c>
      <c r="AK91" s="12">
        <f>+'Form20 '!J92</f>
        <v>1</v>
      </c>
      <c r="AL91" s="18">
        <v>10</v>
      </c>
      <c r="AM91" s="66" t="s">
        <v>30</v>
      </c>
      <c r="AN91" s="12">
        <f>+'Form20 '!K92</f>
        <v>1</v>
      </c>
      <c r="AO91" s="18">
        <v>11</v>
      </c>
      <c r="AP91" s="66" t="s">
        <v>30</v>
      </c>
      <c r="AQ91" s="12">
        <f>+'Form20 '!L92</f>
        <v>1</v>
      </c>
      <c r="AR91" s="18">
        <v>12</v>
      </c>
      <c r="AS91" s="66" t="s">
        <v>30</v>
      </c>
      <c r="AT91" s="12">
        <f>+'Form20 '!M92</f>
        <v>0</v>
      </c>
      <c r="AU91" s="18">
        <v>13</v>
      </c>
      <c r="AV91" s="66" t="s">
        <v>30</v>
      </c>
      <c r="AW91" s="12">
        <f>+'Form20 '!N92</f>
        <v>1</v>
      </c>
      <c r="AX91" s="18">
        <v>14</v>
      </c>
      <c r="AY91" s="66" t="s">
        <v>30</v>
      </c>
      <c r="AZ91" s="12">
        <f>+'Form20 '!O92</f>
        <v>1</v>
      </c>
      <c r="BA91" s="75">
        <f t="shared" si="3"/>
        <v>583</v>
      </c>
    </row>
    <row r="92" spans="1:53" s="67" customFormat="1" ht="59.25" customHeight="1">
      <c r="A92" s="18">
        <v>333</v>
      </c>
      <c r="B92" s="59">
        <v>86</v>
      </c>
      <c r="C92" s="76" t="s">
        <v>165</v>
      </c>
      <c r="D92" s="61">
        <v>917</v>
      </c>
      <c r="E92" s="61">
        <v>249</v>
      </c>
      <c r="F92" s="61">
        <v>294</v>
      </c>
      <c r="G92" s="55">
        <v>0</v>
      </c>
      <c r="H92" s="62">
        <f t="shared" si="2"/>
        <v>543</v>
      </c>
      <c r="I92" s="55">
        <v>126</v>
      </c>
      <c r="J92" s="29">
        <v>0</v>
      </c>
      <c r="K92" s="18">
        <v>1</v>
      </c>
      <c r="L92" s="63" t="s">
        <v>29</v>
      </c>
      <c r="M92" s="12">
        <f>+'Form20 '!B93</f>
        <v>222</v>
      </c>
      <c r="N92" s="18">
        <v>2</v>
      </c>
      <c r="O92" s="58" t="s">
        <v>24</v>
      </c>
      <c r="P92" s="12">
        <f>+'Form20 '!C93</f>
        <v>41</v>
      </c>
      <c r="Q92" s="18">
        <v>3</v>
      </c>
      <c r="R92" s="63" t="s">
        <v>28</v>
      </c>
      <c r="S92" s="12">
        <f>+'Form20 '!D93</f>
        <v>266</v>
      </c>
      <c r="T92" s="18">
        <v>4</v>
      </c>
      <c r="U92" s="64" t="s">
        <v>65</v>
      </c>
      <c r="V92" s="12">
        <f>+'Form20 '!E93</f>
        <v>5</v>
      </c>
      <c r="W92" s="18">
        <v>5</v>
      </c>
      <c r="X92" s="58" t="s">
        <v>66</v>
      </c>
      <c r="Y92" s="12">
        <f>+'Form20 '!F93</f>
        <v>1</v>
      </c>
      <c r="Z92" s="18">
        <v>6</v>
      </c>
      <c r="AA92" s="64" t="s">
        <v>67</v>
      </c>
      <c r="AB92" s="12">
        <f>+'Form20 '!G93</f>
        <v>0</v>
      </c>
      <c r="AC92" s="18">
        <v>7</v>
      </c>
      <c r="AD92" s="63" t="s">
        <v>68</v>
      </c>
      <c r="AE92" s="12">
        <f>+'Form20 '!H93</f>
        <v>1</v>
      </c>
      <c r="AF92" s="18">
        <v>8</v>
      </c>
      <c r="AG92" s="63" t="s">
        <v>69</v>
      </c>
      <c r="AH92" s="12">
        <f>+'Form20 '!I93</f>
        <v>0</v>
      </c>
      <c r="AI92" s="18">
        <v>9</v>
      </c>
      <c r="AJ92" s="65" t="s">
        <v>70</v>
      </c>
      <c r="AK92" s="12">
        <f>+'Form20 '!J93</f>
        <v>3</v>
      </c>
      <c r="AL92" s="18">
        <v>10</v>
      </c>
      <c r="AM92" s="66" t="s">
        <v>30</v>
      </c>
      <c r="AN92" s="12">
        <f>+'Form20 '!K93</f>
        <v>0</v>
      </c>
      <c r="AO92" s="18">
        <v>11</v>
      </c>
      <c r="AP92" s="66" t="s">
        <v>30</v>
      </c>
      <c r="AQ92" s="12">
        <f>+'Form20 '!L93</f>
        <v>0</v>
      </c>
      <c r="AR92" s="18">
        <v>12</v>
      </c>
      <c r="AS92" s="66" t="s">
        <v>30</v>
      </c>
      <c r="AT92" s="12">
        <f>+'Form20 '!M93</f>
        <v>0</v>
      </c>
      <c r="AU92" s="18">
        <v>13</v>
      </c>
      <c r="AV92" s="66" t="s">
        <v>30</v>
      </c>
      <c r="AW92" s="12">
        <f>+'Form20 '!N93</f>
        <v>2</v>
      </c>
      <c r="AX92" s="18">
        <v>14</v>
      </c>
      <c r="AY92" s="66" t="s">
        <v>30</v>
      </c>
      <c r="AZ92" s="12">
        <f>+'Form20 '!O93</f>
        <v>0</v>
      </c>
      <c r="BA92" s="75">
        <f t="shared" si="3"/>
        <v>541</v>
      </c>
    </row>
    <row r="93" spans="1:53" s="67" customFormat="1" ht="59.25" customHeight="1">
      <c r="A93" s="18">
        <v>333</v>
      </c>
      <c r="B93" s="59">
        <v>87</v>
      </c>
      <c r="C93" s="76" t="s">
        <v>166</v>
      </c>
      <c r="D93" s="61">
        <v>1148</v>
      </c>
      <c r="E93" s="61">
        <v>334</v>
      </c>
      <c r="F93" s="61">
        <v>323</v>
      </c>
      <c r="G93" s="55">
        <v>0</v>
      </c>
      <c r="H93" s="62">
        <f t="shared" si="2"/>
        <v>657</v>
      </c>
      <c r="I93" s="55">
        <v>16</v>
      </c>
      <c r="J93" s="29">
        <v>0</v>
      </c>
      <c r="K93" s="18">
        <v>1</v>
      </c>
      <c r="L93" s="63" t="s">
        <v>29</v>
      </c>
      <c r="M93" s="12">
        <f>+'Form20 '!B94</f>
        <v>284</v>
      </c>
      <c r="N93" s="18">
        <v>2</v>
      </c>
      <c r="O93" s="58" t="s">
        <v>24</v>
      </c>
      <c r="P93" s="12">
        <f>+'Form20 '!C94</f>
        <v>54</v>
      </c>
      <c r="Q93" s="18">
        <v>3</v>
      </c>
      <c r="R93" s="63" t="s">
        <v>28</v>
      </c>
      <c r="S93" s="12">
        <f>+'Form20 '!D94</f>
        <v>284</v>
      </c>
      <c r="T93" s="18">
        <v>4</v>
      </c>
      <c r="U93" s="64" t="s">
        <v>65</v>
      </c>
      <c r="V93" s="12">
        <f>+'Form20 '!E94</f>
        <v>3</v>
      </c>
      <c r="W93" s="18">
        <v>5</v>
      </c>
      <c r="X93" s="58" t="s">
        <v>66</v>
      </c>
      <c r="Y93" s="12">
        <f>+'Form20 '!F94</f>
        <v>0</v>
      </c>
      <c r="Z93" s="18">
        <v>6</v>
      </c>
      <c r="AA93" s="64" t="s">
        <v>67</v>
      </c>
      <c r="AB93" s="12">
        <f>+'Form20 '!G94</f>
        <v>0</v>
      </c>
      <c r="AC93" s="18">
        <v>7</v>
      </c>
      <c r="AD93" s="63" t="s">
        <v>68</v>
      </c>
      <c r="AE93" s="12">
        <f>+'Form20 '!H94</f>
        <v>1</v>
      </c>
      <c r="AF93" s="18">
        <v>8</v>
      </c>
      <c r="AG93" s="63" t="s">
        <v>69</v>
      </c>
      <c r="AH93" s="12">
        <f>+'Form20 '!I94</f>
        <v>3</v>
      </c>
      <c r="AI93" s="18">
        <v>9</v>
      </c>
      <c r="AJ93" s="65" t="s">
        <v>70</v>
      </c>
      <c r="AK93" s="12">
        <f>+'Form20 '!J94</f>
        <v>21</v>
      </c>
      <c r="AL93" s="18">
        <v>10</v>
      </c>
      <c r="AM93" s="66" t="s">
        <v>30</v>
      </c>
      <c r="AN93" s="12">
        <f>+'Form20 '!K94</f>
        <v>2</v>
      </c>
      <c r="AO93" s="18">
        <v>11</v>
      </c>
      <c r="AP93" s="66" t="s">
        <v>30</v>
      </c>
      <c r="AQ93" s="12">
        <f>+'Form20 '!L94</f>
        <v>3</v>
      </c>
      <c r="AR93" s="18">
        <v>12</v>
      </c>
      <c r="AS93" s="66" t="s">
        <v>30</v>
      </c>
      <c r="AT93" s="12">
        <f>+'Form20 '!M94</f>
        <v>0</v>
      </c>
      <c r="AU93" s="18">
        <v>13</v>
      </c>
      <c r="AV93" s="66" t="s">
        <v>30</v>
      </c>
      <c r="AW93" s="12">
        <f>+'Form20 '!N94</f>
        <v>0</v>
      </c>
      <c r="AX93" s="18">
        <v>14</v>
      </c>
      <c r="AY93" s="66" t="s">
        <v>30</v>
      </c>
      <c r="AZ93" s="12">
        <f>+'Form20 '!O94</f>
        <v>0</v>
      </c>
      <c r="BA93" s="75">
        <f t="shared" si="3"/>
        <v>655</v>
      </c>
    </row>
    <row r="94" spans="1:53" s="67" customFormat="1" ht="59.25" customHeight="1">
      <c r="A94" s="18">
        <v>333</v>
      </c>
      <c r="B94" s="59">
        <v>88</v>
      </c>
      <c r="C94" s="76" t="s">
        <v>167</v>
      </c>
      <c r="D94" s="61">
        <v>1091</v>
      </c>
      <c r="E94" s="61">
        <v>293</v>
      </c>
      <c r="F94" s="61">
        <v>326</v>
      </c>
      <c r="G94" s="55">
        <v>0</v>
      </c>
      <c r="H94" s="62">
        <f t="shared" si="2"/>
        <v>619</v>
      </c>
      <c r="I94" s="55">
        <v>28</v>
      </c>
      <c r="J94" s="29">
        <v>0</v>
      </c>
      <c r="K94" s="18">
        <v>1</v>
      </c>
      <c r="L94" s="63" t="s">
        <v>29</v>
      </c>
      <c r="M94" s="12">
        <f>+'Form20 '!B95</f>
        <v>141</v>
      </c>
      <c r="N94" s="18">
        <v>2</v>
      </c>
      <c r="O94" s="58" t="s">
        <v>24</v>
      </c>
      <c r="P94" s="12">
        <f>+'Form20 '!C95</f>
        <v>53</v>
      </c>
      <c r="Q94" s="18">
        <v>3</v>
      </c>
      <c r="R94" s="63" t="s">
        <v>28</v>
      </c>
      <c r="S94" s="12">
        <f>+'Form20 '!D95</f>
        <v>350</v>
      </c>
      <c r="T94" s="18">
        <v>4</v>
      </c>
      <c r="U94" s="64" t="s">
        <v>65</v>
      </c>
      <c r="V94" s="12">
        <f>+'Form20 '!E95</f>
        <v>4</v>
      </c>
      <c r="W94" s="18">
        <v>5</v>
      </c>
      <c r="X94" s="58" t="s">
        <v>66</v>
      </c>
      <c r="Y94" s="12">
        <f>+'Form20 '!F95</f>
        <v>1</v>
      </c>
      <c r="Z94" s="18">
        <v>6</v>
      </c>
      <c r="AA94" s="64" t="s">
        <v>67</v>
      </c>
      <c r="AB94" s="12">
        <f>+'Form20 '!G95</f>
        <v>0</v>
      </c>
      <c r="AC94" s="18">
        <v>7</v>
      </c>
      <c r="AD94" s="63" t="s">
        <v>68</v>
      </c>
      <c r="AE94" s="12">
        <f>+'Form20 '!H95</f>
        <v>0</v>
      </c>
      <c r="AF94" s="18">
        <v>8</v>
      </c>
      <c r="AG94" s="63" t="s">
        <v>69</v>
      </c>
      <c r="AH94" s="12">
        <f>+'Form20 '!I95</f>
        <v>2</v>
      </c>
      <c r="AI94" s="18">
        <v>9</v>
      </c>
      <c r="AJ94" s="65" t="s">
        <v>70</v>
      </c>
      <c r="AK94" s="12">
        <f>+'Form20 '!J95</f>
        <v>55</v>
      </c>
      <c r="AL94" s="18">
        <v>10</v>
      </c>
      <c r="AM94" s="66" t="s">
        <v>30</v>
      </c>
      <c r="AN94" s="12">
        <f>+'Form20 '!K95</f>
        <v>0</v>
      </c>
      <c r="AO94" s="18">
        <v>11</v>
      </c>
      <c r="AP94" s="66" t="s">
        <v>30</v>
      </c>
      <c r="AQ94" s="12">
        <f>+'Form20 '!L95</f>
        <v>3</v>
      </c>
      <c r="AR94" s="18">
        <v>12</v>
      </c>
      <c r="AS94" s="66" t="s">
        <v>30</v>
      </c>
      <c r="AT94" s="12">
        <f>+'Form20 '!M95</f>
        <v>3</v>
      </c>
      <c r="AU94" s="18">
        <v>13</v>
      </c>
      <c r="AV94" s="66" t="s">
        <v>30</v>
      </c>
      <c r="AW94" s="12">
        <f>+'Form20 '!N95</f>
        <v>2</v>
      </c>
      <c r="AX94" s="18">
        <v>14</v>
      </c>
      <c r="AY94" s="66" t="s">
        <v>30</v>
      </c>
      <c r="AZ94" s="12">
        <f>+'Form20 '!O95</f>
        <v>1</v>
      </c>
      <c r="BA94" s="75">
        <f t="shared" si="3"/>
        <v>615</v>
      </c>
    </row>
    <row r="95" spans="1:53" s="67" customFormat="1" ht="59.25" customHeight="1">
      <c r="A95" s="18">
        <v>333</v>
      </c>
      <c r="B95" s="59">
        <v>89</v>
      </c>
      <c r="C95" s="76" t="s">
        <v>168</v>
      </c>
      <c r="D95" s="61">
        <v>961</v>
      </c>
      <c r="E95" s="61">
        <v>213</v>
      </c>
      <c r="F95" s="61">
        <v>304</v>
      </c>
      <c r="G95" s="55">
        <v>0</v>
      </c>
      <c r="H95" s="62">
        <f t="shared" si="2"/>
        <v>517</v>
      </c>
      <c r="I95" s="55">
        <v>25</v>
      </c>
      <c r="J95" s="29">
        <v>0</v>
      </c>
      <c r="K95" s="18">
        <v>1</v>
      </c>
      <c r="L95" s="63" t="s">
        <v>29</v>
      </c>
      <c r="M95" s="12">
        <f>+'Form20 '!B96</f>
        <v>54</v>
      </c>
      <c r="N95" s="18">
        <v>2</v>
      </c>
      <c r="O95" s="58" t="s">
        <v>24</v>
      </c>
      <c r="P95" s="12">
        <f>+'Form20 '!C96</f>
        <v>19</v>
      </c>
      <c r="Q95" s="18">
        <v>3</v>
      </c>
      <c r="R95" s="63" t="s">
        <v>28</v>
      </c>
      <c r="S95" s="12">
        <f>+'Form20 '!D96</f>
        <v>381</v>
      </c>
      <c r="T95" s="18">
        <v>4</v>
      </c>
      <c r="U95" s="64" t="s">
        <v>65</v>
      </c>
      <c r="V95" s="12">
        <f>+'Form20 '!E96</f>
        <v>3</v>
      </c>
      <c r="W95" s="18">
        <v>5</v>
      </c>
      <c r="X95" s="58" t="s">
        <v>66</v>
      </c>
      <c r="Y95" s="12">
        <f>+'Form20 '!F96</f>
        <v>1</v>
      </c>
      <c r="Z95" s="18">
        <v>6</v>
      </c>
      <c r="AA95" s="64" t="s">
        <v>67</v>
      </c>
      <c r="AB95" s="12">
        <f>+'Form20 '!G96</f>
        <v>0</v>
      </c>
      <c r="AC95" s="18">
        <v>7</v>
      </c>
      <c r="AD95" s="63" t="s">
        <v>68</v>
      </c>
      <c r="AE95" s="12">
        <f>+'Form20 '!H96</f>
        <v>0</v>
      </c>
      <c r="AF95" s="18">
        <v>8</v>
      </c>
      <c r="AG95" s="63" t="s">
        <v>69</v>
      </c>
      <c r="AH95" s="12">
        <f>+'Form20 '!I96</f>
        <v>1</v>
      </c>
      <c r="AI95" s="18">
        <v>9</v>
      </c>
      <c r="AJ95" s="65" t="s">
        <v>70</v>
      </c>
      <c r="AK95" s="12">
        <f>+'Form20 '!J96</f>
        <v>51</v>
      </c>
      <c r="AL95" s="18">
        <v>10</v>
      </c>
      <c r="AM95" s="66" t="s">
        <v>30</v>
      </c>
      <c r="AN95" s="12">
        <f>+'Form20 '!K96</f>
        <v>1</v>
      </c>
      <c r="AO95" s="18">
        <v>11</v>
      </c>
      <c r="AP95" s="66" t="s">
        <v>30</v>
      </c>
      <c r="AQ95" s="12">
        <f>+'Form20 '!L96</f>
        <v>1</v>
      </c>
      <c r="AR95" s="18">
        <v>12</v>
      </c>
      <c r="AS95" s="66" t="s">
        <v>30</v>
      </c>
      <c r="AT95" s="12">
        <f>+'Form20 '!M96</f>
        <v>0</v>
      </c>
      <c r="AU95" s="18">
        <v>13</v>
      </c>
      <c r="AV95" s="66" t="s">
        <v>30</v>
      </c>
      <c r="AW95" s="12">
        <f>+'Form20 '!N96</f>
        <v>0</v>
      </c>
      <c r="AX95" s="18">
        <v>14</v>
      </c>
      <c r="AY95" s="66" t="s">
        <v>30</v>
      </c>
      <c r="AZ95" s="12">
        <f>+'Form20 '!O96</f>
        <v>2</v>
      </c>
      <c r="BA95" s="75">
        <f t="shared" si="3"/>
        <v>514</v>
      </c>
    </row>
    <row r="96" spans="1:53" s="67" customFormat="1" ht="59.25" customHeight="1">
      <c r="A96" s="18">
        <v>333</v>
      </c>
      <c r="B96" s="59">
        <v>90</v>
      </c>
      <c r="C96" s="76" t="s">
        <v>169</v>
      </c>
      <c r="D96" s="61">
        <v>986</v>
      </c>
      <c r="E96" s="61">
        <v>291</v>
      </c>
      <c r="F96" s="61">
        <v>285</v>
      </c>
      <c r="G96" s="55">
        <v>0</v>
      </c>
      <c r="H96" s="62">
        <f t="shared" si="2"/>
        <v>576</v>
      </c>
      <c r="I96" s="55">
        <v>176</v>
      </c>
      <c r="J96" s="29">
        <v>0</v>
      </c>
      <c r="K96" s="18">
        <v>1</v>
      </c>
      <c r="L96" s="63" t="s">
        <v>29</v>
      </c>
      <c r="M96" s="12">
        <f>+'Form20 '!B97</f>
        <v>316</v>
      </c>
      <c r="N96" s="18">
        <v>2</v>
      </c>
      <c r="O96" s="58" t="s">
        <v>24</v>
      </c>
      <c r="P96" s="12">
        <f>+'Form20 '!C97</f>
        <v>31</v>
      </c>
      <c r="Q96" s="18">
        <v>3</v>
      </c>
      <c r="R96" s="63" t="s">
        <v>28</v>
      </c>
      <c r="S96" s="12">
        <f>+'Form20 '!D97</f>
        <v>222</v>
      </c>
      <c r="T96" s="18">
        <v>4</v>
      </c>
      <c r="U96" s="64" t="s">
        <v>65</v>
      </c>
      <c r="V96" s="12">
        <f>+'Form20 '!E97</f>
        <v>2</v>
      </c>
      <c r="W96" s="18">
        <v>5</v>
      </c>
      <c r="X96" s="58" t="s">
        <v>66</v>
      </c>
      <c r="Y96" s="12">
        <f>+'Form20 '!F97</f>
        <v>0</v>
      </c>
      <c r="Z96" s="18">
        <v>6</v>
      </c>
      <c r="AA96" s="64" t="s">
        <v>67</v>
      </c>
      <c r="AB96" s="12">
        <f>+'Form20 '!G97</f>
        <v>0</v>
      </c>
      <c r="AC96" s="18">
        <v>7</v>
      </c>
      <c r="AD96" s="63" t="s">
        <v>68</v>
      </c>
      <c r="AE96" s="12">
        <f>+'Form20 '!H97</f>
        <v>0</v>
      </c>
      <c r="AF96" s="18">
        <v>8</v>
      </c>
      <c r="AG96" s="63" t="s">
        <v>69</v>
      </c>
      <c r="AH96" s="12">
        <f>+'Form20 '!I97</f>
        <v>1</v>
      </c>
      <c r="AI96" s="18">
        <v>9</v>
      </c>
      <c r="AJ96" s="65" t="s">
        <v>70</v>
      </c>
      <c r="AK96" s="12">
        <f>+'Form20 '!J97</f>
        <v>1</v>
      </c>
      <c r="AL96" s="18">
        <v>10</v>
      </c>
      <c r="AM96" s="66" t="s">
        <v>30</v>
      </c>
      <c r="AN96" s="12">
        <f>+'Form20 '!K97</f>
        <v>0</v>
      </c>
      <c r="AO96" s="18">
        <v>11</v>
      </c>
      <c r="AP96" s="66" t="s">
        <v>30</v>
      </c>
      <c r="AQ96" s="12">
        <f>+'Form20 '!L97</f>
        <v>0</v>
      </c>
      <c r="AR96" s="18">
        <v>12</v>
      </c>
      <c r="AS96" s="66" t="s">
        <v>30</v>
      </c>
      <c r="AT96" s="12">
        <f>+'Form20 '!M97</f>
        <v>0</v>
      </c>
      <c r="AU96" s="18">
        <v>13</v>
      </c>
      <c r="AV96" s="66" t="s">
        <v>30</v>
      </c>
      <c r="AW96" s="12">
        <f>+'Form20 '!N97</f>
        <v>1</v>
      </c>
      <c r="AX96" s="18">
        <v>14</v>
      </c>
      <c r="AY96" s="66" t="s">
        <v>30</v>
      </c>
      <c r="AZ96" s="12">
        <f>+'Form20 '!O97</f>
        <v>1</v>
      </c>
      <c r="BA96" s="75">
        <f t="shared" si="3"/>
        <v>575</v>
      </c>
    </row>
    <row r="97" spans="1:53" s="67" customFormat="1" ht="59.25" customHeight="1">
      <c r="A97" s="18">
        <v>333</v>
      </c>
      <c r="B97" s="59">
        <v>91</v>
      </c>
      <c r="C97" s="76" t="s">
        <v>170</v>
      </c>
      <c r="D97" s="61">
        <v>680</v>
      </c>
      <c r="E97" s="61">
        <v>209</v>
      </c>
      <c r="F97" s="61">
        <v>211</v>
      </c>
      <c r="G97" s="55">
        <v>0</v>
      </c>
      <c r="H97" s="62">
        <f t="shared" si="2"/>
        <v>420</v>
      </c>
      <c r="I97" s="55">
        <v>209</v>
      </c>
      <c r="J97" s="29">
        <v>0</v>
      </c>
      <c r="K97" s="18">
        <v>1</v>
      </c>
      <c r="L97" s="63" t="s">
        <v>29</v>
      </c>
      <c r="M97" s="12">
        <f>+'Form20 '!B98</f>
        <v>213</v>
      </c>
      <c r="N97" s="18">
        <v>2</v>
      </c>
      <c r="O97" s="58" t="s">
        <v>24</v>
      </c>
      <c r="P97" s="12">
        <f>+'Form20 '!C98</f>
        <v>57</v>
      </c>
      <c r="Q97" s="18">
        <v>3</v>
      </c>
      <c r="R97" s="63" t="s">
        <v>28</v>
      </c>
      <c r="S97" s="12">
        <f>+'Form20 '!D98</f>
        <v>135</v>
      </c>
      <c r="T97" s="18">
        <v>4</v>
      </c>
      <c r="U97" s="64" t="s">
        <v>65</v>
      </c>
      <c r="V97" s="12">
        <f>+'Form20 '!E98</f>
        <v>3</v>
      </c>
      <c r="W97" s="18">
        <v>5</v>
      </c>
      <c r="X97" s="58" t="s">
        <v>66</v>
      </c>
      <c r="Y97" s="12">
        <f>+'Form20 '!F98</f>
        <v>0</v>
      </c>
      <c r="Z97" s="18">
        <v>6</v>
      </c>
      <c r="AA97" s="64" t="s">
        <v>67</v>
      </c>
      <c r="AB97" s="12">
        <f>+'Form20 '!G98</f>
        <v>0</v>
      </c>
      <c r="AC97" s="18">
        <v>7</v>
      </c>
      <c r="AD97" s="63" t="s">
        <v>68</v>
      </c>
      <c r="AE97" s="12">
        <f>+'Form20 '!H98</f>
        <v>0</v>
      </c>
      <c r="AF97" s="18">
        <v>8</v>
      </c>
      <c r="AG97" s="63" t="s">
        <v>69</v>
      </c>
      <c r="AH97" s="12">
        <f>+'Form20 '!I98</f>
        <v>0</v>
      </c>
      <c r="AI97" s="18">
        <v>9</v>
      </c>
      <c r="AJ97" s="65" t="s">
        <v>70</v>
      </c>
      <c r="AK97" s="12">
        <f>+'Form20 '!J98</f>
        <v>4</v>
      </c>
      <c r="AL97" s="18">
        <v>10</v>
      </c>
      <c r="AM97" s="66" t="s">
        <v>30</v>
      </c>
      <c r="AN97" s="12">
        <f>+'Form20 '!K98</f>
        <v>1</v>
      </c>
      <c r="AO97" s="18">
        <v>11</v>
      </c>
      <c r="AP97" s="66" t="s">
        <v>30</v>
      </c>
      <c r="AQ97" s="12">
        <f>+'Form20 '!L98</f>
        <v>2</v>
      </c>
      <c r="AR97" s="18">
        <v>12</v>
      </c>
      <c r="AS97" s="66" t="s">
        <v>30</v>
      </c>
      <c r="AT97" s="12">
        <f>+'Form20 '!M98</f>
        <v>1</v>
      </c>
      <c r="AU97" s="18">
        <v>13</v>
      </c>
      <c r="AV97" s="66" t="s">
        <v>30</v>
      </c>
      <c r="AW97" s="12">
        <f>+'Form20 '!N98</f>
        <v>2</v>
      </c>
      <c r="AX97" s="18">
        <v>14</v>
      </c>
      <c r="AY97" s="66" t="s">
        <v>30</v>
      </c>
      <c r="AZ97" s="12">
        <f>+'Form20 '!O98</f>
        <v>0</v>
      </c>
      <c r="BA97" s="75">
        <f t="shared" si="3"/>
        <v>418</v>
      </c>
    </row>
    <row r="98" spans="1:53" s="67" customFormat="1" ht="59.25" customHeight="1">
      <c r="A98" s="18">
        <v>333</v>
      </c>
      <c r="B98" s="59">
        <v>92</v>
      </c>
      <c r="C98" s="76" t="s">
        <v>171</v>
      </c>
      <c r="D98" s="61">
        <v>738</v>
      </c>
      <c r="E98" s="61">
        <v>190</v>
      </c>
      <c r="F98" s="61">
        <v>241</v>
      </c>
      <c r="G98" s="55">
        <v>0</v>
      </c>
      <c r="H98" s="62">
        <f t="shared" si="2"/>
        <v>431</v>
      </c>
      <c r="I98" s="55">
        <v>205</v>
      </c>
      <c r="J98" s="29">
        <v>0</v>
      </c>
      <c r="K98" s="18">
        <v>1</v>
      </c>
      <c r="L98" s="63" t="s">
        <v>29</v>
      </c>
      <c r="M98" s="12">
        <f>+'Form20 '!B99</f>
        <v>131</v>
      </c>
      <c r="N98" s="18">
        <v>2</v>
      </c>
      <c r="O98" s="58" t="s">
        <v>24</v>
      </c>
      <c r="P98" s="12">
        <f>+'Form20 '!C99</f>
        <v>61</v>
      </c>
      <c r="Q98" s="18">
        <v>3</v>
      </c>
      <c r="R98" s="63" t="s">
        <v>28</v>
      </c>
      <c r="S98" s="12">
        <f>+'Form20 '!D99</f>
        <v>179</v>
      </c>
      <c r="T98" s="18">
        <v>4</v>
      </c>
      <c r="U98" s="64" t="s">
        <v>65</v>
      </c>
      <c r="V98" s="12">
        <f>+'Form20 '!E99</f>
        <v>0</v>
      </c>
      <c r="W98" s="18">
        <v>5</v>
      </c>
      <c r="X98" s="58" t="s">
        <v>66</v>
      </c>
      <c r="Y98" s="12">
        <f>+'Form20 '!F99</f>
        <v>0</v>
      </c>
      <c r="Z98" s="18">
        <v>6</v>
      </c>
      <c r="AA98" s="64" t="s">
        <v>67</v>
      </c>
      <c r="AB98" s="12">
        <f>+'Form20 '!G99</f>
        <v>0</v>
      </c>
      <c r="AC98" s="18">
        <v>7</v>
      </c>
      <c r="AD98" s="63" t="s">
        <v>68</v>
      </c>
      <c r="AE98" s="12">
        <f>+'Form20 '!H99</f>
        <v>0</v>
      </c>
      <c r="AF98" s="18">
        <v>8</v>
      </c>
      <c r="AG98" s="63" t="s">
        <v>69</v>
      </c>
      <c r="AH98" s="12">
        <f>+'Form20 '!I99</f>
        <v>0</v>
      </c>
      <c r="AI98" s="18">
        <v>9</v>
      </c>
      <c r="AJ98" s="65" t="s">
        <v>70</v>
      </c>
      <c r="AK98" s="12">
        <f>+'Form20 '!J99</f>
        <v>49</v>
      </c>
      <c r="AL98" s="18">
        <v>10</v>
      </c>
      <c r="AM98" s="66" t="s">
        <v>30</v>
      </c>
      <c r="AN98" s="12">
        <f>+'Form20 '!K99</f>
        <v>0</v>
      </c>
      <c r="AO98" s="18">
        <v>11</v>
      </c>
      <c r="AP98" s="66" t="s">
        <v>30</v>
      </c>
      <c r="AQ98" s="12">
        <f>+'Form20 '!L99</f>
        <v>1</v>
      </c>
      <c r="AR98" s="18">
        <v>12</v>
      </c>
      <c r="AS98" s="66" t="s">
        <v>30</v>
      </c>
      <c r="AT98" s="12">
        <f>+'Form20 '!M99</f>
        <v>0</v>
      </c>
      <c r="AU98" s="18">
        <v>13</v>
      </c>
      <c r="AV98" s="66" t="s">
        <v>30</v>
      </c>
      <c r="AW98" s="12">
        <f>+'Form20 '!N99</f>
        <v>2</v>
      </c>
      <c r="AX98" s="18">
        <v>14</v>
      </c>
      <c r="AY98" s="66" t="s">
        <v>30</v>
      </c>
      <c r="AZ98" s="12">
        <f>+'Form20 '!O99</f>
        <v>2</v>
      </c>
      <c r="BA98" s="75">
        <f t="shared" si="3"/>
        <v>425</v>
      </c>
    </row>
    <row r="99" spans="1:53" s="67" customFormat="1" ht="59.25" customHeight="1">
      <c r="A99" s="18">
        <v>333</v>
      </c>
      <c r="B99" s="59">
        <v>93</v>
      </c>
      <c r="C99" s="76" t="s">
        <v>172</v>
      </c>
      <c r="D99" s="61">
        <v>725</v>
      </c>
      <c r="E99" s="61">
        <v>173</v>
      </c>
      <c r="F99" s="61">
        <v>226</v>
      </c>
      <c r="G99" s="55">
        <v>0</v>
      </c>
      <c r="H99" s="62">
        <f t="shared" si="2"/>
        <v>399</v>
      </c>
      <c r="I99" s="55">
        <v>42</v>
      </c>
      <c r="J99" s="29">
        <v>0</v>
      </c>
      <c r="K99" s="18">
        <v>1</v>
      </c>
      <c r="L99" s="63" t="s">
        <v>29</v>
      </c>
      <c r="M99" s="12">
        <f>+'Form20 '!B100</f>
        <v>204</v>
      </c>
      <c r="N99" s="18">
        <v>2</v>
      </c>
      <c r="O99" s="58" t="s">
        <v>24</v>
      </c>
      <c r="P99" s="12">
        <f>+'Form20 '!C100</f>
        <v>19</v>
      </c>
      <c r="Q99" s="18">
        <v>3</v>
      </c>
      <c r="R99" s="63" t="s">
        <v>28</v>
      </c>
      <c r="S99" s="12">
        <f>+'Form20 '!D100</f>
        <v>148</v>
      </c>
      <c r="T99" s="18">
        <v>4</v>
      </c>
      <c r="U99" s="64" t="s">
        <v>65</v>
      </c>
      <c r="V99" s="12">
        <f>+'Form20 '!E100</f>
        <v>4</v>
      </c>
      <c r="W99" s="18">
        <v>5</v>
      </c>
      <c r="X99" s="58" t="s">
        <v>66</v>
      </c>
      <c r="Y99" s="12">
        <f>+'Form20 '!F100</f>
        <v>1</v>
      </c>
      <c r="Z99" s="18">
        <v>6</v>
      </c>
      <c r="AA99" s="64" t="s">
        <v>67</v>
      </c>
      <c r="AB99" s="12">
        <f>+'Form20 '!G100</f>
        <v>1</v>
      </c>
      <c r="AC99" s="18">
        <v>7</v>
      </c>
      <c r="AD99" s="63" t="s">
        <v>68</v>
      </c>
      <c r="AE99" s="12">
        <f>+'Form20 '!H100</f>
        <v>0</v>
      </c>
      <c r="AF99" s="18">
        <v>8</v>
      </c>
      <c r="AG99" s="63" t="s">
        <v>69</v>
      </c>
      <c r="AH99" s="12">
        <f>+'Form20 '!I100</f>
        <v>2</v>
      </c>
      <c r="AI99" s="18">
        <v>9</v>
      </c>
      <c r="AJ99" s="65" t="s">
        <v>70</v>
      </c>
      <c r="AK99" s="12">
        <f>+'Form20 '!J100</f>
        <v>17</v>
      </c>
      <c r="AL99" s="18">
        <v>10</v>
      </c>
      <c r="AM99" s="66" t="s">
        <v>30</v>
      </c>
      <c r="AN99" s="12">
        <f>+'Form20 '!K100</f>
        <v>1</v>
      </c>
      <c r="AO99" s="18">
        <v>11</v>
      </c>
      <c r="AP99" s="66" t="s">
        <v>30</v>
      </c>
      <c r="AQ99" s="12">
        <f>+'Form20 '!L100</f>
        <v>0</v>
      </c>
      <c r="AR99" s="18">
        <v>12</v>
      </c>
      <c r="AS99" s="66" t="s">
        <v>30</v>
      </c>
      <c r="AT99" s="12">
        <f>+'Form20 '!M100</f>
        <v>1</v>
      </c>
      <c r="AU99" s="18">
        <v>13</v>
      </c>
      <c r="AV99" s="66" t="s">
        <v>30</v>
      </c>
      <c r="AW99" s="12">
        <f>+'Form20 '!N100</f>
        <v>0</v>
      </c>
      <c r="AX99" s="18">
        <v>14</v>
      </c>
      <c r="AY99" s="66" t="s">
        <v>30</v>
      </c>
      <c r="AZ99" s="12">
        <f>+'Form20 '!O100</f>
        <v>0</v>
      </c>
      <c r="BA99" s="75">
        <f t="shared" si="3"/>
        <v>398</v>
      </c>
    </row>
    <row r="100" spans="1:53" s="67" customFormat="1" ht="59.25" customHeight="1">
      <c r="A100" s="18">
        <v>333</v>
      </c>
      <c r="B100" s="59">
        <v>94</v>
      </c>
      <c r="C100" s="76" t="s">
        <v>173</v>
      </c>
      <c r="D100" s="61">
        <v>678</v>
      </c>
      <c r="E100" s="61">
        <v>198</v>
      </c>
      <c r="F100" s="61">
        <v>220</v>
      </c>
      <c r="G100" s="55">
        <v>0</v>
      </c>
      <c r="H100" s="62">
        <f t="shared" si="2"/>
        <v>418</v>
      </c>
      <c r="I100" s="55">
        <v>375</v>
      </c>
      <c r="J100" s="29">
        <v>0</v>
      </c>
      <c r="K100" s="18">
        <v>1</v>
      </c>
      <c r="L100" s="63" t="s">
        <v>29</v>
      </c>
      <c r="M100" s="12">
        <f>+'Form20 '!B101</f>
        <v>221</v>
      </c>
      <c r="N100" s="18">
        <v>2</v>
      </c>
      <c r="O100" s="58" t="s">
        <v>24</v>
      </c>
      <c r="P100" s="12">
        <f>+'Form20 '!C101</f>
        <v>25</v>
      </c>
      <c r="Q100" s="18">
        <v>3</v>
      </c>
      <c r="R100" s="63" t="s">
        <v>28</v>
      </c>
      <c r="S100" s="12">
        <f>+'Form20 '!D101</f>
        <v>149</v>
      </c>
      <c r="T100" s="18">
        <v>4</v>
      </c>
      <c r="U100" s="64" t="s">
        <v>65</v>
      </c>
      <c r="V100" s="12">
        <f>+'Form20 '!E101</f>
        <v>1</v>
      </c>
      <c r="W100" s="18">
        <v>5</v>
      </c>
      <c r="X100" s="58" t="s">
        <v>66</v>
      </c>
      <c r="Y100" s="12">
        <f>+'Form20 '!F101</f>
        <v>0</v>
      </c>
      <c r="Z100" s="18">
        <v>6</v>
      </c>
      <c r="AA100" s="64" t="s">
        <v>67</v>
      </c>
      <c r="AB100" s="12">
        <f>+'Form20 '!G101</f>
        <v>0</v>
      </c>
      <c r="AC100" s="18">
        <v>7</v>
      </c>
      <c r="AD100" s="63" t="s">
        <v>68</v>
      </c>
      <c r="AE100" s="12">
        <f>+'Form20 '!H101</f>
        <v>0</v>
      </c>
      <c r="AF100" s="18">
        <v>8</v>
      </c>
      <c r="AG100" s="63" t="s">
        <v>69</v>
      </c>
      <c r="AH100" s="12">
        <f>+'Form20 '!I101</f>
        <v>1</v>
      </c>
      <c r="AI100" s="18">
        <v>9</v>
      </c>
      <c r="AJ100" s="65" t="s">
        <v>70</v>
      </c>
      <c r="AK100" s="12">
        <f>+'Form20 '!J101</f>
        <v>19</v>
      </c>
      <c r="AL100" s="18">
        <v>10</v>
      </c>
      <c r="AM100" s="66" t="s">
        <v>30</v>
      </c>
      <c r="AN100" s="12">
        <f>+'Form20 '!K101</f>
        <v>1</v>
      </c>
      <c r="AO100" s="18">
        <v>11</v>
      </c>
      <c r="AP100" s="66" t="s">
        <v>30</v>
      </c>
      <c r="AQ100" s="12">
        <f>+'Form20 '!L101</f>
        <v>0</v>
      </c>
      <c r="AR100" s="18">
        <v>12</v>
      </c>
      <c r="AS100" s="66" t="s">
        <v>30</v>
      </c>
      <c r="AT100" s="12">
        <f>+'Form20 '!M101</f>
        <v>0</v>
      </c>
      <c r="AU100" s="18">
        <v>13</v>
      </c>
      <c r="AV100" s="66" t="s">
        <v>30</v>
      </c>
      <c r="AW100" s="12">
        <f>+'Form20 '!N101</f>
        <v>0</v>
      </c>
      <c r="AX100" s="18">
        <v>14</v>
      </c>
      <c r="AY100" s="66" t="s">
        <v>30</v>
      </c>
      <c r="AZ100" s="12">
        <f>+'Form20 '!O101</f>
        <v>1</v>
      </c>
      <c r="BA100" s="75">
        <f t="shared" si="3"/>
        <v>418</v>
      </c>
    </row>
    <row r="101" spans="1:53" s="67" customFormat="1" ht="59.25" customHeight="1">
      <c r="A101" s="18">
        <v>333</v>
      </c>
      <c r="B101" s="59">
        <v>95</v>
      </c>
      <c r="C101" s="76" t="s">
        <v>174</v>
      </c>
      <c r="D101" s="61">
        <v>666</v>
      </c>
      <c r="E101" s="61">
        <v>205</v>
      </c>
      <c r="F101" s="61">
        <v>228</v>
      </c>
      <c r="G101" s="55">
        <v>0</v>
      </c>
      <c r="H101" s="62">
        <f t="shared" si="2"/>
        <v>433</v>
      </c>
      <c r="I101" s="55">
        <v>95</v>
      </c>
      <c r="J101" s="29">
        <v>0</v>
      </c>
      <c r="K101" s="18">
        <v>1</v>
      </c>
      <c r="L101" s="63" t="s">
        <v>29</v>
      </c>
      <c r="M101" s="12">
        <f>+'Form20 '!B102</f>
        <v>334</v>
      </c>
      <c r="N101" s="18">
        <v>2</v>
      </c>
      <c r="O101" s="58" t="s">
        <v>24</v>
      </c>
      <c r="P101" s="12">
        <f>+'Form20 '!C102</f>
        <v>40</v>
      </c>
      <c r="Q101" s="18">
        <v>3</v>
      </c>
      <c r="R101" s="63" t="s">
        <v>28</v>
      </c>
      <c r="S101" s="12">
        <f>+'Form20 '!D102</f>
        <v>49</v>
      </c>
      <c r="T101" s="18">
        <v>4</v>
      </c>
      <c r="U101" s="64" t="s">
        <v>65</v>
      </c>
      <c r="V101" s="12">
        <f>+'Form20 '!E102</f>
        <v>8</v>
      </c>
      <c r="W101" s="18">
        <v>5</v>
      </c>
      <c r="X101" s="58" t="s">
        <v>66</v>
      </c>
      <c r="Y101" s="12">
        <f>+'Form20 '!F102</f>
        <v>0</v>
      </c>
      <c r="Z101" s="18">
        <v>6</v>
      </c>
      <c r="AA101" s="64" t="s">
        <v>67</v>
      </c>
      <c r="AB101" s="12">
        <f>+'Form20 '!G102</f>
        <v>0</v>
      </c>
      <c r="AC101" s="18">
        <v>7</v>
      </c>
      <c r="AD101" s="63" t="s">
        <v>68</v>
      </c>
      <c r="AE101" s="12">
        <f>+'Form20 '!H102</f>
        <v>0</v>
      </c>
      <c r="AF101" s="18">
        <v>8</v>
      </c>
      <c r="AG101" s="63" t="s">
        <v>69</v>
      </c>
      <c r="AH101" s="12">
        <f>+'Form20 '!I102</f>
        <v>0</v>
      </c>
      <c r="AI101" s="18">
        <v>9</v>
      </c>
      <c r="AJ101" s="65" t="s">
        <v>70</v>
      </c>
      <c r="AK101" s="12">
        <f>+'Form20 '!J102</f>
        <v>0</v>
      </c>
      <c r="AL101" s="18">
        <v>10</v>
      </c>
      <c r="AM101" s="66" t="s">
        <v>30</v>
      </c>
      <c r="AN101" s="12">
        <f>+'Form20 '!K102</f>
        <v>0</v>
      </c>
      <c r="AO101" s="18">
        <v>11</v>
      </c>
      <c r="AP101" s="66" t="s">
        <v>30</v>
      </c>
      <c r="AQ101" s="12">
        <f>+'Form20 '!L102</f>
        <v>1</v>
      </c>
      <c r="AR101" s="18">
        <v>12</v>
      </c>
      <c r="AS101" s="66" t="s">
        <v>30</v>
      </c>
      <c r="AT101" s="12">
        <f>+'Form20 '!M102</f>
        <v>0</v>
      </c>
      <c r="AU101" s="18">
        <v>13</v>
      </c>
      <c r="AV101" s="66" t="s">
        <v>30</v>
      </c>
      <c r="AW101" s="12">
        <f>+'Form20 '!N102</f>
        <v>0</v>
      </c>
      <c r="AX101" s="18">
        <v>14</v>
      </c>
      <c r="AY101" s="66" t="s">
        <v>30</v>
      </c>
      <c r="AZ101" s="12">
        <f>+'Form20 '!O102</f>
        <v>0</v>
      </c>
      <c r="BA101" s="75">
        <f t="shared" si="3"/>
        <v>432</v>
      </c>
    </row>
    <row r="102" spans="1:53" s="67" customFormat="1" ht="59.25" customHeight="1">
      <c r="A102" s="18">
        <v>333</v>
      </c>
      <c r="B102" s="59">
        <v>96</v>
      </c>
      <c r="C102" s="76" t="s">
        <v>175</v>
      </c>
      <c r="D102" s="61">
        <v>849</v>
      </c>
      <c r="E102" s="61">
        <v>229</v>
      </c>
      <c r="F102" s="61">
        <v>268</v>
      </c>
      <c r="G102" s="55">
        <v>0</v>
      </c>
      <c r="H102" s="62">
        <f t="shared" si="2"/>
        <v>497</v>
      </c>
      <c r="I102" s="55">
        <v>7</v>
      </c>
      <c r="J102" s="29">
        <v>0</v>
      </c>
      <c r="K102" s="18">
        <v>1</v>
      </c>
      <c r="L102" s="63" t="s">
        <v>29</v>
      </c>
      <c r="M102" s="12">
        <f>+'Form20 '!B103</f>
        <v>316</v>
      </c>
      <c r="N102" s="18">
        <v>2</v>
      </c>
      <c r="O102" s="58" t="s">
        <v>24</v>
      </c>
      <c r="P102" s="12">
        <f>+'Form20 '!C103</f>
        <v>36</v>
      </c>
      <c r="Q102" s="18">
        <v>3</v>
      </c>
      <c r="R102" s="63" t="s">
        <v>28</v>
      </c>
      <c r="S102" s="12">
        <f>+'Form20 '!D103</f>
        <v>134</v>
      </c>
      <c r="T102" s="18">
        <v>4</v>
      </c>
      <c r="U102" s="64" t="s">
        <v>65</v>
      </c>
      <c r="V102" s="12">
        <f>+'Form20 '!E103</f>
        <v>1</v>
      </c>
      <c r="W102" s="18">
        <v>5</v>
      </c>
      <c r="X102" s="58" t="s">
        <v>66</v>
      </c>
      <c r="Y102" s="12">
        <f>+'Form20 '!F103</f>
        <v>0</v>
      </c>
      <c r="Z102" s="18">
        <v>6</v>
      </c>
      <c r="AA102" s="64" t="s">
        <v>67</v>
      </c>
      <c r="AB102" s="12">
        <f>+'Form20 '!G103</f>
        <v>0</v>
      </c>
      <c r="AC102" s="18">
        <v>7</v>
      </c>
      <c r="AD102" s="63" t="s">
        <v>68</v>
      </c>
      <c r="AE102" s="12">
        <f>+'Form20 '!H103</f>
        <v>0</v>
      </c>
      <c r="AF102" s="18">
        <v>8</v>
      </c>
      <c r="AG102" s="63" t="s">
        <v>69</v>
      </c>
      <c r="AH102" s="12">
        <f>+'Form20 '!I103</f>
        <v>0</v>
      </c>
      <c r="AI102" s="18">
        <v>9</v>
      </c>
      <c r="AJ102" s="65" t="s">
        <v>70</v>
      </c>
      <c r="AK102" s="12">
        <f>+'Form20 '!J103</f>
        <v>0</v>
      </c>
      <c r="AL102" s="18">
        <v>10</v>
      </c>
      <c r="AM102" s="66" t="s">
        <v>30</v>
      </c>
      <c r="AN102" s="12">
        <f>+'Form20 '!K103</f>
        <v>0</v>
      </c>
      <c r="AO102" s="18">
        <v>11</v>
      </c>
      <c r="AP102" s="66" t="s">
        <v>30</v>
      </c>
      <c r="AQ102" s="12">
        <f>+'Form20 '!L103</f>
        <v>1</v>
      </c>
      <c r="AR102" s="18">
        <v>12</v>
      </c>
      <c r="AS102" s="66" t="s">
        <v>30</v>
      </c>
      <c r="AT102" s="12">
        <f>+'Form20 '!M103</f>
        <v>2</v>
      </c>
      <c r="AU102" s="18">
        <v>13</v>
      </c>
      <c r="AV102" s="66" t="s">
        <v>30</v>
      </c>
      <c r="AW102" s="12">
        <f>+'Form20 '!N103</f>
        <v>4</v>
      </c>
      <c r="AX102" s="18">
        <v>14</v>
      </c>
      <c r="AY102" s="66" t="s">
        <v>30</v>
      </c>
      <c r="AZ102" s="12">
        <f>+'Form20 '!O103</f>
        <v>1</v>
      </c>
      <c r="BA102" s="75">
        <f t="shared" si="3"/>
        <v>495</v>
      </c>
    </row>
    <row r="103" spans="1:53" s="67" customFormat="1" ht="59.25" customHeight="1">
      <c r="A103" s="18">
        <v>333</v>
      </c>
      <c r="B103" s="59">
        <v>97</v>
      </c>
      <c r="C103" s="76" t="s">
        <v>176</v>
      </c>
      <c r="D103" s="61">
        <v>667</v>
      </c>
      <c r="E103" s="61">
        <v>182</v>
      </c>
      <c r="F103" s="61">
        <v>187</v>
      </c>
      <c r="G103" s="55">
        <v>0</v>
      </c>
      <c r="H103" s="62">
        <f t="shared" si="2"/>
        <v>369</v>
      </c>
      <c r="I103" s="55">
        <v>25</v>
      </c>
      <c r="J103" s="29">
        <v>0</v>
      </c>
      <c r="K103" s="18">
        <v>1</v>
      </c>
      <c r="L103" s="63" t="s">
        <v>29</v>
      </c>
      <c r="M103" s="12">
        <f>+'Form20 '!B104</f>
        <v>213</v>
      </c>
      <c r="N103" s="18">
        <v>2</v>
      </c>
      <c r="O103" s="58" t="s">
        <v>24</v>
      </c>
      <c r="P103" s="12">
        <f>+'Form20 '!C104</f>
        <v>19</v>
      </c>
      <c r="Q103" s="18">
        <v>3</v>
      </c>
      <c r="R103" s="63" t="s">
        <v>28</v>
      </c>
      <c r="S103" s="12">
        <f>+'Form20 '!D104</f>
        <v>131</v>
      </c>
      <c r="T103" s="18">
        <v>4</v>
      </c>
      <c r="U103" s="64" t="s">
        <v>65</v>
      </c>
      <c r="V103" s="12">
        <f>+'Form20 '!E104</f>
        <v>3</v>
      </c>
      <c r="W103" s="18">
        <v>5</v>
      </c>
      <c r="X103" s="58" t="s">
        <v>66</v>
      </c>
      <c r="Y103" s="12">
        <f>+'Form20 '!F104</f>
        <v>0</v>
      </c>
      <c r="Z103" s="18">
        <v>6</v>
      </c>
      <c r="AA103" s="64" t="s">
        <v>67</v>
      </c>
      <c r="AB103" s="12">
        <f>+'Form20 '!G104</f>
        <v>0</v>
      </c>
      <c r="AC103" s="18">
        <v>7</v>
      </c>
      <c r="AD103" s="63" t="s">
        <v>68</v>
      </c>
      <c r="AE103" s="12">
        <f>+'Form20 '!H104</f>
        <v>0</v>
      </c>
      <c r="AF103" s="18">
        <v>8</v>
      </c>
      <c r="AG103" s="63" t="s">
        <v>69</v>
      </c>
      <c r="AH103" s="12">
        <f>+'Form20 '!I104</f>
        <v>0</v>
      </c>
      <c r="AI103" s="18">
        <v>9</v>
      </c>
      <c r="AJ103" s="65" t="s">
        <v>70</v>
      </c>
      <c r="AK103" s="12">
        <f>+'Form20 '!J104</f>
        <v>0</v>
      </c>
      <c r="AL103" s="18">
        <v>10</v>
      </c>
      <c r="AM103" s="66" t="s">
        <v>30</v>
      </c>
      <c r="AN103" s="12">
        <f>+'Form20 '!K104</f>
        <v>0</v>
      </c>
      <c r="AO103" s="18">
        <v>11</v>
      </c>
      <c r="AP103" s="66" t="s">
        <v>30</v>
      </c>
      <c r="AQ103" s="12">
        <f>+'Form20 '!L104</f>
        <v>0</v>
      </c>
      <c r="AR103" s="18">
        <v>12</v>
      </c>
      <c r="AS103" s="66" t="s">
        <v>30</v>
      </c>
      <c r="AT103" s="12">
        <f>+'Form20 '!M104</f>
        <v>2</v>
      </c>
      <c r="AU103" s="18">
        <v>13</v>
      </c>
      <c r="AV103" s="66" t="s">
        <v>30</v>
      </c>
      <c r="AW103" s="12">
        <f>+'Form20 '!N104</f>
        <v>0</v>
      </c>
      <c r="AX103" s="18">
        <v>14</v>
      </c>
      <c r="AY103" s="66" t="s">
        <v>30</v>
      </c>
      <c r="AZ103" s="12">
        <f>+'Form20 '!O104</f>
        <v>0</v>
      </c>
      <c r="BA103" s="75">
        <f t="shared" si="3"/>
        <v>368</v>
      </c>
    </row>
    <row r="104" spans="1:53" s="67" customFormat="1" ht="59.25" customHeight="1">
      <c r="A104" s="18">
        <v>333</v>
      </c>
      <c r="B104" s="59">
        <v>98</v>
      </c>
      <c r="C104" s="76" t="s">
        <v>177</v>
      </c>
      <c r="D104" s="61">
        <v>662</v>
      </c>
      <c r="E104" s="61">
        <v>201</v>
      </c>
      <c r="F104" s="61">
        <v>212</v>
      </c>
      <c r="G104" s="55">
        <v>0</v>
      </c>
      <c r="H104" s="62">
        <f t="shared" si="2"/>
        <v>413</v>
      </c>
      <c r="I104" s="55">
        <v>21</v>
      </c>
      <c r="J104" s="29">
        <v>0</v>
      </c>
      <c r="K104" s="18">
        <v>1</v>
      </c>
      <c r="L104" s="63" t="s">
        <v>29</v>
      </c>
      <c r="M104" s="12">
        <f>+'Form20 '!B105</f>
        <v>153</v>
      </c>
      <c r="N104" s="18">
        <v>2</v>
      </c>
      <c r="O104" s="58" t="s">
        <v>24</v>
      </c>
      <c r="P104" s="12">
        <f>+'Form20 '!C105</f>
        <v>19</v>
      </c>
      <c r="Q104" s="18">
        <v>3</v>
      </c>
      <c r="R104" s="63" t="s">
        <v>28</v>
      </c>
      <c r="S104" s="12">
        <f>+'Form20 '!D105</f>
        <v>231</v>
      </c>
      <c r="T104" s="18">
        <v>4</v>
      </c>
      <c r="U104" s="64" t="s">
        <v>65</v>
      </c>
      <c r="V104" s="12">
        <f>+'Form20 '!E105</f>
        <v>6</v>
      </c>
      <c r="W104" s="18">
        <v>5</v>
      </c>
      <c r="X104" s="58" t="s">
        <v>66</v>
      </c>
      <c r="Y104" s="12">
        <f>+'Form20 '!F105</f>
        <v>1</v>
      </c>
      <c r="Z104" s="18">
        <v>6</v>
      </c>
      <c r="AA104" s="64" t="s">
        <v>67</v>
      </c>
      <c r="AB104" s="12">
        <f>+'Form20 '!G105</f>
        <v>0</v>
      </c>
      <c r="AC104" s="18">
        <v>7</v>
      </c>
      <c r="AD104" s="63" t="s">
        <v>68</v>
      </c>
      <c r="AE104" s="12">
        <f>+'Form20 '!H105</f>
        <v>0</v>
      </c>
      <c r="AF104" s="18">
        <v>8</v>
      </c>
      <c r="AG104" s="63" t="s">
        <v>69</v>
      </c>
      <c r="AH104" s="12">
        <f>+'Form20 '!I105</f>
        <v>0</v>
      </c>
      <c r="AI104" s="18">
        <v>9</v>
      </c>
      <c r="AJ104" s="65" t="s">
        <v>70</v>
      </c>
      <c r="AK104" s="12">
        <f>+'Form20 '!J105</f>
        <v>0</v>
      </c>
      <c r="AL104" s="18">
        <v>10</v>
      </c>
      <c r="AM104" s="66" t="s">
        <v>30</v>
      </c>
      <c r="AN104" s="12">
        <f>+'Form20 '!K105</f>
        <v>0</v>
      </c>
      <c r="AO104" s="18">
        <v>11</v>
      </c>
      <c r="AP104" s="66" t="s">
        <v>30</v>
      </c>
      <c r="AQ104" s="12">
        <f>+'Form20 '!L105</f>
        <v>0</v>
      </c>
      <c r="AR104" s="18">
        <v>12</v>
      </c>
      <c r="AS104" s="66" t="s">
        <v>30</v>
      </c>
      <c r="AT104" s="12">
        <f>+'Form20 '!M105</f>
        <v>0</v>
      </c>
      <c r="AU104" s="18">
        <v>13</v>
      </c>
      <c r="AV104" s="66" t="s">
        <v>30</v>
      </c>
      <c r="AW104" s="12">
        <f>+'Form20 '!N105</f>
        <v>3</v>
      </c>
      <c r="AX104" s="18">
        <v>14</v>
      </c>
      <c r="AY104" s="66" t="s">
        <v>30</v>
      </c>
      <c r="AZ104" s="12">
        <f>+'Form20 '!O105</f>
        <v>0</v>
      </c>
      <c r="BA104" s="75">
        <f t="shared" si="3"/>
        <v>413</v>
      </c>
    </row>
    <row r="105" spans="1:53" s="67" customFormat="1" ht="59.25" customHeight="1">
      <c r="A105" s="18">
        <v>333</v>
      </c>
      <c r="B105" s="59">
        <v>99</v>
      </c>
      <c r="C105" s="76" t="s">
        <v>178</v>
      </c>
      <c r="D105" s="61">
        <v>1060</v>
      </c>
      <c r="E105" s="61">
        <v>287</v>
      </c>
      <c r="F105" s="61">
        <v>308</v>
      </c>
      <c r="G105" s="55">
        <v>0</v>
      </c>
      <c r="H105" s="62">
        <f t="shared" si="2"/>
        <v>595</v>
      </c>
      <c r="I105" s="55">
        <v>208</v>
      </c>
      <c r="J105" s="29">
        <v>0</v>
      </c>
      <c r="K105" s="18">
        <v>1</v>
      </c>
      <c r="L105" s="63" t="s">
        <v>29</v>
      </c>
      <c r="M105" s="12">
        <f>+'Form20 '!B106</f>
        <v>158</v>
      </c>
      <c r="N105" s="18">
        <v>2</v>
      </c>
      <c r="O105" s="58" t="s">
        <v>24</v>
      </c>
      <c r="P105" s="12">
        <f>+'Form20 '!C106</f>
        <v>62</v>
      </c>
      <c r="Q105" s="18">
        <v>3</v>
      </c>
      <c r="R105" s="63" t="s">
        <v>28</v>
      </c>
      <c r="S105" s="12">
        <f>+'Form20 '!D106</f>
        <v>364</v>
      </c>
      <c r="T105" s="18">
        <v>4</v>
      </c>
      <c r="U105" s="64" t="s">
        <v>65</v>
      </c>
      <c r="V105" s="12">
        <f>+'Form20 '!E106</f>
        <v>3</v>
      </c>
      <c r="W105" s="18">
        <v>5</v>
      </c>
      <c r="X105" s="58" t="s">
        <v>66</v>
      </c>
      <c r="Y105" s="12">
        <f>+'Form20 '!F106</f>
        <v>0</v>
      </c>
      <c r="Z105" s="18">
        <v>6</v>
      </c>
      <c r="AA105" s="64" t="s">
        <v>67</v>
      </c>
      <c r="AB105" s="12">
        <f>+'Form20 '!G106</f>
        <v>0</v>
      </c>
      <c r="AC105" s="18">
        <v>7</v>
      </c>
      <c r="AD105" s="63" t="s">
        <v>68</v>
      </c>
      <c r="AE105" s="12">
        <f>+'Form20 '!H106</f>
        <v>0</v>
      </c>
      <c r="AF105" s="18">
        <v>8</v>
      </c>
      <c r="AG105" s="63" t="s">
        <v>69</v>
      </c>
      <c r="AH105" s="12">
        <f>+'Form20 '!I106</f>
        <v>1</v>
      </c>
      <c r="AI105" s="18">
        <v>9</v>
      </c>
      <c r="AJ105" s="65" t="s">
        <v>70</v>
      </c>
      <c r="AK105" s="12">
        <f>+'Form20 '!J106</f>
        <v>6</v>
      </c>
      <c r="AL105" s="18">
        <v>10</v>
      </c>
      <c r="AM105" s="66" t="s">
        <v>30</v>
      </c>
      <c r="AN105" s="12">
        <f>+'Form20 '!K106</f>
        <v>0</v>
      </c>
      <c r="AO105" s="18">
        <v>11</v>
      </c>
      <c r="AP105" s="66" t="s">
        <v>30</v>
      </c>
      <c r="AQ105" s="12">
        <f>+'Form20 '!L106</f>
        <v>0</v>
      </c>
      <c r="AR105" s="18">
        <v>12</v>
      </c>
      <c r="AS105" s="66" t="s">
        <v>30</v>
      </c>
      <c r="AT105" s="12">
        <f>+'Form20 '!M106</f>
        <v>1</v>
      </c>
      <c r="AU105" s="18">
        <v>13</v>
      </c>
      <c r="AV105" s="66" t="s">
        <v>30</v>
      </c>
      <c r="AW105" s="12">
        <f>+'Form20 '!N106</f>
        <v>0</v>
      </c>
      <c r="AX105" s="18">
        <v>14</v>
      </c>
      <c r="AY105" s="66" t="s">
        <v>30</v>
      </c>
      <c r="AZ105" s="12">
        <f>+'Form20 '!O106</f>
        <v>0</v>
      </c>
      <c r="BA105" s="75">
        <f t="shared" si="3"/>
        <v>595</v>
      </c>
    </row>
    <row r="106" spans="1:53" s="67" customFormat="1" ht="59.25" customHeight="1">
      <c r="A106" s="18">
        <v>333</v>
      </c>
      <c r="B106" s="59">
        <v>100</v>
      </c>
      <c r="C106" s="76" t="s">
        <v>179</v>
      </c>
      <c r="D106" s="61">
        <v>639</v>
      </c>
      <c r="E106" s="61">
        <v>177</v>
      </c>
      <c r="F106" s="61">
        <v>204</v>
      </c>
      <c r="G106" s="55">
        <v>0</v>
      </c>
      <c r="H106" s="62">
        <f t="shared" si="2"/>
        <v>381</v>
      </c>
      <c r="I106" s="55">
        <v>19</v>
      </c>
      <c r="J106" s="29">
        <v>0</v>
      </c>
      <c r="K106" s="18">
        <v>1</v>
      </c>
      <c r="L106" s="63" t="s">
        <v>29</v>
      </c>
      <c r="M106" s="12">
        <f>+'Form20 '!B107</f>
        <v>162</v>
      </c>
      <c r="N106" s="18">
        <v>2</v>
      </c>
      <c r="O106" s="58" t="s">
        <v>24</v>
      </c>
      <c r="P106" s="12">
        <f>+'Form20 '!C107</f>
        <v>28</v>
      </c>
      <c r="Q106" s="18">
        <v>3</v>
      </c>
      <c r="R106" s="63" t="s">
        <v>28</v>
      </c>
      <c r="S106" s="12">
        <f>+'Form20 '!D107</f>
        <v>190</v>
      </c>
      <c r="T106" s="18">
        <v>4</v>
      </c>
      <c r="U106" s="64" t="s">
        <v>65</v>
      </c>
      <c r="V106" s="12">
        <f>+'Form20 '!E107</f>
        <v>0</v>
      </c>
      <c r="W106" s="18">
        <v>5</v>
      </c>
      <c r="X106" s="58" t="s">
        <v>66</v>
      </c>
      <c r="Y106" s="12">
        <f>+'Form20 '!F107</f>
        <v>0</v>
      </c>
      <c r="Z106" s="18">
        <v>6</v>
      </c>
      <c r="AA106" s="64" t="s">
        <v>67</v>
      </c>
      <c r="AB106" s="12">
        <f>+'Form20 '!G107</f>
        <v>0</v>
      </c>
      <c r="AC106" s="18">
        <v>7</v>
      </c>
      <c r="AD106" s="63" t="s">
        <v>68</v>
      </c>
      <c r="AE106" s="12">
        <f>+'Form20 '!H107</f>
        <v>1</v>
      </c>
      <c r="AF106" s="18">
        <v>8</v>
      </c>
      <c r="AG106" s="63" t="s">
        <v>69</v>
      </c>
      <c r="AH106" s="12">
        <f>+'Form20 '!I107</f>
        <v>0</v>
      </c>
      <c r="AI106" s="18">
        <v>9</v>
      </c>
      <c r="AJ106" s="65" t="s">
        <v>70</v>
      </c>
      <c r="AK106" s="12">
        <f>+'Form20 '!J107</f>
        <v>0</v>
      </c>
      <c r="AL106" s="18">
        <v>10</v>
      </c>
      <c r="AM106" s="66" t="s">
        <v>30</v>
      </c>
      <c r="AN106" s="12">
        <f>+'Form20 '!K107</f>
        <v>0</v>
      </c>
      <c r="AO106" s="18">
        <v>11</v>
      </c>
      <c r="AP106" s="66" t="s">
        <v>30</v>
      </c>
      <c r="AQ106" s="12">
        <f>+'Form20 '!L107</f>
        <v>0</v>
      </c>
      <c r="AR106" s="18">
        <v>12</v>
      </c>
      <c r="AS106" s="66" t="s">
        <v>30</v>
      </c>
      <c r="AT106" s="12">
        <f>+'Form20 '!M107</f>
        <v>0</v>
      </c>
      <c r="AU106" s="18">
        <v>13</v>
      </c>
      <c r="AV106" s="66" t="s">
        <v>30</v>
      </c>
      <c r="AW106" s="12">
        <f>+'Form20 '!N107</f>
        <v>0</v>
      </c>
      <c r="AX106" s="18">
        <v>14</v>
      </c>
      <c r="AY106" s="66" t="s">
        <v>30</v>
      </c>
      <c r="AZ106" s="12">
        <f>+'Form20 '!O107</f>
        <v>0</v>
      </c>
      <c r="BA106" s="75">
        <f t="shared" si="3"/>
        <v>381</v>
      </c>
    </row>
    <row r="107" spans="1:53" s="67" customFormat="1" ht="59.25" customHeight="1">
      <c r="A107" s="18">
        <v>333</v>
      </c>
      <c r="B107" s="59">
        <v>101</v>
      </c>
      <c r="C107" s="76" t="s">
        <v>180</v>
      </c>
      <c r="D107" s="61">
        <v>946</v>
      </c>
      <c r="E107" s="61">
        <v>252</v>
      </c>
      <c r="F107" s="61">
        <v>240</v>
      </c>
      <c r="G107" s="55">
        <v>0</v>
      </c>
      <c r="H107" s="62">
        <f t="shared" si="2"/>
        <v>492</v>
      </c>
      <c r="I107" s="55">
        <v>252</v>
      </c>
      <c r="J107" s="29">
        <v>0</v>
      </c>
      <c r="K107" s="18">
        <v>1</v>
      </c>
      <c r="L107" s="63" t="s">
        <v>29</v>
      </c>
      <c r="M107" s="12">
        <f>+'Form20 '!B108</f>
        <v>251</v>
      </c>
      <c r="N107" s="18">
        <v>2</v>
      </c>
      <c r="O107" s="58" t="s">
        <v>24</v>
      </c>
      <c r="P107" s="12">
        <f>+'Form20 '!C108</f>
        <v>11</v>
      </c>
      <c r="Q107" s="18">
        <v>3</v>
      </c>
      <c r="R107" s="63" t="s">
        <v>28</v>
      </c>
      <c r="S107" s="12">
        <f>+'Form20 '!D108</f>
        <v>217</v>
      </c>
      <c r="T107" s="18">
        <v>4</v>
      </c>
      <c r="U107" s="64" t="s">
        <v>65</v>
      </c>
      <c r="V107" s="12">
        <f>+'Form20 '!E108</f>
        <v>2</v>
      </c>
      <c r="W107" s="18">
        <v>5</v>
      </c>
      <c r="X107" s="58" t="s">
        <v>66</v>
      </c>
      <c r="Y107" s="12">
        <f>+'Form20 '!F108</f>
        <v>0</v>
      </c>
      <c r="Z107" s="18">
        <v>6</v>
      </c>
      <c r="AA107" s="64" t="s">
        <v>67</v>
      </c>
      <c r="AB107" s="12">
        <f>+'Form20 '!G108</f>
        <v>0</v>
      </c>
      <c r="AC107" s="18">
        <v>7</v>
      </c>
      <c r="AD107" s="63" t="s">
        <v>68</v>
      </c>
      <c r="AE107" s="12">
        <f>+'Form20 '!H108</f>
        <v>0</v>
      </c>
      <c r="AF107" s="18">
        <v>8</v>
      </c>
      <c r="AG107" s="63" t="s">
        <v>69</v>
      </c>
      <c r="AH107" s="12">
        <f>+'Form20 '!I108</f>
        <v>1</v>
      </c>
      <c r="AI107" s="18">
        <v>9</v>
      </c>
      <c r="AJ107" s="65" t="s">
        <v>70</v>
      </c>
      <c r="AK107" s="12">
        <f>+'Form20 '!J108</f>
        <v>0</v>
      </c>
      <c r="AL107" s="18">
        <v>10</v>
      </c>
      <c r="AM107" s="66" t="s">
        <v>30</v>
      </c>
      <c r="AN107" s="12">
        <f>+'Form20 '!K108</f>
        <v>0</v>
      </c>
      <c r="AO107" s="18">
        <v>11</v>
      </c>
      <c r="AP107" s="66" t="s">
        <v>30</v>
      </c>
      <c r="AQ107" s="12">
        <f>+'Form20 '!L108</f>
        <v>2</v>
      </c>
      <c r="AR107" s="18">
        <v>12</v>
      </c>
      <c r="AS107" s="66" t="s">
        <v>30</v>
      </c>
      <c r="AT107" s="12">
        <f>+'Form20 '!M108</f>
        <v>2</v>
      </c>
      <c r="AU107" s="18">
        <v>13</v>
      </c>
      <c r="AV107" s="66" t="s">
        <v>30</v>
      </c>
      <c r="AW107" s="12">
        <f>+'Form20 '!N108</f>
        <v>1</v>
      </c>
      <c r="AX107" s="18">
        <v>14</v>
      </c>
      <c r="AY107" s="66" t="s">
        <v>30</v>
      </c>
      <c r="AZ107" s="12">
        <f>+'Form20 '!O108</f>
        <v>2</v>
      </c>
      <c r="BA107" s="75">
        <f t="shared" si="3"/>
        <v>489</v>
      </c>
    </row>
    <row r="108" spans="1:53" s="67" customFormat="1" ht="59.25" customHeight="1">
      <c r="A108" s="18">
        <v>333</v>
      </c>
      <c r="B108" s="59">
        <v>102</v>
      </c>
      <c r="C108" s="76" t="s">
        <v>181</v>
      </c>
      <c r="D108" s="61">
        <v>678</v>
      </c>
      <c r="E108" s="61">
        <v>209</v>
      </c>
      <c r="F108" s="61">
        <v>242</v>
      </c>
      <c r="G108" s="55">
        <v>0</v>
      </c>
      <c r="H108" s="62">
        <f t="shared" si="2"/>
        <v>451</v>
      </c>
      <c r="I108" s="55">
        <v>50</v>
      </c>
      <c r="J108" s="29">
        <v>0</v>
      </c>
      <c r="K108" s="18">
        <v>1</v>
      </c>
      <c r="L108" s="63" t="s">
        <v>29</v>
      </c>
      <c r="M108" s="12">
        <f>+'Form20 '!B109</f>
        <v>233</v>
      </c>
      <c r="N108" s="18">
        <v>2</v>
      </c>
      <c r="O108" s="58" t="s">
        <v>24</v>
      </c>
      <c r="P108" s="12">
        <f>+'Form20 '!C109</f>
        <v>36</v>
      </c>
      <c r="Q108" s="18">
        <v>3</v>
      </c>
      <c r="R108" s="63" t="s">
        <v>28</v>
      </c>
      <c r="S108" s="12">
        <f>+'Form20 '!D109</f>
        <v>175</v>
      </c>
      <c r="T108" s="18">
        <v>4</v>
      </c>
      <c r="U108" s="64" t="s">
        <v>65</v>
      </c>
      <c r="V108" s="12">
        <f>+'Form20 '!E109</f>
        <v>2</v>
      </c>
      <c r="W108" s="18">
        <v>5</v>
      </c>
      <c r="X108" s="58" t="s">
        <v>66</v>
      </c>
      <c r="Y108" s="12">
        <f>+'Form20 '!F109</f>
        <v>0</v>
      </c>
      <c r="Z108" s="18">
        <v>6</v>
      </c>
      <c r="AA108" s="64" t="s">
        <v>67</v>
      </c>
      <c r="AB108" s="12">
        <f>+'Form20 '!G109</f>
        <v>1</v>
      </c>
      <c r="AC108" s="18">
        <v>7</v>
      </c>
      <c r="AD108" s="63" t="s">
        <v>68</v>
      </c>
      <c r="AE108" s="12">
        <f>+'Form20 '!H109</f>
        <v>1</v>
      </c>
      <c r="AF108" s="18">
        <v>8</v>
      </c>
      <c r="AG108" s="63" t="s">
        <v>69</v>
      </c>
      <c r="AH108" s="12">
        <f>+'Form20 '!I109</f>
        <v>0</v>
      </c>
      <c r="AI108" s="18">
        <v>9</v>
      </c>
      <c r="AJ108" s="65" t="s">
        <v>70</v>
      </c>
      <c r="AK108" s="12">
        <f>+'Form20 '!J109</f>
        <v>1</v>
      </c>
      <c r="AL108" s="18">
        <v>10</v>
      </c>
      <c r="AM108" s="66" t="s">
        <v>30</v>
      </c>
      <c r="AN108" s="12">
        <f>+'Form20 '!K109</f>
        <v>1</v>
      </c>
      <c r="AO108" s="18">
        <v>11</v>
      </c>
      <c r="AP108" s="66" t="s">
        <v>30</v>
      </c>
      <c r="AQ108" s="12">
        <f>+'Form20 '!L109</f>
        <v>0</v>
      </c>
      <c r="AR108" s="18">
        <v>12</v>
      </c>
      <c r="AS108" s="66" t="s">
        <v>30</v>
      </c>
      <c r="AT108" s="12">
        <f>+'Form20 '!M109</f>
        <v>0</v>
      </c>
      <c r="AU108" s="18">
        <v>13</v>
      </c>
      <c r="AV108" s="66" t="s">
        <v>30</v>
      </c>
      <c r="AW108" s="12">
        <f>+'Form20 '!N109</f>
        <v>0</v>
      </c>
      <c r="AX108" s="18">
        <v>14</v>
      </c>
      <c r="AY108" s="66" t="s">
        <v>30</v>
      </c>
      <c r="AZ108" s="12">
        <f>+'Form20 '!O109</f>
        <v>0</v>
      </c>
      <c r="BA108" s="75">
        <f t="shared" si="3"/>
        <v>450</v>
      </c>
    </row>
    <row r="109" spans="1:53" s="67" customFormat="1" ht="59.25" customHeight="1">
      <c r="A109" s="18">
        <v>333</v>
      </c>
      <c r="B109" s="59">
        <v>103</v>
      </c>
      <c r="C109" s="76" t="s">
        <v>182</v>
      </c>
      <c r="D109" s="61">
        <v>692</v>
      </c>
      <c r="E109" s="61">
        <v>191</v>
      </c>
      <c r="F109" s="61">
        <v>205</v>
      </c>
      <c r="G109" s="55">
        <v>0</v>
      </c>
      <c r="H109" s="62">
        <f t="shared" si="2"/>
        <v>396</v>
      </c>
      <c r="I109" s="55">
        <v>19</v>
      </c>
      <c r="J109" s="29">
        <v>0</v>
      </c>
      <c r="K109" s="18">
        <v>1</v>
      </c>
      <c r="L109" s="63" t="s">
        <v>29</v>
      </c>
      <c r="M109" s="12">
        <f>+'Form20 '!B110</f>
        <v>202</v>
      </c>
      <c r="N109" s="18">
        <v>2</v>
      </c>
      <c r="O109" s="58" t="s">
        <v>24</v>
      </c>
      <c r="P109" s="12">
        <f>+'Form20 '!C110</f>
        <v>71</v>
      </c>
      <c r="Q109" s="18">
        <v>3</v>
      </c>
      <c r="R109" s="63" t="s">
        <v>28</v>
      </c>
      <c r="S109" s="12">
        <f>+'Form20 '!D110</f>
        <v>112</v>
      </c>
      <c r="T109" s="18">
        <v>4</v>
      </c>
      <c r="U109" s="64" t="s">
        <v>65</v>
      </c>
      <c r="V109" s="12">
        <f>+'Form20 '!E110</f>
        <v>6</v>
      </c>
      <c r="W109" s="18">
        <v>5</v>
      </c>
      <c r="X109" s="58" t="s">
        <v>66</v>
      </c>
      <c r="Y109" s="12">
        <f>+'Form20 '!F110</f>
        <v>0</v>
      </c>
      <c r="Z109" s="18">
        <v>6</v>
      </c>
      <c r="AA109" s="64" t="s">
        <v>67</v>
      </c>
      <c r="AB109" s="12">
        <f>+'Form20 '!G110</f>
        <v>0</v>
      </c>
      <c r="AC109" s="18">
        <v>7</v>
      </c>
      <c r="AD109" s="63" t="s">
        <v>68</v>
      </c>
      <c r="AE109" s="12">
        <f>+'Form20 '!H110</f>
        <v>0</v>
      </c>
      <c r="AF109" s="18">
        <v>8</v>
      </c>
      <c r="AG109" s="63" t="s">
        <v>69</v>
      </c>
      <c r="AH109" s="12">
        <f>+'Form20 '!I110</f>
        <v>1</v>
      </c>
      <c r="AI109" s="18">
        <v>9</v>
      </c>
      <c r="AJ109" s="65" t="s">
        <v>70</v>
      </c>
      <c r="AK109" s="12">
        <f>+'Form20 '!J110</f>
        <v>0</v>
      </c>
      <c r="AL109" s="18">
        <v>10</v>
      </c>
      <c r="AM109" s="66" t="s">
        <v>30</v>
      </c>
      <c r="AN109" s="12">
        <f>+'Form20 '!K110</f>
        <v>0</v>
      </c>
      <c r="AO109" s="18">
        <v>11</v>
      </c>
      <c r="AP109" s="66" t="s">
        <v>30</v>
      </c>
      <c r="AQ109" s="12">
        <f>+'Form20 '!L110</f>
        <v>0</v>
      </c>
      <c r="AR109" s="18">
        <v>12</v>
      </c>
      <c r="AS109" s="66" t="s">
        <v>30</v>
      </c>
      <c r="AT109" s="12">
        <f>+'Form20 '!M110</f>
        <v>1</v>
      </c>
      <c r="AU109" s="18">
        <v>13</v>
      </c>
      <c r="AV109" s="66" t="s">
        <v>30</v>
      </c>
      <c r="AW109" s="12">
        <f>+'Form20 '!N110</f>
        <v>0</v>
      </c>
      <c r="AX109" s="18">
        <v>14</v>
      </c>
      <c r="AY109" s="66" t="s">
        <v>30</v>
      </c>
      <c r="AZ109" s="12">
        <f>+'Form20 '!O110</f>
        <v>2</v>
      </c>
      <c r="BA109" s="75">
        <f t="shared" si="3"/>
        <v>395</v>
      </c>
    </row>
    <row r="110" spans="1:53" s="67" customFormat="1" ht="59.25" customHeight="1">
      <c r="A110" s="18">
        <v>333</v>
      </c>
      <c r="B110" s="59">
        <v>104</v>
      </c>
      <c r="C110" s="76" t="s">
        <v>183</v>
      </c>
      <c r="D110" s="61">
        <v>668</v>
      </c>
      <c r="E110" s="61">
        <v>189</v>
      </c>
      <c r="F110" s="61">
        <v>205</v>
      </c>
      <c r="G110" s="55">
        <v>0</v>
      </c>
      <c r="H110" s="62">
        <f t="shared" si="2"/>
        <v>394</v>
      </c>
      <c r="I110" s="55">
        <v>152</v>
      </c>
      <c r="J110" s="29">
        <v>0</v>
      </c>
      <c r="K110" s="18">
        <v>1</v>
      </c>
      <c r="L110" s="63" t="s">
        <v>29</v>
      </c>
      <c r="M110" s="12">
        <f>+'Form20 '!B111</f>
        <v>76</v>
      </c>
      <c r="N110" s="18">
        <v>2</v>
      </c>
      <c r="O110" s="58" t="s">
        <v>24</v>
      </c>
      <c r="P110" s="12">
        <f>+'Form20 '!C111</f>
        <v>61</v>
      </c>
      <c r="Q110" s="18">
        <v>3</v>
      </c>
      <c r="R110" s="63" t="s">
        <v>28</v>
      </c>
      <c r="S110" s="12">
        <f>+'Form20 '!D111</f>
        <v>243</v>
      </c>
      <c r="T110" s="18">
        <v>4</v>
      </c>
      <c r="U110" s="64" t="s">
        <v>65</v>
      </c>
      <c r="V110" s="12">
        <f>+'Form20 '!E111</f>
        <v>5</v>
      </c>
      <c r="W110" s="18">
        <v>5</v>
      </c>
      <c r="X110" s="58" t="s">
        <v>66</v>
      </c>
      <c r="Y110" s="12">
        <f>+'Form20 '!F111</f>
        <v>0</v>
      </c>
      <c r="Z110" s="18">
        <v>6</v>
      </c>
      <c r="AA110" s="64" t="s">
        <v>67</v>
      </c>
      <c r="AB110" s="12">
        <f>+'Form20 '!G111</f>
        <v>1</v>
      </c>
      <c r="AC110" s="18">
        <v>7</v>
      </c>
      <c r="AD110" s="63" t="s">
        <v>68</v>
      </c>
      <c r="AE110" s="12">
        <f>+'Form20 '!H111</f>
        <v>1</v>
      </c>
      <c r="AF110" s="18">
        <v>8</v>
      </c>
      <c r="AG110" s="63" t="s">
        <v>69</v>
      </c>
      <c r="AH110" s="12">
        <f>+'Form20 '!I111</f>
        <v>0</v>
      </c>
      <c r="AI110" s="18">
        <v>9</v>
      </c>
      <c r="AJ110" s="65" t="s">
        <v>70</v>
      </c>
      <c r="AK110" s="12">
        <f>+'Form20 '!J111</f>
        <v>2</v>
      </c>
      <c r="AL110" s="18">
        <v>10</v>
      </c>
      <c r="AM110" s="66" t="s">
        <v>30</v>
      </c>
      <c r="AN110" s="12">
        <f>+'Form20 '!K111</f>
        <v>0</v>
      </c>
      <c r="AO110" s="18">
        <v>11</v>
      </c>
      <c r="AP110" s="66" t="s">
        <v>30</v>
      </c>
      <c r="AQ110" s="12">
        <f>+'Form20 '!L111</f>
        <v>2</v>
      </c>
      <c r="AR110" s="18">
        <v>12</v>
      </c>
      <c r="AS110" s="66" t="s">
        <v>30</v>
      </c>
      <c r="AT110" s="12">
        <f>+'Form20 '!M111</f>
        <v>1</v>
      </c>
      <c r="AU110" s="18">
        <v>13</v>
      </c>
      <c r="AV110" s="66" t="s">
        <v>30</v>
      </c>
      <c r="AW110" s="12">
        <f>+'Form20 '!N111</f>
        <v>1</v>
      </c>
      <c r="AX110" s="18">
        <v>14</v>
      </c>
      <c r="AY110" s="66" t="s">
        <v>30</v>
      </c>
      <c r="AZ110" s="12">
        <f>+'Form20 '!O111</f>
        <v>1</v>
      </c>
      <c r="BA110" s="75">
        <f t="shared" si="3"/>
        <v>394</v>
      </c>
    </row>
    <row r="111" spans="1:53" s="67" customFormat="1" ht="59.25" customHeight="1">
      <c r="A111" s="18">
        <v>333</v>
      </c>
      <c r="B111" s="59">
        <v>105</v>
      </c>
      <c r="C111" s="76" t="s">
        <v>184</v>
      </c>
      <c r="D111" s="61">
        <v>1152</v>
      </c>
      <c r="E111" s="61">
        <v>374</v>
      </c>
      <c r="F111" s="61">
        <v>348</v>
      </c>
      <c r="G111" s="55">
        <v>0</v>
      </c>
      <c r="H111" s="62">
        <f t="shared" si="2"/>
        <v>722</v>
      </c>
      <c r="I111" s="55">
        <v>422</v>
      </c>
      <c r="J111" s="29">
        <v>0</v>
      </c>
      <c r="K111" s="18">
        <v>1</v>
      </c>
      <c r="L111" s="63" t="s">
        <v>29</v>
      </c>
      <c r="M111" s="12">
        <f>+'Form20 '!B112</f>
        <v>194</v>
      </c>
      <c r="N111" s="18">
        <v>2</v>
      </c>
      <c r="O111" s="58" t="s">
        <v>24</v>
      </c>
      <c r="P111" s="12">
        <f>+'Form20 '!C112</f>
        <v>171</v>
      </c>
      <c r="Q111" s="18">
        <v>3</v>
      </c>
      <c r="R111" s="63" t="s">
        <v>28</v>
      </c>
      <c r="S111" s="12">
        <f>+'Form20 '!D112</f>
        <v>324</v>
      </c>
      <c r="T111" s="18">
        <v>4</v>
      </c>
      <c r="U111" s="64" t="s">
        <v>65</v>
      </c>
      <c r="V111" s="12">
        <f>+'Form20 '!E112</f>
        <v>6</v>
      </c>
      <c r="W111" s="18">
        <v>5</v>
      </c>
      <c r="X111" s="58" t="s">
        <v>66</v>
      </c>
      <c r="Y111" s="12">
        <f>+'Form20 '!F112</f>
        <v>1</v>
      </c>
      <c r="Z111" s="18">
        <v>6</v>
      </c>
      <c r="AA111" s="64" t="s">
        <v>67</v>
      </c>
      <c r="AB111" s="12">
        <f>+'Form20 '!G112</f>
        <v>0</v>
      </c>
      <c r="AC111" s="18">
        <v>7</v>
      </c>
      <c r="AD111" s="63" t="s">
        <v>68</v>
      </c>
      <c r="AE111" s="12">
        <f>+'Form20 '!H112</f>
        <v>0</v>
      </c>
      <c r="AF111" s="18">
        <v>8</v>
      </c>
      <c r="AG111" s="63" t="s">
        <v>69</v>
      </c>
      <c r="AH111" s="12">
        <f>+'Form20 '!I112</f>
        <v>2</v>
      </c>
      <c r="AI111" s="18">
        <v>9</v>
      </c>
      <c r="AJ111" s="65" t="s">
        <v>70</v>
      </c>
      <c r="AK111" s="12">
        <f>+'Form20 '!J112</f>
        <v>9</v>
      </c>
      <c r="AL111" s="18">
        <v>10</v>
      </c>
      <c r="AM111" s="66" t="s">
        <v>30</v>
      </c>
      <c r="AN111" s="12">
        <f>+'Form20 '!K112</f>
        <v>2</v>
      </c>
      <c r="AO111" s="18">
        <v>11</v>
      </c>
      <c r="AP111" s="66" t="s">
        <v>30</v>
      </c>
      <c r="AQ111" s="12">
        <f>+'Form20 '!L112</f>
        <v>0</v>
      </c>
      <c r="AR111" s="18">
        <v>12</v>
      </c>
      <c r="AS111" s="66" t="s">
        <v>30</v>
      </c>
      <c r="AT111" s="12">
        <f>+'Form20 '!M112</f>
        <v>4</v>
      </c>
      <c r="AU111" s="18">
        <v>13</v>
      </c>
      <c r="AV111" s="66" t="s">
        <v>30</v>
      </c>
      <c r="AW111" s="12">
        <f>+'Form20 '!N112</f>
        <v>2</v>
      </c>
      <c r="AX111" s="18">
        <v>14</v>
      </c>
      <c r="AY111" s="66" t="s">
        <v>30</v>
      </c>
      <c r="AZ111" s="12">
        <f>+'Form20 '!O112</f>
        <v>3</v>
      </c>
      <c r="BA111" s="75">
        <f t="shared" si="3"/>
        <v>718</v>
      </c>
    </row>
    <row r="112" spans="1:53" s="67" customFormat="1" ht="59.25" customHeight="1">
      <c r="A112" s="18">
        <v>333</v>
      </c>
      <c r="B112" s="59">
        <v>106</v>
      </c>
      <c r="C112" s="76" t="s">
        <v>184</v>
      </c>
      <c r="D112" s="61">
        <v>779</v>
      </c>
      <c r="E112" s="61">
        <v>262</v>
      </c>
      <c r="F112" s="61">
        <v>249</v>
      </c>
      <c r="G112" s="55">
        <v>0</v>
      </c>
      <c r="H112" s="62">
        <f t="shared" si="2"/>
        <v>511</v>
      </c>
      <c r="I112" s="55">
        <v>50</v>
      </c>
      <c r="J112" s="29">
        <v>0</v>
      </c>
      <c r="K112" s="18">
        <v>1</v>
      </c>
      <c r="L112" s="63" t="s">
        <v>29</v>
      </c>
      <c r="M112" s="12">
        <f>+'Form20 '!B113</f>
        <v>270</v>
      </c>
      <c r="N112" s="18">
        <v>2</v>
      </c>
      <c r="O112" s="58" t="s">
        <v>24</v>
      </c>
      <c r="P112" s="12">
        <f>+'Form20 '!C113</f>
        <v>35</v>
      </c>
      <c r="Q112" s="18">
        <v>3</v>
      </c>
      <c r="R112" s="63" t="s">
        <v>28</v>
      </c>
      <c r="S112" s="12">
        <f>+'Form20 '!D113</f>
        <v>197</v>
      </c>
      <c r="T112" s="18">
        <v>4</v>
      </c>
      <c r="U112" s="64" t="s">
        <v>65</v>
      </c>
      <c r="V112" s="12">
        <f>+'Form20 '!E113</f>
        <v>0</v>
      </c>
      <c r="W112" s="18">
        <v>5</v>
      </c>
      <c r="X112" s="58" t="s">
        <v>66</v>
      </c>
      <c r="Y112" s="12">
        <f>+'Form20 '!F113</f>
        <v>0</v>
      </c>
      <c r="Z112" s="18">
        <v>6</v>
      </c>
      <c r="AA112" s="64" t="s">
        <v>67</v>
      </c>
      <c r="AB112" s="12">
        <f>+'Form20 '!G113</f>
        <v>0</v>
      </c>
      <c r="AC112" s="18">
        <v>7</v>
      </c>
      <c r="AD112" s="63" t="s">
        <v>68</v>
      </c>
      <c r="AE112" s="12">
        <f>+'Form20 '!H113</f>
        <v>1</v>
      </c>
      <c r="AF112" s="18">
        <v>8</v>
      </c>
      <c r="AG112" s="63" t="s">
        <v>69</v>
      </c>
      <c r="AH112" s="12">
        <f>+'Form20 '!I113</f>
        <v>1</v>
      </c>
      <c r="AI112" s="18">
        <v>9</v>
      </c>
      <c r="AJ112" s="65" t="s">
        <v>70</v>
      </c>
      <c r="AK112" s="12">
        <f>+'Form20 '!J113</f>
        <v>0</v>
      </c>
      <c r="AL112" s="18">
        <v>10</v>
      </c>
      <c r="AM112" s="66" t="s">
        <v>30</v>
      </c>
      <c r="AN112" s="12">
        <f>+'Form20 '!K113</f>
        <v>0</v>
      </c>
      <c r="AO112" s="18">
        <v>11</v>
      </c>
      <c r="AP112" s="66" t="s">
        <v>30</v>
      </c>
      <c r="AQ112" s="12">
        <f>+'Form20 '!L113</f>
        <v>0</v>
      </c>
      <c r="AR112" s="18">
        <v>12</v>
      </c>
      <c r="AS112" s="66" t="s">
        <v>30</v>
      </c>
      <c r="AT112" s="12">
        <f>+'Form20 '!M113</f>
        <v>2</v>
      </c>
      <c r="AU112" s="18">
        <v>13</v>
      </c>
      <c r="AV112" s="66" t="s">
        <v>30</v>
      </c>
      <c r="AW112" s="12">
        <f>+'Form20 '!N113</f>
        <v>1</v>
      </c>
      <c r="AX112" s="18">
        <v>14</v>
      </c>
      <c r="AY112" s="66" t="s">
        <v>30</v>
      </c>
      <c r="AZ112" s="12">
        <f>+'Form20 '!O113</f>
        <v>1</v>
      </c>
      <c r="BA112" s="75">
        <f t="shared" si="3"/>
        <v>508</v>
      </c>
    </row>
    <row r="113" spans="1:53" s="67" customFormat="1" ht="59.25" customHeight="1">
      <c r="A113" s="18">
        <v>333</v>
      </c>
      <c r="B113" s="59">
        <v>107</v>
      </c>
      <c r="C113" s="76" t="s">
        <v>185</v>
      </c>
      <c r="D113" s="61">
        <v>699</v>
      </c>
      <c r="E113" s="61">
        <v>238</v>
      </c>
      <c r="F113" s="61">
        <v>256</v>
      </c>
      <c r="G113" s="55">
        <v>0</v>
      </c>
      <c r="H113" s="62">
        <f t="shared" si="2"/>
        <v>494</v>
      </c>
      <c r="I113" s="55">
        <v>48</v>
      </c>
      <c r="J113" s="29">
        <v>0</v>
      </c>
      <c r="K113" s="18">
        <v>1</v>
      </c>
      <c r="L113" s="63" t="s">
        <v>29</v>
      </c>
      <c r="M113" s="12">
        <f>+'Form20 '!B114</f>
        <v>287</v>
      </c>
      <c r="N113" s="18">
        <v>2</v>
      </c>
      <c r="O113" s="58" t="s">
        <v>24</v>
      </c>
      <c r="P113" s="12">
        <f>+'Form20 '!C114</f>
        <v>6</v>
      </c>
      <c r="Q113" s="18">
        <v>3</v>
      </c>
      <c r="R113" s="63" t="s">
        <v>28</v>
      </c>
      <c r="S113" s="12">
        <f>+'Form20 '!D114</f>
        <v>189</v>
      </c>
      <c r="T113" s="18">
        <v>4</v>
      </c>
      <c r="U113" s="64" t="s">
        <v>65</v>
      </c>
      <c r="V113" s="12">
        <f>+'Form20 '!E114</f>
        <v>3</v>
      </c>
      <c r="W113" s="18">
        <v>5</v>
      </c>
      <c r="X113" s="58" t="s">
        <v>66</v>
      </c>
      <c r="Y113" s="12">
        <f>+'Form20 '!F114</f>
        <v>1</v>
      </c>
      <c r="Z113" s="18">
        <v>6</v>
      </c>
      <c r="AA113" s="64" t="s">
        <v>67</v>
      </c>
      <c r="AB113" s="12">
        <f>+'Form20 '!G114</f>
        <v>0</v>
      </c>
      <c r="AC113" s="18">
        <v>7</v>
      </c>
      <c r="AD113" s="63" t="s">
        <v>68</v>
      </c>
      <c r="AE113" s="12">
        <f>+'Form20 '!H114</f>
        <v>0</v>
      </c>
      <c r="AF113" s="18">
        <v>8</v>
      </c>
      <c r="AG113" s="63" t="s">
        <v>69</v>
      </c>
      <c r="AH113" s="12">
        <f>+'Form20 '!I114</f>
        <v>0</v>
      </c>
      <c r="AI113" s="18">
        <v>9</v>
      </c>
      <c r="AJ113" s="65" t="s">
        <v>70</v>
      </c>
      <c r="AK113" s="12">
        <f>+'Form20 '!J114</f>
        <v>1</v>
      </c>
      <c r="AL113" s="18">
        <v>10</v>
      </c>
      <c r="AM113" s="66" t="s">
        <v>30</v>
      </c>
      <c r="AN113" s="12">
        <f>+'Form20 '!K114</f>
        <v>0</v>
      </c>
      <c r="AO113" s="18">
        <v>11</v>
      </c>
      <c r="AP113" s="66" t="s">
        <v>30</v>
      </c>
      <c r="AQ113" s="12">
        <f>+'Form20 '!L114</f>
        <v>0</v>
      </c>
      <c r="AR113" s="18">
        <v>12</v>
      </c>
      <c r="AS113" s="66" t="s">
        <v>30</v>
      </c>
      <c r="AT113" s="12">
        <f>+'Form20 '!M114</f>
        <v>0</v>
      </c>
      <c r="AU113" s="18">
        <v>13</v>
      </c>
      <c r="AV113" s="66" t="s">
        <v>30</v>
      </c>
      <c r="AW113" s="12">
        <f>+'Form20 '!N114</f>
        <v>2</v>
      </c>
      <c r="AX113" s="18">
        <v>14</v>
      </c>
      <c r="AY113" s="66" t="s">
        <v>30</v>
      </c>
      <c r="AZ113" s="12">
        <f>+'Form20 '!O114</f>
        <v>0</v>
      </c>
      <c r="BA113" s="75">
        <f t="shared" si="3"/>
        <v>489</v>
      </c>
    </row>
    <row r="114" spans="1:53" s="67" customFormat="1" ht="59.25" customHeight="1">
      <c r="A114" s="18">
        <v>333</v>
      </c>
      <c r="B114" s="59">
        <v>108</v>
      </c>
      <c r="C114" s="76" t="s">
        <v>186</v>
      </c>
      <c r="D114" s="61">
        <v>756</v>
      </c>
      <c r="E114" s="61">
        <v>247</v>
      </c>
      <c r="F114" s="61">
        <v>256</v>
      </c>
      <c r="G114" s="55">
        <v>0</v>
      </c>
      <c r="H114" s="62">
        <f t="shared" si="2"/>
        <v>503</v>
      </c>
      <c r="I114" s="55">
        <v>27</v>
      </c>
      <c r="J114" s="29">
        <v>0</v>
      </c>
      <c r="K114" s="18">
        <v>1</v>
      </c>
      <c r="L114" s="63" t="s">
        <v>29</v>
      </c>
      <c r="M114" s="12">
        <f>+'Form20 '!B115</f>
        <v>272</v>
      </c>
      <c r="N114" s="18">
        <v>2</v>
      </c>
      <c r="O114" s="58" t="s">
        <v>24</v>
      </c>
      <c r="P114" s="12">
        <f>+'Form20 '!C115</f>
        <v>2</v>
      </c>
      <c r="Q114" s="18">
        <v>3</v>
      </c>
      <c r="R114" s="63" t="s">
        <v>28</v>
      </c>
      <c r="S114" s="12">
        <f>+'Form20 '!D115</f>
        <v>210</v>
      </c>
      <c r="T114" s="18">
        <v>4</v>
      </c>
      <c r="U114" s="64" t="s">
        <v>65</v>
      </c>
      <c r="V114" s="12">
        <f>+'Form20 '!E115</f>
        <v>6</v>
      </c>
      <c r="W114" s="18">
        <v>5</v>
      </c>
      <c r="X114" s="58" t="s">
        <v>66</v>
      </c>
      <c r="Y114" s="12">
        <f>+'Form20 '!F115</f>
        <v>0</v>
      </c>
      <c r="Z114" s="18">
        <v>6</v>
      </c>
      <c r="AA114" s="64" t="s">
        <v>67</v>
      </c>
      <c r="AB114" s="12">
        <f>+'Form20 '!G115</f>
        <v>0</v>
      </c>
      <c r="AC114" s="18">
        <v>7</v>
      </c>
      <c r="AD114" s="63" t="s">
        <v>68</v>
      </c>
      <c r="AE114" s="12">
        <f>+'Form20 '!H115</f>
        <v>0</v>
      </c>
      <c r="AF114" s="18">
        <v>8</v>
      </c>
      <c r="AG114" s="63" t="s">
        <v>69</v>
      </c>
      <c r="AH114" s="12">
        <f>+'Form20 '!I115</f>
        <v>4</v>
      </c>
      <c r="AI114" s="18">
        <v>9</v>
      </c>
      <c r="AJ114" s="65" t="s">
        <v>70</v>
      </c>
      <c r="AK114" s="12">
        <f>+'Form20 '!J115</f>
        <v>6</v>
      </c>
      <c r="AL114" s="18">
        <v>10</v>
      </c>
      <c r="AM114" s="66" t="s">
        <v>30</v>
      </c>
      <c r="AN114" s="12">
        <f>+'Form20 '!K115</f>
        <v>0</v>
      </c>
      <c r="AO114" s="18">
        <v>11</v>
      </c>
      <c r="AP114" s="66" t="s">
        <v>30</v>
      </c>
      <c r="AQ114" s="12">
        <f>+'Form20 '!L115</f>
        <v>1</v>
      </c>
      <c r="AR114" s="18">
        <v>12</v>
      </c>
      <c r="AS114" s="66" t="s">
        <v>30</v>
      </c>
      <c r="AT114" s="12">
        <f>+'Form20 '!M115</f>
        <v>1</v>
      </c>
      <c r="AU114" s="18">
        <v>13</v>
      </c>
      <c r="AV114" s="66" t="s">
        <v>30</v>
      </c>
      <c r="AW114" s="12">
        <f>+'Form20 '!N115</f>
        <v>1</v>
      </c>
      <c r="AX114" s="18">
        <v>14</v>
      </c>
      <c r="AY114" s="66" t="s">
        <v>30</v>
      </c>
      <c r="AZ114" s="12">
        <f>+'Form20 '!O115</f>
        <v>0</v>
      </c>
      <c r="BA114" s="75">
        <f t="shared" si="3"/>
        <v>503</v>
      </c>
    </row>
    <row r="115" spans="1:53" s="67" customFormat="1" ht="59.25" customHeight="1">
      <c r="A115" s="18">
        <v>333</v>
      </c>
      <c r="B115" s="59">
        <v>109</v>
      </c>
      <c r="C115" s="76" t="s">
        <v>187</v>
      </c>
      <c r="D115" s="61">
        <v>649</v>
      </c>
      <c r="E115" s="61">
        <v>199</v>
      </c>
      <c r="F115" s="61">
        <v>209</v>
      </c>
      <c r="G115" s="55">
        <v>0</v>
      </c>
      <c r="H115" s="62">
        <f t="shared" si="2"/>
        <v>408</v>
      </c>
      <c r="I115" s="55">
        <v>32</v>
      </c>
      <c r="J115" s="29">
        <v>0</v>
      </c>
      <c r="K115" s="18">
        <v>1</v>
      </c>
      <c r="L115" s="63" t="s">
        <v>29</v>
      </c>
      <c r="M115" s="12">
        <f>+'Form20 '!B116</f>
        <v>171</v>
      </c>
      <c r="N115" s="18">
        <v>2</v>
      </c>
      <c r="O115" s="58" t="s">
        <v>24</v>
      </c>
      <c r="P115" s="12">
        <f>+'Form20 '!C116</f>
        <v>82</v>
      </c>
      <c r="Q115" s="18">
        <v>3</v>
      </c>
      <c r="R115" s="63" t="s">
        <v>28</v>
      </c>
      <c r="S115" s="12">
        <f>+'Form20 '!D116</f>
        <v>145</v>
      </c>
      <c r="T115" s="18">
        <v>4</v>
      </c>
      <c r="U115" s="64" t="s">
        <v>65</v>
      </c>
      <c r="V115" s="12">
        <f>+'Form20 '!E116</f>
        <v>1</v>
      </c>
      <c r="W115" s="18">
        <v>5</v>
      </c>
      <c r="X115" s="58" t="s">
        <v>66</v>
      </c>
      <c r="Y115" s="12">
        <f>+'Form20 '!F116</f>
        <v>1</v>
      </c>
      <c r="Z115" s="18">
        <v>6</v>
      </c>
      <c r="AA115" s="64" t="s">
        <v>67</v>
      </c>
      <c r="AB115" s="12">
        <f>+'Form20 '!G116</f>
        <v>0</v>
      </c>
      <c r="AC115" s="18">
        <v>7</v>
      </c>
      <c r="AD115" s="63" t="s">
        <v>68</v>
      </c>
      <c r="AE115" s="12">
        <f>+'Form20 '!H116</f>
        <v>0</v>
      </c>
      <c r="AF115" s="18">
        <v>8</v>
      </c>
      <c r="AG115" s="63" t="s">
        <v>69</v>
      </c>
      <c r="AH115" s="12">
        <f>+'Form20 '!I116</f>
        <v>1</v>
      </c>
      <c r="AI115" s="18">
        <v>9</v>
      </c>
      <c r="AJ115" s="65" t="s">
        <v>70</v>
      </c>
      <c r="AK115" s="12">
        <f>+'Form20 '!J116</f>
        <v>0</v>
      </c>
      <c r="AL115" s="18">
        <v>10</v>
      </c>
      <c r="AM115" s="66" t="s">
        <v>30</v>
      </c>
      <c r="AN115" s="12">
        <f>+'Form20 '!K116</f>
        <v>0</v>
      </c>
      <c r="AO115" s="18">
        <v>11</v>
      </c>
      <c r="AP115" s="66" t="s">
        <v>30</v>
      </c>
      <c r="AQ115" s="12">
        <f>+'Form20 '!L116</f>
        <v>1</v>
      </c>
      <c r="AR115" s="18">
        <v>12</v>
      </c>
      <c r="AS115" s="66" t="s">
        <v>30</v>
      </c>
      <c r="AT115" s="12">
        <f>+'Form20 '!M116</f>
        <v>0</v>
      </c>
      <c r="AU115" s="18">
        <v>13</v>
      </c>
      <c r="AV115" s="66" t="s">
        <v>30</v>
      </c>
      <c r="AW115" s="12">
        <f>+'Form20 '!N116</f>
        <v>2</v>
      </c>
      <c r="AX115" s="18">
        <v>14</v>
      </c>
      <c r="AY115" s="66" t="s">
        <v>30</v>
      </c>
      <c r="AZ115" s="12">
        <f>+'Form20 '!O116</f>
        <v>2</v>
      </c>
      <c r="BA115" s="75">
        <f t="shared" si="3"/>
        <v>406</v>
      </c>
    </row>
    <row r="116" spans="1:53" s="67" customFormat="1" ht="59.25" customHeight="1">
      <c r="A116" s="18">
        <v>333</v>
      </c>
      <c r="B116" s="59">
        <v>110</v>
      </c>
      <c r="C116" s="76" t="s">
        <v>188</v>
      </c>
      <c r="D116" s="61">
        <v>948</v>
      </c>
      <c r="E116" s="61">
        <v>283</v>
      </c>
      <c r="F116" s="61">
        <v>333</v>
      </c>
      <c r="G116" s="55">
        <v>0</v>
      </c>
      <c r="H116" s="62">
        <f t="shared" si="2"/>
        <v>616</v>
      </c>
      <c r="I116" s="55">
        <v>58</v>
      </c>
      <c r="J116" s="29">
        <v>0</v>
      </c>
      <c r="K116" s="18">
        <v>1</v>
      </c>
      <c r="L116" s="63" t="s">
        <v>29</v>
      </c>
      <c r="M116" s="12">
        <f>+'Form20 '!B117</f>
        <v>235</v>
      </c>
      <c r="N116" s="18">
        <v>2</v>
      </c>
      <c r="O116" s="58" t="s">
        <v>24</v>
      </c>
      <c r="P116" s="12">
        <f>+'Form20 '!C117</f>
        <v>20</v>
      </c>
      <c r="Q116" s="18">
        <v>3</v>
      </c>
      <c r="R116" s="63" t="s">
        <v>28</v>
      </c>
      <c r="S116" s="12">
        <f>+'Form20 '!D117</f>
        <v>339</v>
      </c>
      <c r="T116" s="18">
        <v>4</v>
      </c>
      <c r="U116" s="64" t="s">
        <v>65</v>
      </c>
      <c r="V116" s="12">
        <f>+'Form20 '!E117</f>
        <v>8</v>
      </c>
      <c r="W116" s="18">
        <v>5</v>
      </c>
      <c r="X116" s="58" t="s">
        <v>66</v>
      </c>
      <c r="Y116" s="12">
        <f>+'Form20 '!F117</f>
        <v>0</v>
      </c>
      <c r="Z116" s="18">
        <v>6</v>
      </c>
      <c r="AA116" s="64" t="s">
        <v>67</v>
      </c>
      <c r="AB116" s="12">
        <f>+'Form20 '!G117</f>
        <v>0</v>
      </c>
      <c r="AC116" s="18">
        <v>7</v>
      </c>
      <c r="AD116" s="63" t="s">
        <v>68</v>
      </c>
      <c r="AE116" s="12">
        <f>+'Form20 '!H117</f>
        <v>0</v>
      </c>
      <c r="AF116" s="18">
        <v>8</v>
      </c>
      <c r="AG116" s="63" t="s">
        <v>69</v>
      </c>
      <c r="AH116" s="12">
        <f>+'Form20 '!I117</f>
        <v>0</v>
      </c>
      <c r="AI116" s="18">
        <v>9</v>
      </c>
      <c r="AJ116" s="65" t="s">
        <v>70</v>
      </c>
      <c r="AK116" s="12">
        <f>+'Form20 '!J117</f>
        <v>5</v>
      </c>
      <c r="AL116" s="18">
        <v>10</v>
      </c>
      <c r="AM116" s="66" t="s">
        <v>30</v>
      </c>
      <c r="AN116" s="12">
        <f>+'Form20 '!K117</f>
        <v>0</v>
      </c>
      <c r="AO116" s="18">
        <v>11</v>
      </c>
      <c r="AP116" s="66" t="s">
        <v>30</v>
      </c>
      <c r="AQ116" s="12">
        <f>+'Form20 '!L117</f>
        <v>0</v>
      </c>
      <c r="AR116" s="18">
        <v>12</v>
      </c>
      <c r="AS116" s="66" t="s">
        <v>30</v>
      </c>
      <c r="AT116" s="12">
        <f>+'Form20 '!M117</f>
        <v>0</v>
      </c>
      <c r="AU116" s="18">
        <v>13</v>
      </c>
      <c r="AV116" s="66" t="s">
        <v>30</v>
      </c>
      <c r="AW116" s="12">
        <f>+'Form20 '!N117</f>
        <v>0</v>
      </c>
      <c r="AX116" s="18">
        <v>14</v>
      </c>
      <c r="AY116" s="66" t="s">
        <v>30</v>
      </c>
      <c r="AZ116" s="12">
        <f>+'Form20 '!O117</f>
        <v>1</v>
      </c>
      <c r="BA116" s="75">
        <f t="shared" si="3"/>
        <v>608</v>
      </c>
    </row>
    <row r="117" spans="1:53" s="67" customFormat="1" ht="59.25" customHeight="1">
      <c r="A117" s="18">
        <v>333</v>
      </c>
      <c r="B117" s="59">
        <v>111</v>
      </c>
      <c r="C117" s="76" t="s">
        <v>189</v>
      </c>
      <c r="D117" s="61">
        <v>1049</v>
      </c>
      <c r="E117" s="61">
        <v>321</v>
      </c>
      <c r="F117" s="61">
        <v>328</v>
      </c>
      <c r="G117" s="55">
        <v>0</v>
      </c>
      <c r="H117" s="62">
        <f t="shared" si="2"/>
        <v>649</v>
      </c>
      <c r="I117" s="55">
        <v>67</v>
      </c>
      <c r="J117" s="29">
        <v>0</v>
      </c>
      <c r="K117" s="18">
        <v>1</v>
      </c>
      <c r="L117" s="63" t="s">
        <v>29</v>
      </c>
      <c r="M117" s="12">
        <f>+'Form20 '!B118</f>
        <v>244</v>
      </c>
      <c r="N117" s="18">
        <v>2</v>
      </c>
      <c r="O117" s="58" t="s">
        <v>24</v>
      </c>
      <c r="P117" s="12">
        <f>+'Form20 '!C118</f>
        <v>58</v>
      </c>
      <c r="Q117" s="18">
        <v>3</v>
      </c>
      <c r="R117" s="63" t="s">
        <v>28</v>
      </c>
      <c r="S117" s="12">
        <f>+'Form20 '!D118</f>
        <v>281</v>
      </c>
      <c r="T117" s="18">
        <v>4</v>
      </c>
      <c r="U117" s="64" t="s">
        <v>65</v>
      </c>
      <c r="V117" s="12">
        <f>+'Form20 '!E118</f>
        <v>2</v>
      </c>
      <c r="W117" s="18">
        <v>5</v>
      </c>
      <c r="X117" s="58" t="s">
        <v>66</v>
      </c>
      <c r="Y117" s="12">
        <f>+'Form20 '!F118</f>
        <v>1</v>
      </c>
      <c r="Z117" s="18">
        <v>6</v>
      </c>
      <c r="AA117" s="64" t="s">
        <v>67</v>
      </c>
      <c r="AB117" s="12">
        <f>+'Form20 '!G118</f>
        <v>2</v>
      </c>
      <c r="AC117" s="18">
        <v>7</v>
      </c>
      <c r="AD117" s="63" t="s">
        <v>68</v>
      </c>
      <c r="AE117" s="12">
        <f>+'Form20 '!H118</f>
        <v>1</v>
      </c>
      <c r="AF117" s="18">
        <v>8</v>
      </c>
      <c r="AG117" s="63" t="s">
        <v>69</v>
      </c>
      <c r="AH117" s="12">
        <f>+'Form20 '!I118</f>
        <v>1</v>
      </c>
      <c r="AI117" s="18">
        <v>9</v>
      </c>
      <c r="AJ117" s="65" t="s">
        <v>70</v>
      </c>
      <c r="AK117" s="12">
        <f>+'Form20 '!J118</f>
        <v>49</v>
      </c>
      <c r="AL117" s="18">
        <v>10</v>
      </c>
      <c r="AM117" s="66" t="s">
        <v>30</v>
      </c>
      <c r="AN117" s="12">
        <f>+'Form20 '!K118</f>
        <v>1</v>
      </c>
      <c r="AO117" s="18">
        <v>11</v>
      </c>
      <c r="AP117" s="66" t="s">
        <v>30</v>
      </c>
      <c r="AQ117" s="12">
        <f>+'Form20 '!L118</f>
        <v>1</v>
      </c>
      <c r="AR117" s="18">
        <v>12</v>
      </c>
      <c r="AS117" s="66" t="s">
        <v>30</v>
      </c>
      <c r="AT117" s="12">
        <f>+'Form20 '!M118</f>
        <v>3</v>
      </c>
      <c r="AU117" s="18">
        <v>13</v>
      </c>
      <c r="AV117" s="66" t="s">
        <v>30</v>
      </c>
      <c r="AW117" s="12">
        <f>+'Form20 '!N118</f>
        <v>0</v>
      </c>
      <c r="AX117" s="18">
        <v>14</v>
      </c>
      <c r="AY117" s="66" t="s">
        <v>30</v>
      </c>
      <c r="AZ117" s="12">
        <f>+'Form20 '!O118</f>
        <v>0</v>
      </c>
      <c r="BA117" s="75">
        <f t="shared" si="3"/>
        <v>644</v>
      </c>
    </row>
    <row r="118" spans="1:53" s="67" customFormat="1" ht="59.25" customHeight="1">
      <c r="A118" s="18">
        <v>333</v>
      </c>
      <c r="B118" s="59">
        <v>112</v>
      </c>
      <c r="C118" s="76" t="s">
        <v>190</v>
      </c>
      <c r="D118" s="61">
        <v>573</v>
      </c>
      <c r="E118" s="61">
        <v>196</v>
      </c>
      <c r="F118" s="61">
        <v>204</v>
      </c>
      <c r="G118" s="55">
        <v>0</v>
      </c>
      <c r="H118" s="62">
        <f t="shared" si="2"/>
        <v>400</v>
      </c>
      <c r="I118" s="55">
        <v>23</v>
      </c>
      <c r="J118" s="29">
        <v>0</v>
      </c>
      <c r="K118" s="18">
        <v>1</v>
      </c>
      <c r="L118" s="63" t="s">
        <v>29</v>
      </c>
      <c r="M118" s="12">
        <f>+'Form20 '!B119</f>
        <v>242</v>
      </c>
      <c r="N118" s="18">
        <v>2</v>
      </c>
      <c r="O118" s="58" t="s">
        <v>24</v>
      </c>
      <c r="P118" s="12">
        <f>+'Form20 '!C119</f>
        <v>4</v>
      </c>
      <c r="Q118" s="18">
        <v>3</v>
      </c>
      <c r="R118" s="63" t="s">
        <v>28</v>
      </c>
      <c r="S118" s="12">
        <f>+'Form20 '!D119</f>
        <v>78</v>
      </c>
      <c r="T118" s="18">
        <v>4</v>
      </c>
      <c r="U118" s="64" t="s">
        <v>65</v>
      </c>
      <c r="V118" s="12">
        <f>+'Form20 '!E119</f>
        <v>0</v>
      </c>
      <c r="W118" s="18">
        <v>5</v>
      </c>
      <c r="X118" s="58" t="s">
        <v>66</v>
      </c>
      <c r="Y118" s="12">
        <f>+'Form20 '!F119</f>
        <v>1</v>
      </c>
      <c r="Z118" s="18">
        <v>6</v>
      </c>
      <c r="AA118" s="64" t="s">
        <v>67</v>
      </c>
      <c r="AB118" s="12">
        <f>+'Form20 '!G119</f>
        <v>0</v>
      </c>
      <c r="AC118" s="18">
        <v>7</v>
      </c>
      <c r="AD118" s="63" t="s">
        <v>68</v>
      </c>
      <c r="AE118" s="12">
        <f>+'Form20 '!H119</f>
        <v>0</v>
      </c>
      <c r="AF118" s="18">
        <v>8</v>
      </c>
      <c r="AG118" s="63" t="s">
        <v>69</v>
      </c>
      <c r="AH118" s="12">
        <f>+'Form20 '!I119</f>
        <v>0</v>
      </c>
      <c r="AI118" s="18">
        <v>9</v>
      </c>
      <c r="AJ118" s="65" t="s">
        <v>70</v>
      </c>
      <c r="AK118" s="12">
        <f>+'Form20 '!J119</f>
        <v>64</v>
      </c>
      <c r="AL118" s="18">
        <v>10</v>
      </c>
      <c r="AM118" s="66" t="s">
        <v>30</v>
      </c>
      <c r="AN118" s="12">
        <f>+'Form20 '!K119</f>
        <v>0</v>
      </c>
      <c r="AO118" s="18">
        <v>11</v>
      </c>
      <c r="AP118" s="66" t="s">
        <v>30</v>
      </c>
      <c r="AQ118" s="12">
        <f>+'Form20 '!L119</f>
        <v>0</v>
      </c>
      <c r="AR118" s="18">
        <v>12</v>
      </c>
      <c r="AS118" s="66" t="s">
        <v>30</v>
      </c>
      <c r="AT118" s="12">
        <f>+'Form20 '!M119</f>
        <v>2</v>
      </c>
      <c r="AU118" s="18">
        <v>13</v>
      </c>
      <c r="AV118" s="66" t="s">
        <v>30</v>
      </c>
      <c r="AW118" s="12">
        <f>+'Form20 '!N119</f>
        <v>2</v>
      </c>
      <c r="AX118" s="18">
        <v>14</v>
      </c>
      <c r="AY118" s="66" t="s">
        <v>30</v>
      </c>
      <c r="AZ118" s="12">
        <f>+'Form20 '!O119</f>
        <v>1</v>
      </c>
      <c r="BA118" s="75">
        <f t="shared" si="3"/>
        <v>394</v>
      </c>
    </row>
    <row r="119" spans="1:53" s="67" customFormat="1" ht="59.25" customHeight="1">
      <c r="A119" s="18">
        <v>333</v>
      </c>
      <c r="B119" s="59">
        <v>113</v>
      </c>
      <c r="C119" s="76" t="s">
        <v>191</v>
      </c>
      <c r="D119" s="61">
        <v>666</v>
      </c>
      <c r="E119" s="61">
        <v>202</v>
      </c>
      <c r="F119" s="61">
        <v>209</v>
      </c>
      <c r="G119" s="55">
        <v>0</v>
      </c>
      <c r="H119" s="62">
        <f t="shared" si="2"/>
        <v>411</v>
      </c>
      <c r="I119" s="55">
        <v>37</v>
      </c>
      <c r="J119" s="29">
        <v>0</v>
      </c>
      <c r="K119" s="18">
        <v>1</v>
      </c>
      <c r="L119" s="63" t="s">
        <v>29</v>
      </c>
      <c r="M119" s="12">
        <f>+'Form20 '!B120</f>
        <v>168</v>
      </c>
      <c r="N119" s="18">
        <v>2</v>
      </c>
      <c r="O119" s="58" t="s">
        <v>24</v>
      </c>
      <c r="P119" s="12">
        <f>+'Form20 '!C120</f>
        <v>80</v>
      </c>
      <c r="Q119" s="18">
        <v>3</v>
      </c>
      <c r="R119" s="63" t="s">
        <v>28</v>
      </c>
      <c r="S119" s="12">
        <f>+'Form20 '!D120</f>
        <v>122</v>
      </c>
      <c r="T119" s="18">
        <v>4</v>
      </c>
      <c r="U119" s="64" t="s">
        <v>65</v>
      </c>
      <c r="V119" s="12">
        <f>+'Form20 '!E120</f>
        <v>4</v>
      </c>
      <c r="W119" s="18">
        <v>5</v>
      </c>
      <c r="X119" s="58" t="s">
        <v>66</v>
      </c>
      <c r="Y119" s="12">
        <f>+'Form20 '!F120</f>
        <v>0</v>
      </c>
      <c r="Z119" s="18">
        <v>6</v>
      </c>
      <c r="AA119" s="64" t="s">
        <v>67</v>
      </c>
      <c r="AB119" s="12">
        <f>+'Form20 '!G120</f>
        <v>0</v>
      </c>
      <c r="AC119" s="18">
        <v>7</v>
      </c>
      <c r="AD119" s="63" t="s">
        <v>68</v>
      </c>
      <c r="AE119" s="12">
        <f>+'Form20 '!H120</f>
        <v>1</v>
      </c>
      <c r="AF119" s="18">
        <v>8</v>
      </c>
      <c r="AG119" s="63" t="s">
        <v>69</v>
      </c>
      <c r="AH119" s="12">
        <f>+'Form20 '!I120</f>
        <v>0</v>
      </c>
      <c r="AI119" s="18">
        <v>9</v>
      </c>
      <c r="AJ119" s="65" t="s">
        <v>70</v>
      </c>
      <c r="AK119" s="12">
        <f>+'Form20 '!J120</f>
        <v>28</v>
      </c>
      <c r="AL119" s="18">
        <v>10</v>
      </c>
      <c r="AM119" s="66" t="s">
        <v>30</v>
      </c>
      <c r="AN119" s="12">
        <f>+'Form20 '!K120</f>
        <v>1</v>
      </c>
      <c r="AO119" s="18">
        <v>11</v>
      </c>
      <c r="AP119" s="66" t="s">
        <v>30</v>
      </c>
      <c r="AQ119" s="12">
        <f>+'Form20 '!L120</f>
        <v>0</v>
      </c>
      <c r="AR119" s="18">
        <v>12</v>
      </c>
      <c r="AS119" s="66" t="s">
        <v>30</v>
      </c>
      <c r="AT119" s="12">
        <f>+'Form20 '!M120</f>
        <v>1</v>
      </c>
      <c r="AU119" s="18">
        <v>13</v>
      </c>
      <c r="AV119" s="66" t="s">
        <v>30</v>
      </c>
      <c r="AW119" s="12">
        <f>+'Form20 '!N120</f>
        <v>3</v>
      </c>
      <c r="AX119" s="18">
        <v>14</v>
      </c>
      <c r="AY119" s="66" t="s">
        <v>30</v>
      </c>
      <c r="AZ119" s="12">
        <f>+'Form20 '!O120</f>
        <v>1</v>
      </c>
      <c r="BA119" s="75">
        <f t="shared" si="3"/>
        <v>409</v>
      </c>
    </row>
    <row r="120" spans="1:53" s="67" customFormat="1" ht="59.25" customHeight="1">
      <c r="A120" s="18">
        <v>333</v>
      </c>
      <c r="B120" s="59">
        <v>114</v>
      </c>
      <c r="C120" s="76" t="s">
        <v>192</v>
      </c>
      <c r="D120" s="61">
        <v>850</v>
      </c>
      <c r="E120" s="61">
        <v>272</v>
      </c>
      <c r="F120" s="61">
        <v>272</v>
      </c>
      <c r="G120" s="55">
        <v>0</v>
      </c>
      <c r="H120" s="62">
        <f t="shared" si="2"/>
        <v>544</v>
      </c>
      <c r="I120" s="55">
        <v>385</v>
      </c>
      <c r="J120" s="29">
        <v>0</v>
      </c>
      <c r="K120" s="18">
        <v>1</v>
      </c>
      <c r="L120" s="63" t="s">
        <v>29</v>
      </c>
      <c r="M120" s="12">
        <f>+'Form20 '!B121</f>
        <v>345</v>
      </c>
      <c r="N120" s="18">
        <v>2</v>
      </c>
      <c r="O120" s="58" t="s">
        <v>24</v>
      </c>
      <c r="P120" s="12">
        <f>+'Form20 '!C121</f>
        <v>55</v>
      </c>
      <c r="Q120" s="18">
        <v>3</v>
      </c>
      <c r="R120" s="63" t="s">
        <v>28</v>
      </c>
      <c r="S120" s="12">
        <f>+'Form20 '!D121</f>
        <v>131</v>
      </c>
      <c r="T120" s="18">
        <v>4</v>
      </c>
      <c r="U120" s="64" t="s">
        <v>65</v>
      </c>
      <c r="V120" s="12">
        <f>+'Form20 '!E121</f>
        <v>0</v>
      </c>
      <c r="W120" s="18">
        <v>5</v>
      </c>
      <c r="X120" s="58" t="s">
        <v>66</v>
      </c>
      <c r="Y120" s="12">
        <f>+'Form20 '!F121</f>
        <v>0</v>
      </c>
      <c r="Z120" s="18">
        <v>6</v>
      </c>
      <c r="AA120" s="64" t="s">
        <v>67</v>
      </c>
      <c r="AB120" s="12">
        <f>+'Form20 '!G121</f>
        <v>0</v>
      </c>
      <c r="AC120" s="18">
        <v>7</v>
      </c>
      <c r="AD120" s="63" t="s">
        <v>68</v>
      </c>
      <c r="AE120" s="12">
        <f>+'Form20 '!H121</f>
        <v>1</v>
      </c>
      <c r="AF120" s="18">
        <v>8</v>
      </c>
      <c r="AG120" s="63" t="s">
        <v>69</v>
      </c>
      <c r="AH120" s="12">
        <f>+'Form20 '!I121</f>
        <v>0</v>
      </c>
      <c r="AI120" s="18">
        <v>9</v>
      </c>
      <c r="AJ120" s="65" t="s">
        <v>70</v>
      </c>
      <c r="AK120" s="12">
        <f>+'Form20 '!J121</f>
        <v>3</v>
      </c>
      <c r="AL120" s="18">
        <v>10</v>
      </c>
      <c r="AM120" s="66" t="s">
        <v>30</v>
      </c>
      <c r="AN120" s="12">
        <f>+'Form20 '!K121</f>
        <v>0</v>
      </c>
      <c r="AO120" s="18">
        <v>11</v>
      </c>
      <c r="AP120" s="66" t="s">
        <v>30</v>
      </c>
      <c r="AQ120" s="12">
        <f>+'Form20 '!L121</f>
        <v>1</v>
      </c>
      <c r="AR120" s="18">
        <v>12</v>
      </c>
      <c r="AS120" s="66" t="s">
        <v>30</v>
      </c>
      <c r="AT120" s="12">
        <f>+'Form20 '!M121</f>
        <v>0</v>
      </c>
      <c r="AU120" s="18">
        <v>13</v>
      </c>
      <c r="AV120" s="66" t="s">
        <v>30</v>
      </c>
      <c r="AW120" s="12">
        <f>+'Form20 '!N121</f>
        <v>3</v>
      </c>
      <c r="AX120" s="18">
        <v>14</v>
      </c>
      <c r="AY120" s="66" t="s">
        <v>30</v>
      </c>
      <c r="AZ120" s="12">
        <f>+'Form20 '!O121</f>
        <v>0</v>
      </c>
      <c r="BA120" s="75">
        <f t="shared" si="3"/>
        <v>539</v>
      </c>
    </row>
    <row r="121" spans="1:53" s="67" customFormat="1" ht="59.25" customHeight="1">
      <c r="A121" s="18">
        <v>333</v>
      </c>
      <c r="B121" s="59">
        <v>115</v>
      </c>
      <c r="C121" s="76" t="s">
        <v>193</v>
      </c>
      <c r="D121" s="61">
        <v>814</v>
      </c>
      <c r="E121" s="61">
        <v>266</v>
      </c>
      <c r="F121" s="61">
        <v>269</v>
      </c>
      <c r="G121" s="55">
        <v>0</v>
      </c>
      <c r="H121" s="62">
        <f t="shared" si="2"/>
        <v>535</v>
      </c>
      <c r="I121" s="55">
        <v>335</v>
      </c>
      <c r="J121" s="29">
        <v>0</v>
      </c>
      <c r="K121" s="18">
        <v>1</v>
      </c>
      <c r="L121" s="63" t="s">
        <v>29</v>
      </c>
      <c r="M121" s="12">
        <f>+'Form20 '!B122</f>
        <v>178</v>
      </c>
      <c r="N121" s="18">
        <v>2</v>
      </c>
      <c r="O121" s="58" t="s">
        <v>24</v>
      </c>
      <c r="P121" s="12">
        <f>+'Form20 '!C122</f>
        <v>5</v>
      </c>
      <c r="Q121" s="18">
        <v>3</v>
      </c>
      <c r="R121" s="63" t="s">
        <v>28</v>
      </c>
      <c r="S121" s="12">
        <f>+'Form20 '!D122</f>
        <v>325</v>
      </c>
      <c r="T121" s="18">
        <v>4</v>
      </c>
      <c r="U121" s="64" t="s">
        <v>65</v>
      </c>
      <c r="V121" s="12">
        <f>+'Form20 '!E122</f>
        <v>6</v>
      </c>
      <c r="W121" s="18">
        <v>5</v>
      </c>
      <c r="X121" s="58" t="s">
        <v>66</v>
      </c>
      <c r="Y121" s="12">
        <f>+'Form20 '!F122</f>
        <v>1</v>
      </c>
      <c r="Z121" s="18">
        <v>6</v>
      </c>
      <c r="AA121" s="64" t="s">
        <v>67</v>
      </c>
      <c r="AB121" s="12">
        <f>+'Form20 '!G122</f>
        <v>1</v>
      </c>
      <c r="AC121" s="18">
        <v>7</v>
      </c>
      <c r="AD121" s="63" t="s">
        <v>68</v>
      </c>
      <c r="AE121" s="12">
        <f>+'Form20 '!H122</f>
        <v>2</v>
      </c>
      <c r="AF121" s="18">
        <v>8</v>
      </c>
      <c r="AG121" s="63" t="s">
        <v>69</v>
      </c>
      <c r="AH121" s="12">
        <f>+'Form20 '!I122</f>
        <v>0</v>
      </c>
      <c r="AI121" s="18">
        <v>9</v>
      </c>
      <c r="AJ121" s="65" t="s">
        <v>70</v>
      </c>
      <c r="AK121" s="12">
        <f>+'Form20 '!J122</f>
        <v>4</v>
      </c>
      <c r="AL121" s="18">
        <v>10</v>
      </c>
      <c r="AM121" s="66" t="s">
        <v>30</v>
      </c>
      <c r="AN121" s="12">
        <f>+'Form20 '!K122</f>
        <v>1</v>
      </c>
      <c r="AO121" s="18">
        <v>11</v>
      </c>
      <c r="AP121" s="66" t="s">
        <v>30</v>
      </c>
      <c r="AQ121" s="12">
        <f>+'Form20 '!L122</f>
        <v>1</v>
      </c>
      <c r="AR121" s="18">
        <v>12</v>
      </c>
      <c r="AS121" s="66" t="s">
        <v>30</v>
      </c>
      <c r="AT121" s="12">
        <f>+'Form20 '!M122</f>
        <v>1</v>
      </c>
      <c r="AU121" s="18">
        <v>13</v>
      </c>
      <c r="AV121" s="66" t="s">
        <v>30</v>
      </c>
      <c r="AW121" s="12">
        <f>+'Form20 '!N122</f>
        <v>2</v>
      </c>
      <c r="AX121" s="18">
        <v>14</v>
      </c>
      <c r="AY121" s="66" t="s">
        <v>30</v>
      </c>
      <c r="AZ121" s="12">
        <f>+'Form20 '!O122</f>
        <v>0</v>
      </c>
      <c r="BA121" s="75">
        <f t="shared" si="3"/>
        <v>527</v>
      </c>
    </row>
    <row r="122" spans="1:53" s="67" customFormat="1" ht="59.25" customHeight="1">
      <c r="A122" s="18">
        <v>333</v>
      </c>
      <c r="B122" s="59">
        <v>116</v>
      </c>
      <c r="C122" s="76" t="s">
        <v>194</v>
      </c>
      <c r="D122" s="61">
        <v>923</v>
      </c>
      <c r="E122" s="61">
        <v>303</v>
      </c>
      <c r="F122" s="61">
        <v>293</v>
      </c>
      <c r="G122" s="55">
        <v>0</v>
      </c>
      <c r="H122" s="62">
        <f t="shared" si="2"/>
        <v>596</v>
      </c>
      <c r="I122" s="55">
        <v>584</v>
      </c>
      <c r="J122" s="29">
        <v>0</v>
      </c>
      <c r="K122" s="18">
        <v>1</v>
      </c>
      <c r="L122" s="63" t="s">
        <v>29</v>
      </c>
      <c r="M122" s="12">
        <f>+'Form20 '!B123</f>
        <v>227</v>
      </c>
      <c r="N122" s="18">
        <v>2</v>
      </c>
      <c r="O122" s="58" t="s">
        <v>24</v>
      </c>
      <c r="P122" s="12">
        <f>+'Form20 '!C123</f>
        <v>58</v>
      </c>
      <c r="Q122" s="18">
        <v>3</v>
      </c>
      <c r="R122" s="63" t="s">
        <v>28</v>
      </c>
      <c r="S122" s="12">
        <f>+'Form20 '!D123</f>
        <v>290</v>
      </c>
      <c r="T122" s="18">
        <v>4</v>
      </c>
      <c r="U122" s="64" t="s">
        <v>65</v>
      </c>
      <c r="V122" s="12">
        <f>+'Form20 '!E123</f>
        <v>2</v>
      </c>
      <c r="W122" s="18">
        <v>5</v>
      </c>
      <c r="X122" s="58" t="s">
        <v>66</v>
      </c>
      <c r="Y122" s="12">
        <f>+'Form20 '!F123</f>
        <v>0</v>
      </c>
      <c r="Z122" s="18">
        <v>6</v>
      </c>
      <c r="AA122" s="64" t="s">
        <v>67</v>
      </c>
      <c r="AB122" s="12">
        <f>+'Form20 '!G123</f>
        <v>0</v>
      </c>
      <c r="AC122" s="18">
        <v>7</v>
      </c>
      <c r="AD122" s="63" t="s">
        <v>68</v>
      </c>
      <c r="AE122" s="12">
        <f>+'Form20 '!H123</f>
        <v>0</v>
      </c>
      <c r="AF122" s="18">
        <v>8</v>
      </c>
      <c r="AG122" s="63" t="s">
        <v>69</v>
      </c>
      <c r="AH122" s="12">
        <f>+'Form20 '!I123</f>
        <v>1</v>
      </c>
      <c r="AI122" s="18">
        <v>9</v>
      </c>
      <c r="AJ122" s="65" t="s">
        <v>70</v>
      </c>
      <c r="AK122" s="12">
        <f>+'Form20 '!J123</f>
        <v>0</v>
      </c>
      <c r="AL122" s="18">
        <v>10</v>
      </c>
      <c r="AM122" s="66" t="s">
        <v>30</v>
      </c>
      <c r="AN122" s="12">
        <f>+'Form20 '!K123</f>
        <v>1</v>
      </c>
      <c r="AO122" s="18">
        <v>11</v>
      </c>
      <c r="AP122" s="66" t="s">
        <v>30</v>
      </c>
      <c r="AQ122" s="12">
        <f>+'Form20 '!L123</f>
        <v>2</v>
      </c>
      <c r="AR122" s="18">
        <v>12</v>
      </c>
      <c r="AS122" s="66" t="s">
        <v>30</v>
      </c>
      <c r="AT122" s="12">
        <f>+'Form20 '!M123</f>
        <v>2</v>
      </c>
      <c r="AU122" s="18">
        <v>13</v>
      </c>
      <c r="AV122" s="66" t="s">
        <v>30</v>
      </c>
      <c r="AW122" s="12">
        <f>+'Form20 '!N123</f>
        <v>5</v>
      </c>
      <c r="AX122" s="18">
        <v>14</v>
      </c>
      <c r="AY122" s="66" t="s">
        <v>30</v>
      </c>
      <c r="AZ122" s="12">
        <f>+'Form20 '!O123</f>
        <v>3</v>
      </c>
      <c r="BA122" s="75">
        <f t="shared" si="3"/>
        <v>591</v>
      </c>
    </row>
    <row r="123" spans="1:53" s="67" customFormat="1" ht="59.25" customHeight="1">
      <c r="A123" s="18">
        <v>333</v>
      </c>
      <c r="B123" s="59">
        <v>117</v>
      </c>
      <c r="C123" s="76" t="s">
        <v>195</v>
      </c>
      <c r="D123" s="61">
        <v>818</v>
      </c>
      <c r="E123" s="61">
        <v>211</v>
      </c>
      <c r="F123" s="61">
        <v>274</v>
      </c>
      <c r="G123" s="55">
        <v>0</v>
      </c>
      <c r="H123" s="62">
        <f t="shared" si="2"/>
        <v>485</v>
      </c>
      <c r="I123" s="55">
        <v>51</v>
      </c>
      <c r="J123" s="29">
        <v>0</v>
      </c>
      <c r="K123" s="18">
        <v>1</v>
      </c>
      <c r="L123" s="63" t="s">
        <v>29</v>
      </c>
      <c r="M123" s="12">
        <f>+'Form20 '!B124</f>
        <v>361</v>
      </c>
      <c r="N123" s="18">
        <v>2</v>
      </c>
      <c r="O123" s="58" t="s">
        <v>24</v>
      </c>
      <c r="P123" s="12">
        <f>+'Form20 '!C124</f>
        <v>36</v>
      </c>
      <c r="Q123" s="18">
        <v>3</v>
      </c>
      <c r="R123" s="63" t="s">
        <v>28</v>
      </c>
      <c r="S123" s="12">
        <f>+'Form20 '!D124</f>
        <v>68</v>
      </c>
      <c r="T123" s="18">
        <v>4</v>
      </c>
      <c r="U123" s="64" t="s">
        <v>65</v>
      </c>
      <c r="V123" s="12">
        <f>+'Form20 '!E124</f>
        <v>7</v>
      </c>
      <c r="W123" s="18">
        <v>5</v>
      </c>
      <c r="X123" s="58" t="s">
        <v>66</v>
      </c>
      <c r="Y123" s="12">
        <f>+'Form20 '!F124</f>
        <v>0</v>
      </c>
      <c r="Z123" s="18">
        <v>6</v>
      </c>
      <c r="AA123" s="64" t="s">
        <v>67</v>
      </c>
      <c r="AB123" s="12">
        <f>+'Form20 '!G124</f>
        <v>2</v>
      </c>
      <c r="AC123" s="18">
        <v>7</v>
      </c>
      <c r="AD123" s="63" t="s">
        <v>68</v>
      </c>
      <c r="AE123" s="12">
        <f>+'Form20 '!H124</f>
        <v>1</v>
      </c>
      <c r="AF123" s="18">
        <v>8</v>
      </c>
      <c r="AG123" s="63" t="s">
        <v>69</v>
      </c>
      <c r="AH123" s="12">
        <f>+'Form20 '!I124</f>
        <v>0</v>
      </c>
      <c r="AI123" s="18">
        <v>9</v>
      </c>
      <c r="AJ123" s="65" t="s">
        <v>70</v>
      </c>
      <c r="AK123" s="12">
        <f>+'Form20 '!J124</f>
        <v>0</v>
      </c>
      <c r="AL123" s="18">
        <v>10</v>
      </c>
      <c r="AM123" s="66" t="s">
        <v>30</v>
      </c>
      <c r="AN123" s="12">
        <f>+'Form20 '!K124</f>
        <v>1</v>
      </c>
      <c r="AO123" s="18">
        <v>11</v>
      </c>
      <c r="AP123" s="66" t="s">
        <v>30</v>
      </c>
      <c r="AQ123" s="12">
        <f>+'Form20 '!L124</f>
        <v>0</v>
      </c>
      <c r="AR123" s="18">
        <v>12</v>
      </c>
      <c r="AS123" s="66" t="s">
        <v>30</v>
      </c>
      <c r="AT123" s="12">
        <f>+'Form20 '!M124</f>
        <v>0</v>
      </c>
      <c r="AU123" s="18">
        <v>13</v>
      </c>
      <c r="AV123" s="66" t="s">
        <v>30</v>
      </c>
      <c r="AW123" s="12">
        <f>+'Form20 '!N124</f>
        <v>0</v>
      </c>
      <c r="AX123" s="18">
        <v>14</v>
      </c>
      <c r="AY123" s="66" t="s">
        <v>30</v>
      </c>
      <c r="AZ123" s="12">
        <f>+'Form20 '!O124</f>
        <v>1</v>
      </c>
      <c r="BA123" s="75">
        <f t="shared" si="3"/>
        <v>477</v>
      </c>
    </row>
    <row r="124" spans="1:53" s="67" customFormat="1" ht="59.25" customHeight="1">
      <c r="A124" s="18">
        <v>333</v>
      </c>
      <c r="B124" s="59">
        <v>118</v>
      </c>
      <c r="C124" s="76" t="s">
        <v>195</v>
      </c>
      <c r="D124" s="61">
        <v>1119</v>
      </c>
      <c r="E124" s="61">
        <v>293</v>
      </c>
      <c r="F124" s="61">
        <v>360</v>
      </c>
      <c r="G124" s="55">
        <v>0</v>
      </c>
      <c r="H124" s="62">
        <f t="shared" si="2"/>
        <v>653</v>
      </c>
      <c r="I124" s="55">
        <v>248</v>
      </c>
      <c r="J124" s="29">
        <v>0</v>
      </c>
      <c r="K124" s="18">
        <v>1</v>
      </c>
      <c r="L124" s="63" t="s">
        <v>29</v>
      </c>
      <c r="M124" s="12">
        <f>+'Form20 '!B125</f>
        <v>467</v>
      </c>
      <c r="N124" s="18">
        <v>2</v>
      </c>
      <c r="O124" s="58" t="s">
        <v>24</v>
      </c>
      <c r="P124" s="12">
        <f>+'Form20 '!C125</f>
        <v>24</v>
      </c>
      <c r="Q124" s="18">
        <v>3</v>
      </c>
      <c r="R124" s="63" t="s">
        <v>28</v>
      </c>
      <c r="S124" s="12">
        <f>+'Form20 '!D125</f>
        <v>138</v>
      </c>
      <c r="T124" s="18">
        <v>4</v>
      </c>
      <c r="U124" s="64" t="s">
        <v>65</v>
      </c>
      <c r="V124" s="12">
        <f>+'Form20 '!E125</f>
        <v>9</v>
      </c>
      <c r="W124" s="18">
        <v>5</v>
      </c>
      <c r="X124" s="58" t="s">
        <v>66</v>
      </c>
      <c r="Y124" s="12">
        <f>+'Form20 '!F125</f>
        <v>0</v>
      </c>
      <c r="Z124" s="18">
        <v>6</v>
      </c>
      <c r="AA124" s="64" t="s">
        <v>67</v>
      </c>
      <c r="AB124" s="12">
        <f>+'Form20 '!G125</f>
        <v>0</v>
      </c>
      <c r="AC124" s="18">
        <v>7</v>
      </c>
      <c r="AD124" s="63" t="s">
        <v>68</v>
      </c>
      <c r="AE124" s="12">
        <f>+'Form20 '!H125</f>
        <v>1</v>
      </c>
      <c r="AF124" s="18">
        <v>8</v>
      </c>
      <c r="AG124" s="63" t="s">
        <v>69</v>
      </c>
      <c r="AH124" s="12">
        <f>+'Form20 '!I125</f>
        <v>1</v>
      </c>
      <c r="AI124" s="18">
        <v>9</v>
      </c>
      <c r="AJ124" s="65" t="s">
        <v>70</v>
      </c>
      <c r="AK124" s="12">
        <f>+'Form20 '!J125</f>
        <v>0</v>
      </c>
      <c r="AL124" s="18">
        <v>10</v>
      </c>
      <c r="AM124" s="66" t="s">
        <v>30</v>
      </c>
      <c r="AN124" s="12">
        <f>+'Form20 '!K125</f>
        <v>1</v>
      </c>
      <c r="AO124" s="18">
        <v>11</v>
      </c>
      <c r="AP124" s="66" t="s">
        <v>30</v>
      </c>
      <c r="AQ124" s="12">
        <f>+'Form20 '!L125</f>
        <v>0</v>
      </c>
      <c r="AR124" s="18">
        <v>12</v>
      </c>
      <c r="AS124" s="66" t="s">
        <v>30</v>
      </c>
      <c r="AT124" s="12">
        <f>+'Form20 '!M125</f>
        <v>0</v>
      </c>
      <c r="AU124" s="18">
        <v>13</v>
      </c>
      <c r="AV124" s="66" t="s">
        <v>30</v>
      </c>
      <c r="AW124" s="12">
        <f>+'Form20 '!N125</f>
        <v>2</v>
      </c>
      <c r="AX124" s="18">
        <v>14</v>
      </c>
      <c r="AY124" s="66" t="s">
        <v>30</v>
      </c>
      <c r="AZ124" s="12">
        <f>+'Form20 '!O125</f>
        <v>2</v>
      </c>
      <c r="BA124" s="75">
        <f t="shared" si="3"/>
        <v>645</v>
      </c>
    </row>
    <row r="125" spans="1:53" s="67" customFormat="1" ht="59.25" customHeight="1">
      <c r="A125" s="18">
        <v>333</v>
      </c>
      <c r="B125" s="59">
        <v>119</v>
      </c>
      <c r="C125" s="76" t="s">
        <v>196</v>
      </c>
      <c r="D125" s="61">
        <v>1073</v>
      </c>
      <c r="E125" s="61">
        <v>250</v>
      </c>
      <c r="F125" s="61">
        <v>374</v>
      </c>
      <c r="G125" s="55">
        <v>0</v>
      </c>
      <c r="H125" s="62">
        <f t="shared" si="2"/>
        <v>624</v>
      </c>
      <c r="I125" s="55">
        <v>19</v>
      </c>
      <c r="J125" s="29">
        <v>0</v>
      </c>
      <c r="K125" s="18">
        <v>1</v>
      </c>
      <c r="L125" s="63" t="s">
        <v>29</v>
      </c>
      <c r="M125" s="12">
        <f>+'Form20 '!B126</f>
        <v>404</v>
      </c>
      <c r="N125" s="18">
        <v>2</v>
      </c>
      <c r="O125" s="58" t="s">
        <v>24</v>
      </c>
      <c r="P125" s="12">
        <f>+'Form20 '!C126</f>
        <v>91</v>
      </c>
      <c r="Q125" s="18">
        <v>3</v>
      </c>
      <c r="R125" s="63" t="s">
        <v>28</v>
      </c>
      <c r="S125" s="12">
        <f>+'Form20 '!D126</f>
        <v>95</v>
      </c>
      <c r="T125" s="18">
        <v>4</v>
      </c>
      <c r="U125" s="64" t="s">
        <v>65</v>
      </c>
      <c r="V125" s="12">
        <f>+'Form20 '!E126</f>
        <v>2</v>
      </c>
      <c r="W125" s="18">
        <v>5</v>
      </c>
      <c r="X125" s="58" t="s">
        <v>66</v>
      </c>
      <c r="Y125" s="12">
        <f>+'Form20 '!F126</f>
        <v>0</v>
      </c>
      <c r="Z125" s="18">
        <v>6</v>
      </c>
      <c r="AA125" s="64" t="s">
        <v>67</v>
      </c>
      <c r="AB125" s="12">
        <f>+'Form20 '!G126</f>
        <v>0</v>
      </c>
      <c r="AC125" s="18">
        <v>7</v>
      </c>
      <c r="AD125" s="63" t="s">
        <v>68</v>
      </c>
      <c r="AE125" s="12">
        <f>+'Form20 '!H126</f>
        <v>0</v>
      </c>
      <c r="AF125" s="18">
        <v>8</v>
      </c>
      <c r="AG125" s="63" t="s">
        <v>69</v>
      </c>
      <c r="AH125" s="12">
        <f>+'Form20 '!I126</f>
        <v>1</v>
      </c>
      <c r="AI125" s="18">
        <v>9</v>
      </c>
      <c r="AJ125" s="65" t="s">
        <v>70</v>
      </c>
      <c r="AK125" s="12">
        <f>+'Form20 '!J126</f>
        <v>8</v>
      </c>
      <c r="AL125" s="18">
        <v>10</v>
      </c>
      <c r="AM125" s="66" t="s">
        <v>30</v>
      </c>
      <c r="AN125" s="12">
        <f>+'Form20 '!K126</f>
        <v>3</v>
      </c>
      <c r="AO125" s="18">
        <v>11</v>
      </c>
      <c r="AP125" s="66" t="s">
        <v>30</v>
      </c>
      <c r="AQ125" s="12">
        <f>+'Form20 '!L126</f>
        <v>2</v>
      </c>
      <c r="AR125" s="18">
        <v>12</v>
      </c>
      <c r="AS125" s="66" t="s">
        <v>30</v>
      </c>
      <c r="AT125" s="12">
        <f>+'Form20 '!M126</f>
        <v>1</v>
      </c>
      <c r="AU125" s="18">
        <v>13</v>
      </c>
      <c r="AV125" s="66" t="s">
        <v>30</v>
      </c>
      <c r="AW125" s="12">
        <f>+'Form20 '!N126</f>
        <v>4</v>
      </c>
      <c r="AX125" s="18">
        <v>14</v>
      </c>
      <c r="AY125" s="66" t="s">
        <v>30</v>
      </c>
      <c r="AZ125" s="12">
        <f>+'Form20 '!O126</f>
        <v>3</v>
      </c>
      <c r="BA125" s="75">
        <f t="shared" si="3"/>
        <v>614</v>
      </c>
    </row>
    <row r="126" spans="1:53" s="67" customFormat="1" ht="59.25" customHeight="1">
      <c r="A126" s="18">
        <v>333</v>
      </c>
      <c r="B126" s="59">
        <v>120</v>
      </c>
      <c r="C126" s="76" t="s">
        <v>197</v>
      </c>
      <c r="D126" s="61">
        <v>799</v>
      </c>
      <c r="E126" s="61">
        <v>254</v>
      </c>
      <c r="F126" s="61">
        <v>258</v>
      </c>
      <c r="G126" s="55">
        <v>0</v>
      </c>
      <c r="H126" s="62">
        <f t="shared" si="2"/>
        <v>512</v>
      </c>
      <c r="I126" s="55">
        <v>98</v>
      </c>
      <c r="J126" s="29">
        <v>0</v>
      </c>
      <c r="K126" s="18">
        <v>1</v>
      </c>
      <c r="L126" s="63" t="s">
        <v>29</v>
      </c>
      <c r="M126" s="12">
        <f>+'Form20 '!B127</f>
        <v>285</v>
      </c>
      <c r="N126" s="18">
        <v>2</v>
      </c>
      <c r="O126" s="58" t="s">
        <v>24</v>
      </c>
      <c r="P126" s="12">
        <f>+'Form20 '!C127</f>
        <v>20</v>
      </c>
      <c r="Q126" s="18">
        <v>3</v>
      </c>
      <c r="R126" s="63" t="s">
        <v>28</v>
      </c>
      <c r="S126" s="12">
        <f>+'Form20 '!D127</f>
        <v>188</v>
      </c>
      <c r="T126" s="18">
        <v>4</v>
      </c>
      <c r="U126" s="64" t="s">
        <v>65</v>
      </c>
      <c r="V126" s="12">
        <f>+'Form20 '!E127</f>
        <v>4</v>
      </c>
      <c r="W126" s="18">
        <v>5</v>
      </c>
      <c r="X126" s="58" t="s">
        <v>66</v>
      </c>
      <c r="Y126" s="12">
        <f>+'Form20 '!F127</f>
        <v>0</v>
      </c>
      <c r="Z126" s="18">
        <v>6</v>
      </c>
      <c r="AA126" s="64" t="s">
        <v>67</v>
      </c>
      <c r="AB126" s="12">
        <f>+'Form20 '!G127</f>
        <v>0</v>
      </c>
      <c r="AC126" s="18">
        <v>7</v>
      </c>
      <c r="AD126" s="63" t="s">
        <v>68</v>
      </c>
      <c r="AE126" s="12">
        <f>+'Form20 '!H127</f>
        <v>0</v>
      </c>
      <c r="AF126" s="18">
        <v>8</v>
      </c>
      <c r="AG126" s="63" t="s">
        <v>69</v>
      </c>
      <c r="AH126" s="12">
        <f>+'Form20 '!I127</f>
        <v>4</v>
      </c>
      <c r="AI126" s="18">
        <v>9</v>
      </c>
      <c r="AJ126" s="65" t="s">
        <v>70</v>
      </c>
      <c r="AK126" s="12">
        <f>+'Form20 '!J127</f>
        <v>0</v>
      </c>
      <c r="AL126" s="18">
        <v>10</v>
      </c>
      <c r="AM126" s="66" t="s">
        <v>30</v>
      </c>
      <c r="AN126" s="12">
        <f>+'Form20 '!K127</f>
        <v>0</v>
      </c>
      <c r="AO126" s="18">
        <v>11</v>
      </c>
      <c r="AP126" s="66" t="s">
        <v>30</v>
      </c>
      <c r="AQ126" s="12">
        <f>+'Form20 '!L127</f>
        <v>1</v>
      </c>
      <c r="AR126" s="18">
        <v>12</v>
      </c>
      <c r="AS126" s="66" t="s">
        <v>30</v>
      </c>
      <c r="AT126" s="12">
        <f>+'Form20 '!M127</f>
        <v>1</v>
      </c>
      <c r="AU126" s="18">
        <v>13</v>
      </c>
      <c r="AV126" s="66" t="s">
        <v>30</v>
      </c>
      <c r="AW126" s="12">
        <f>+'Form20 '!N127</f>
        <v>3</v>
      </c>
      <c r="AX126" s="18">
        <v>14</v>
      </c>
      <c r="AY126" s="66" t="s">
        <v>30</v>
      </c>
      <c r="AZ126" s="12">
        <f>+'Form20 '!O127</f>
        <v>1</v>
      </c>
      <c r="BA126" s="75">
        <f t="shared" si="3"/>
        <v>507</v>
      </c>
    </row>
    <row r="127" spans="1:53" s="67" customFormat="1" ht="59.25" customHeight="1">
      <c r="A127" s="18">
        <v>333</v>
      </c>
      <c r="B127" s="59">
        <v>121</v>
      </c>
      <c r="C127" s="76" t="s">
        <v>198</v>
      </c>
      <c r="D127" s="61">
        <v>713</v>
      </c>
      <c r="E127" s="61">
        <v>189</v>
      </c>
      <c r="F127" s="61">
        <v>240</v>
      </c>
      <c r="G127" s="55">
        <v>0</v>
      </c>
      <c r="H127" s="62">
        <f t="shared" si="2"/>
        <v>429</v>
      </c>
      <c r="I127" s="55">
        <v>17</v>
      </c>
      <c r="J127" s="29">
        <v>0</v>
      </c>
      <c r="K127" s="18">
        <v>1</v>
      </c>
      <c r="L127" s="63" t="s">
        <v>29</v>
      </c>
      <c r="M127" s="12">
        <f>+'Form20 '!B128</f>
        <v>125</v>
      </c>
      <c r="N127" s="18">
        <v>2</v>
      </c>
      <c r="O127" s="58" t="s">
        <v>24</v>
      </c>
      <c r="P127" s="12">
        <f>+'Form20 '!C128</f>
        <v>66</v>
      </c>
      <c r="Q127" s="18">
        <v>3</v>
      </c>
      <c r="R127" s="63" t="s">
        <v>28</v>
      </c>
      <c r="S127" s="12">
        <f>+'Form20 '!D128</f>
        <v>225</v>
      </c>
      <c r="T127" s="18">
        <v>4</v>
      </c>
      <c r="U127" s="64" t="s">
        <v>65</v>
      </c>
      <c r="V127" s="12">
        <f>+'Form20 '!E128</f>
        <v>3</v>
      </c>
      <c r="W127" s="18">
        <v>5</v>
      </c>
      <c r="X127" s="58" t="s">
        <v>66</v>
      </c>
      <c r="Y127" s="12">
        <f>+'Form20 '!F128</f>
        <v>0</v>
      </c>
      <c r="Z127" s="18">
        <v>6</v>
      </c>
      <c r="AA127" s="64" t="s">
        <v>67</v>
      </c>
      <c r="AB127" s="12">
        <f>+'Form20 '!G128</f>
        <v>0</v>
      </c>
      <c r="AC127" s="18">
        <v>7</v>
      </c>
      <c r="AD127" s="63" t="s">
        <v>68</v>
      </c>
      <c r="AE127" s="12">
        <f>+'Form20 '!H128</f>
        <v>0</v>
      </c>
      <c r="AF127" s="18">
        <v>8</v>
      </c>
      <c r="AG127" s="63" t="s">
        <v>69</v>
      </c>
      <c r="AH127" s="12">
        <f>+'Form20 '!I128</f>
        <v>0</v>
      </c>
      <c r="AI127" s="18">
        <v>9</v>
      </c>
      <c r="AJ127" s="65" t="s">
        <v>70</v>
      </c>
      <c r="AK127" s="12">
        <f>+'Form20 '!J128</f>
        <v>3</v>
      </c>
      <c r="AL127" s="18">
        <v>10</v>
      </c>
      <c r="AM127" s="66" t="s">
        <v>30</v>
      </c>
      <c r="AN127" s="12">
        <f>+'Form20 '!K128</f>
        <v>0</v>
      </c>
      <c r="AO127" s="18">
        <v>11</v>
      </c>
      <c r="AP127" s="66" t="s">
        <v>30</v>
      </c>
      <c r="AQ127" s="12">
        <f>+'Form20 '!L128</f>
        <v>0</v>
      </c>
      <c r="AR127" s="18">
        <v>12</v>
      </c>
      <c r="AS127" s="66" t="s">
        <v>30</v>
      </c>
      <c r="AT127" s="12">
        <f>+'Form20 '!M128</f>
        <v>2</v>
      </c>
      <c r="AU127" s="18">
        <v>13</v>
      </c>
      <c r="AV127" s="66" t="s">
        <v>30</v>
      </c>
      <c r="AW127" s="12">
        <f>+'Form20 '!N128</f>
        <v>2</v>
      </c>
      <c r="AX127" s="18">
        <v>14</v>
      </c>
      <c r="AY127" s="66" t="s">
        <v>30</v>
      </c>
      <c r="AZ127" s="12">
        <f>+'Form20 '!O128</f>
        <v>0</v>
      </c>
      <c r="BA127" s="75">
        <f t="shared" si="3"/>
        <v>426</v>
      </c>
    </row>
    <row r="128" spans="1:53" s="67" customFormat="1" ht="59.25" customHeight="1">
      <c r="A128" s="18">
        <v>333</v>
      </c>
      <c r="B128" s="59">
        <v>122</v>
      </c>
      <c r="C128" s="76" t="s">
        <v>199</v>
      </c>
      <c r="D128" s="61">
        <v>727</v>
      </c>
      <c r="E128" s="61">
        <v>155</v>
      </c>
      <c r="F128" s="61">
        <v>242</v>
      </c>
      <c r="G128" s="55">
        <v>0</v>
      </c>
      <c r="H128" s="62">
        <f t="shared" si="2"/>
        <v>397</v>
      </c>
      <c r="I128" s="55">
        <v>25</v>
      </c>
      <c r="J128" s="29">
        <v>0</v>
      </c>
      <c r="K128" s="18">
        <v>1</v>
      </c>
      <c r="L128" s="63" t="s">
        <v>29</v>
      </c>
      <c r="M128" s="12">
        <f>+'Form20 '!B129</f>
        <v>176</v>
      </c>
      <c r="N128" s="18">
        <v>2</v>
      </c>
      <c r="O128" s="58" t="s">
        <v>24</v>
      </c>
      <c r="P128" s="12">
        <f>+'Form20 '!C129</f>
        <v>114</v>
      </c>
      <c r="Q128" s="18">
        <v>3</v>
      </c>
      <c r="R128" s="63" t="s">
        <v>28</v>
      </c>
      <c r="S128" s="12">
        <f>+'Form20 '!D129</f>
        <v>87</v>
      </c>
      <c r="T128" s="18">
        <v>4</v>
      </c>
      <c r="U128" s="64" t="s">
        <v>65</v>
      </c>
      <c r="V128" s="12">
        <f>+'Form20 '!E129</f>
        <v>4</v>
      </c>
      <c r="W128" s="18">
        <v>5</v>
      </c>
      <c r="X128" s="58" t="s">
        <v>66</v>
      </c>
      <c r="Y128" s="12">
        <f>+'Form20 '!F129</f>
        <v>0</v>
      </c>
      <c r="Z128" s="18">
        <v>6</v>
      </c>
      <c r="AA128" s="64" t="s">
        <v>67</v>
      </c>
      <c r="AB128" s="12">
        <f>+'Form20 '!G129</f>
        <v>0</v>
      </c>
      <c r="AC128" s="18">
        <v>7</v>
      </c>
      <c r="AD128" s="63" t="s">
        <v>68</v>
      </c>
      <c r="AE128" s="12">
        <f>+'Form20 '!H129</f>
        <v>2</v>
      </c>
      <c r="AF128" s="18">
        <v>8</v>
      </c>
      <c r="AG128" s="63" t="s">
        <v>69</v>
      </c>
      <c r="AH128" s="12">
        <f>+'Form20 '!I129</f>
        <v>0</v>
      </c>
      <c r="AI128" s="18">
        <v>9</v>
      </c>
      <c r="AJ128" s="65" t="s">
        <v>70</v>
      </c>
      <c r="AK128" s="12">
        <f>+'Form20 '!J129</f>
        <v>3</v>
      </c>
      <c r="AL128" s="18">
        <v>10</v>
      </c>
      <c r="AM128" s="66" t="s">
        <v>30</v>
      </c>
      <c r="AN128" s="12">
        <f>+'Form20 '!K129</f>
        <v>1</v>
      </c>
      <c r="AO128" s="18">
        <v>11</v>
      </c>
      <c r="AP128" s="66" t="s">
        <v>30</v>
      </c>
      <c r="AQ128" s="12">
        <f>+'Form20 '!L129</f>
        <v>2</v>
      </c>
      <c r="AR128" s="18">
        <v>12</v>
      </c>
      <c r="AS128" s="66" t="s">
        <v>30</v>
      </c>
      <c r="AT128" s="12">
        <f>+'Form20 '!M129</f>
        <v>0</v>
      </c>
      <c r="AU128" s="18">
        <v>13</v>
      </c>
      <c r="AV128" s="66" t="s">
        <v>30</v>
      </c>
      <c r="AW128" s="12">
        <f>+'Form20 '!N129</f>
        <v>1</v>
      </c>
      <c r="AX128" s="18">
        <v>14</v>
      </c>
      <c r="AY128" s="66" t="s">
        <v>30</v>
      </c>
      <c r="AZ128" s="12">
        <f>+'Form20 '!O129</f>
        <v>5</v>
      </c>
      <c r="BA128" s="75">
        <f t="shared" si="3"/>
        <v>395</v>
      </c>
    </row>
    <row r="129" spans="1:53" s="67" customFormat="1" ht="59.25" customHeight="1">
      <c r="A129" s="18">
        <v>333</v>
      </c>
      <c r="B129" s="59">
        <v>123</v>
      </c>
      <c r="C129" s="76" t="s">
        <v>200</v>
      </c>
      <c r="D129" s="61">
        <v>938</v>
      </c>
      <c r="E129" s="61">
        <v>249</v>
      </c>
      <c r="F129" s="61">
        <v>331</v>
      </c>
      <c r="G129" s="55">
        <v>0</v>
      </c>
      <c r="H129" s="62">
        <f t="shared" si="2"/>
        <v>580</v>
      </c>
      <c r="I129" s="55">
        <v>20</v>
      </c>
      <c r="J129" s="29">
        <v>0</v>
      </c>
      <c r="K129" s="18">
        <v>1</v>
      </c>
      <c r="L129" s="63" t="s">
        <v>29</v>
      </c>
      <c r="M129" s="12">
        <f>+'Form20 '!B130</f>
        <v>212</v>
      </c>
      <c r="N129" s="18">
        <v>2</v>
      </c>
      <c r="O129" s="58" t="s">
        <v>24</v>
      </c>
      <c r="P129" s="12">
        <f>+'Form20 '!C130</f>
        <v>10</v>
      </c>
      <c r="Q129" s="18">
        <v>3</v>
      </c>
      <c r="R129" s="63" t="s">
        <v>28</v>
      </c>
      <c r="S129" s="12">
        <f>+'Form20 '!D130</f>
        <v>290</v>
      </c>
      <c r="T129" s="18">
        <v>4</v>
      </c>
      <c r="U129" s="64" t="s">
        <v>65</v>
      </c>
      <c r="V129" s="12">
        <f>+'Form20 '!E130</f>
        <v>1</v>
      </c>
      <c r="W129" s="18">
        <v>5</v>
      </c>
      <c r="X129" s="58" t="s">
        <v>66</v>
      </c>
      <c r="Y129" s="12">
        <f>+'Form20 '!F130</f>
        <v>2</v>
      </c>
      <c r="Z129" s="18">
        <v>6</v>
      </c>
      <c r="AA129" s="64" t="s">
        <v>67</v>
      </c>
      <c r="AB129" s="12">
        <f>+'Form20 '!G130</f>
        <v>0</v>
      </c>
      <c r="AC129" s="18">
        <v>7</v>
      </c>
      <c r="AD129" s="63" t="s">
        <v>68</v>
      </c>
      <c r="AE129" s="12">
        <f>+'Form20 '!H130</f>
        <v>0</v>
      </c>
      <c r="AF129" s="18">
        <v>8</v>
      </c>
      <c r="AG129" s="63" t="s">
        <v>69</v>
      </c>
      <c r="AH129" s="12">
        <f>+'Form20 '!I130</f>
        <v>3</v>
      </c>
      <c r="AI129" s="18">
        <v>9</v>
      </c>
      <c r="AJ129" s="65" t="s">
        <v>70</v>
      </c>
      <c r="AK129" s="12">
        <f>+'Form20 '!J130</f>
        <v>48</v>
      </c>
      <c r="AL129" s="18">
        <v>10</v>
      </c>
      <c r="AM129" s="66" t="s">
        <v>30</v>
      </c>
      <c r="AN129" s="12">
        <f>+'Form20 '!K130</f>
        <v>2</v>
      </c>
      <c r="AO129" s="18">
        <v>11</v>
      </c>
      <c r="AP129" s="66" t="s">
        <v>30</v>
      </c>
      <c r="AQ129" s="12">
        <f>+'Form20 '!L130</f>
        <v>2</v>
      </c>
      <c r="AR129" s="18">
        <v>12</v>
      </c>
      <c r="AS129" s="66" t="s">
        <v>30</v>
      </c>
      <c r="AT129" s="12">
        <f>+'Form20 '!M130</f>
        <v>2</v>
      </c>
      <c r="AU129" s="18">
        <v>13</v>
      </c>
      <c r="AV129" s="66" t="s">
        <v>30</v>
      </c>
      <c r="AW129" s="12">
        <f>+'Form20 '!N130</f>
        <v>2</v>
      </c>
      <c r="AX129" s="18">
        <v>14</v>
      </c>
      <c r="AY129" s="66" t="s">
        <v>30</v>
      </c>
      <c r="AZ129" s="12">
        <f>+'Form20 '!O130</f>
        <v>2</v>
      </c>
      <c r="BA129" s="75">
        <f t="shared" si="3"/>
        <v>576</v>
      </c>
    </row>
    <row r="130" spans="1:53" s="67" customFormat="1" ht="59.25" customHeight="1">
      <c r="A130" s="18">
        <v>333</v>
      </c>
      <c r="B130" s="59">
        <v>124</v>
      </c>
      <c r="C130" s="76" t="s">
        <v>201</v>
      </c>
      <c r="D130" s="61">
        <v>1070</v>
      </c>
      <c r="E130" s="61">
        <v>307</v>
      </c>
      <c r="F130" s="61">
        <v>364</v>
      </c>
      <c r="G130" s="55">
        <v>0</v>
      </c>
      <c r="H130" s="62">
        <f t="shared" si="2"/>
        <v>671</v>
      </c>
      <c r="I130" s="55">
        <v>61</v>
      </c>
      <c r="J130" s="29">
        <v>0</v>
      </c>
      <c r="K130" s="18">
        <v>1</v>
      </c>
      <c r="L130" s="63" t="s">
        <v>29</v>
      </c>
      <c r="M130" s="12">
        <f>+'Form20 '!B131</f>
        <v>265</v>
      </c>
      <c r="N130" s="18">
        <v>2</v>
      </c>
      <c r="O130" s="58" t="s">
        <v>24</v>
      </c>
      <c r="P130" s="12">
        <f>+'Form20 '!C131</f>
        <v>23</v>
      </c>
      <c r="Q130" s="18">
        <v>3</v>
      </c>
      <c r="R130" s="63" t="s">
        <v>28</v>
      </c>
      <c r="S130" s="12">
        <f>+'Form20 '!D131</f>
        <v>352</v>
      </c>
      <c r="T130" s="18">
        <v>4</v>
      </c>
      <c r="U130" s="64" t="s">
        <v>65</v>
      </c>
      <c r="V130" s="12">
        <f>+'Form20 '!E131</f>
        <v>2</v>
      </c>
      <c r="W130" s="18">
        <v>5</v>
      </c>
      <c r="X130" s="58" t="s">
        <v>66</v>
      </c>
      <c r="Y130" s="12">
        <f>+'Form20 '!F131</f>
        <v>2</v>
      </c>
      <c r="Z130" s="18">
        <v>6</v>
      </c>
      <c r="AA130" s="64" t="s">
        <v>67</v>
      </c>
      <c r="AB130" s="12">
        <f>+'Form20 '!G131</f>
        <v>2</v>
      </c>
      <c r="AC130" s="18">
        <v>7</v>
      </c>
      <c r="AD130" s="63" t="s">
        <v>68</v>
      </c>
      <c r="AE130" s="12">
        <f>+'Form20 '!H131</f>
        <v>0</v>
      </c>
      <c r="AF130" s="18">
        <v>8</v>
      </c>
      <c r="AG130" s="63" t="s">
        <v>69</v>
      </c>
      <c r="AH130" s="12">
        <f>+'Form20 '!I131</f>
        <v>0</v>
      </c>
      <c r="AI130" s="18">
        <v>9</v>
      </c>
      <c r="AJ130" s="65" t="s">
        <v>70</v>
      </c>
      <c r="AK130" s="12">
        <f>+'Form20 '!J131</f>
        <v>14</v>
      </c>
      <c r="AL130" s="18">
        <v>10</v>
      </c>
      <c r="AM130" s="66" t="s">
        <v>30</v>
      </c>
      <c r="AN130" s="12">
        <f>+'Form20 '!K131</f>
        <v>0</v>
      </c>
      <c r="AO130" s="18">
        <v>11</v>
      </c>
      <c r="AP130" s="66" t="s">
        <v>30</v>
      </c>
      <c r="AQ130" s="12">
        <f>+'Form20 '!L131</f>
        <v>0</v>
      </c>
      <c r="AR130" s="18">
        <v>12</v>
      </c>
      <c r="AS130" s="66" t="s">
        <v>30</v>
      </c>
      <c r="AT130" s="12">
        <f>+'Form20 '!M131</f>
        <v>2</v>
      </c>
      <c r="AU130" s="18">
        <v>13</v>
      </c>
      <c r="AV130" s="66" t="s">
        <v>30</v>
      </c>
      <c r="AW130" s="12">
        <f>+'Form20 '!N131</f>
        <v>1</v>
      </c>
      <c r="AX130" s="18">
        <v>14</v>
      </c>
      <c r="AY130" s="66" t="s">
        <v>30</v>
      </c>
      <c r="AZ130" s="12">
        <f>+'Form20 '!O131</f>
        <v>0</v>
      </c>
      <c r="BA130" s="75">
        <f t="shared" si="3"/>
        <v>663</v>
      </c>
    </row>
    <row r="131" spans="1:53" s="67" customFormat="1" ht="59.25" customHeight="1">
      <c r="A131" s="18">
        <v>333</v>
      </c>
      <c r="B131" s="59">
        <v>125</v>
      </c>
      <c r="C131" s="76" t="s">
        <v>202</v>
      </c>
      <c r="D131" s="61">
        <v>908</v>
      </c>
      <c r="E131" s="61">
        <v>274</v>
      </c>
      <c r="F131" s="61">
        <v>289</v>
      </c>
      <c r="G131" s="55">
        <v>0</v>
      </c>
      <c r="H131" s="62">
        <f t="shared" si="2"/>
        <v>563</v>
      </c>
      <c r="I131" s="55">
        <v>29</v>
      </c>
      <c r="J131" s="29">
        <v>0</v>
      </c>
      <c r="K131" s="18">
        <v>1</v>
      </c>
      <c r="L131" s="63" t="s">
        <v>29</v>
      </c>
      <c r="M131" s="12">
        <f>+'Form20 '!B132</f>
        <v>315</v>
      </c>
      <c r="N131" s="18">
        <v>2</v>
      </c>
      <c r="O131" s="58" t="s">
        <v>24</v>
      </c>
      <c r="P131" s="12">
        <f>+'Form20 '!C132</f>
        <v>15</v>
      </c>
      <c r="Q131" s="18">
        <v>3</v>
      </c>
      <c r="R131" s="63" t="s">
        <v>28</v>
      </c>
      <c r="S131" s="12">
        <f>+'Form20 '!D132</f>
        <v>212</v>
      </c>
      <c r="T131" s="18">
        <v>4</v>
      </c>
      <c r="U131" s="64" t="s">
        <v>65</v>
      </c>
      <c r="V131" s="12">
        <f>+'Form20 '!E132</f>
        <v>1</v>
      </c>
      <c r="W131" s="18">
        <v>5</v>
      </c>
      <c r="X131" s="58" t="s">
        <v>66</v>
      </c>
      <c r="Y131" s="12">
        <f>+'Form20 '!F132</f>
        <v>0</v>
      </c>
      <c r="Z131" s="18">
        <v>6</v>
      </c>
      <c r="AA131" s="64" t="s">
        <v>67</v>
      </c>
      <c r="AB131" s="12">
        <f>+'Form20 '!G132</f>
        <v>0</v>
      </c>
      <c r="AC131" s="18">
        <v>7</v>
      </c>
      <c r="AD131" s="63" t="s">
        <v>68</v>
      </c>
      <c r="AE131" s="12">
        <f>+'Form20 '!H132</f>
        <v>0</v>
      </c>
      <c r="AF131" s="18">
        <v>8</v>
      </c>
      <c r="AG131" s="63" t="s">
        <v>69</v>
      </c>
      <c r="AH131" s="12">
        <f>+'Form20 '!I132</f>
        <v>1</v>
      </c>
      <c r="AI131" s="18">
        <v>9</v>
      </c>
      <c r="AJ131" s="65" t="s">
        <v>70</v>
      </c>
      <c r="AK131" s="12">
        <f>+'Form20 '!J132</f>
        <v>2</v>
      </c>
      <c r="AL131" s="18">
        <v>10</v>
      </c>
      <c r="AM131" s="66" t="s">
        <v>30</v>
      </c>
      <c r="AN131" s="12">
        <f>+'Form20 '!K132</f>
        <v>0</v>
      </c>
      <c r="AO131" s="18">
        <v>11</v>
      </c>
      <c r="AP131" s="66" t="s">
        <v>30</v>
      </c>
      <c r="AQ131" s="12">
        <f>+'Form20 '!L132</f>
        <v>1</v>
      </c>
      <c r="AR131" s="18">
        <v>12</v>
      </c>
      <c r="AS131" s="66" t="s">
        <v>30</v>
      </c>
      <c r="AT131" s="12">
        <f>+'Form20 '!M132</f>
        <v>4</v>
      </c>
      <c r="AU131" s="18">
        <v>13</v>
      </c>
      <c r="AV131" s="66" t="s">
        <v>30</v>
      </c>
      <c r="AW131" s="12">
        <f>+'Form20 '!N132</f>
        <v>2</v>
      </c>
      <c r="AX131" s="18">
        <v>14</v>
      </c>
      <c r="AY131" s="66" t="s">
        <v>30</v>
      </c>
      <c r="AZ131" s="12">
        <f>+'Form20 '!O132</f>
        <v>3</v>
      </c>
      <c r="BA131" s="75">
        <f t="shared" si="3"/>
        <v>556</v>
      </c>
    </row>
    <row r="132" spans="1:53" s="67" customFormat="1" ht="59.25" customHeight="1">
      <c r="A132" s="18">
        <v>333</v>
      </c>
      <c r="B132" s="59">
        <v>126</v>
      </c>
      <c r="C132" s="76" t="s">
        <v>203</v>
      </c>
      <c r="D132" s="61">
        <v>814</v>
      </c>
      <c r="E132" s="61">
        <v>233</v>
      </c>
      <c r="F132" s="61">
        <v>257</v>
      </c>
      <c r="G132" s="55">
        <v>0</v>
      </c>
      <c r="H132" s="62">
        <f t="shared" si="2"/>
        <v>490</v>
      </c>
      <c r="I132" s="55">
        <v>26</v>
      </c>
      <c r="J132" s="29">
        <v>0</v>
      </c>
      <c r="K132" s="18">
        <v>1</v>
      </c>
      <c r="L132" s="63" t="s">
        <v>29</v>
      </c>
      <c r="M132" s="12">
        <f>+'Form20 '!B133</f>
        <v>301</v>
      </c>
      <c r="N132" s="18">
        <v>2</v>
      </c>
      <c r="O132" s="58" t="s">
        <v>24</v>
      </c>
      <c r="P132" s="12">
        <f>+'Form20 '!C133</f>
        <v>58</v>
      </c>
      <c r="Q132" s="18">
        <v>3</v>
      </c>
      <c r="R132" s="63" t="s">
        <v>28</v>
      </c>
      <c r="S132" s="12">
        <f>+'Form20 '!D133</f>
        <v>113</v>
      </c>
      <c r="T132" s="18">
        <v>4</v>
      </c>
      <c r="U132" s="64" t="s">
        <v>65</v>
      </c>
      <c r="V132" s="12">
        <f>+'Form20 '!E133</f>
        <v>1</v>
      </c>
      <c r="W132" s="18">
        <v>5</v>
      </c>
      <c r="X132" s="58" t="s">
        <v>66</v>
      </c>
      <c r="Y132" s="12">
        <f>+'Form20 '!F133</f>
        <v>0</v>
      </c>
      <c r="Z132" s="18">
        <v>6</v>
      </c>
      <c r="AA132" s="64" t="s">
        <v>67</v>
      </c>
      <c r="AB132" s="12">
        <f>+'Form20 '!G133</f>
        <v>1</v>
      </c>
      <c r="AC132" s="18">
        <v>7</v>
      </c>
      <c r="AD132" s="63" t="s">
        <v>68</v>
      </c>
      <c r="AE132" s="12">
        <f>+'Form20 '!H133</f>
        <v>1</v>
      </c>
      <c r="AF132" s="18">
        <v>8</v>
      </c>
      <c r="AG132" s="63" t="s">
        <v>69</v>
      </c>
      <c r="AH132" s="12">
        <f>+'Form20 '!I133</f>
        <v>1</v>
      </c>
      <c r="AI132" s="18">
        <v>9</v>
      </c>
      <c r="AJ132" s="65" t="s">
        <v>70</v>
      </c>
      <c r="AK132" s="12">
        <f>+'Form20 '!J133</f>
        <v>2</v>
      </c>
      <c r="AL132" s="18">
        <v>10</v>
      </c>
      <c r="AM132" s="66" t="s">
        <v>30</v>
      </c>
      <c r="AN132" s="12">
        <f>+'Form20 '!K133</f>
        <v>0</v>
      </c>
      <c r="AO132" s="18">
        <v>11</v>
      </c>
      <c r="AP132" s="66" t="s">
        <v>30</v>
      </c>
      <c r="AQ132" s="12">
        <f>+'Form20 '!L133</f>
        <v>0</v>
      </c>
      <c r="AR132" s="18">
        <v>12</v>
      </c>
      <c r="AS132" s="66" t="s">
        <v>30</v>
      </c>
      <c r="AT132" s="12">
        <f>+'Form20 '!M133</f>
        <v>0</v>
      </c>
      <c r="AU132" s="18">
        <v>13</v>
      </c>
      <c r="AV132" s="66" t="s">
        <v>30</v>
      </c>
      <c r="AW132" s="12">
        <f>+'Form20 '!N133</f>
        <v>2</v>
      </c>
      <c r="AX132" s="18">
        <v>14</v>
      </c>
      <c r="AY132" s="66" t="s">
        <v>30</v>
      </c>
      <c r="AZ132" s="12">
        <f>+'Form20 '!O133</f>
        <v>3</v>
      </c>
      <c r="BA132" s="75">
        <f t="shared" si="3"/>
        <v>483</v>
      </c>
    </row>
    <row r="133" spans="1:53" s="67" customFormat="1" ht="59.25" customHeight="1">
      <c r="A133" s="18">
        <v>333</v>
      </c>
      <c r="B133" s="59">
        <v>127</v>
      </c>
      <c r="C133" s="76" t="s">
        <v>204</v>
      </c>
      <c r="D133" s="61">
        <v>942</v>
      </c>
      <c r="E133" s="61">
        <v>268</v>
      </c>
      <c r="F133" s="61">
        <v>291</v>
      </c>
      <c r="G133" s="55">
        <v>0</v>
      </c>
      <c r="H133" s="62">
        <f t="shared" si="2"/>
        <v>559</v>
      </c>
      <c r="I133" s="55">
        <v>26</v>
      </c>
      <c r="J133" s="29">
        <v>0</v>
      </c>
      <c r="K133" s="18">
        <v>1</v>
      </c>
      <c r="L133" s="63" t="s">
        <v>29</v>
      </c>
      <c r="M133" s="12">
        <f>+'Form20 '!B134</f>
        <v>204</v>
      </c>
      <c r="N133" s="18">
        <v>2</v>
      </c>
      <c r="O133" s="58" t="s">
        <v>24</v>
      </c>
      <c r="P133" s="12">
        <f>+'Form20 '!C134</f>
        <v>65</v>
      </c>
      <c r="Q133" s="18">
        <v>3</v>
      </c>
      <c r="R133" s="63" t="s">
        <v>28</v>
      </c>
      <c r="S133" s="12">
        <f>+'Form20 '!D134</f>
        <v>234</v>
      </c>
      <c r="T133" s="18">
        <v>4</v>
      </c>
      <c r="U133" s="64" t="s">
        <v>65</v>
      </c>
      <c r="V133" s="12">
        <f>+'Form20 '!E134</f>
        <v>1</v>
      </c>
      <c r="W133" s="18">
        <v>5</v>
      </c>
      <c r="X133" s="58" t="s">
        <v>66</v>
      </c>
      <c r="Y133" s="12">
        <f>+'Form20 '!F134</f>
        <v>0</v>
      </c>
      <c r="Z133" s="18">
        <v>6</v>
      </c>
      <c r="AA133" s="64" t="s">
        <v>67</v>
      </c>
      <c r="AB133" s="12">
        <f>+'Form20 '!G134</f>
        <v>0</v>
      </c>
      <c r="AC133" s="18">
        <v>7</v>
      </c>
      <c r="AD133" s="63" t="s">
        <v>68</v>
      </c>
      <c r="AE133" s="12">
        <f>+'Form20 '!H134</f>
        <v>1</v>
      </c>
      <c r="AF133" s="18">
        <v>8</v>
      </c>
      <c r="AG133" s="63" t="s">
        <v>69</v>
      </c>
      <c r="AH133" s="12">
        <f>+'Form20 '!I134</f>
        <v>1</v>
      </c>
      <c r="AI133" s="18">
        <v>9</v>
      </c>
      <c r="AJ133" s="65" t="s">
        <v>70</v>
      </c>
      <c r="AK133" s="12">
        <f>+'Form20 '!J134</f>
        <v>44</v>
      </c>
      <c r="AL133" s="18">
        <v>10</v>
      </c>
      <c r="AM133" s="66" t="s">
        <v>30</v>
      </c>
      <c r="AN133" s="12">
        <f>+'Form20 '!K134</f>
        <v>0</v>
      </c>
      <c r="AO133" s="18">
        <v>11</v>
      </c>
      <c r="AP133" s="66" t="s">
        <v>30</v>
      </c>
      <c r="AQ133" s="12">
        <f>+'Form20 '!L134</f>
        <v>2</v>
      </c>
      <c r="AR133" s="18">
        <v>12</v>
      </c>
      <c r="AS133" s="66" t="s">
        <v>30</v>
      </c>
      <c r="AT133" s="12">
        <f>+'Form20 '!M134</f>
        <v>1</v>
      </c>
      <c r="AU133" s="18">
        <v>13</v>
      </c>
      <c r="AV133" s="66" t="s">
        <v>30</v>
      </c>
      <c r="AW133" s="12">
        <f>+'Form20 '!N134</f>
        <v>0</v>
      </c>
      <c r="AX133" s="18">
        <v>14</v>
      </c>
      <c r="AY133" s="66" t="s">
        <v>30</v>
      </c>
      <c r="AZ133" s="12">
        <f>+'Form20 '!O134</f>
        <v>2</v>
      </c>
      <c r="BA133" s="75">
        <f t="shared" si="3"/>
        <v>555</v>
      </c>
    </row>
    <row r="134" spans="1:53" s="67" customFormat="1" ht="59.25" customHeight="1">
      <c r="A134" s="18">
        <v>333</v>
      </c>
      <c r="B134" s="59">
        <v>128</v>
      </c>
      <c r="C134" s="76" t="s">
        <v>205</v>
      </c>
      <c r="D134" s="61">
        <v>733</v>
      </c>
      <c r="E134" s="61">
        <v>199</v>
      </c>
      <c r="F134" s="61">
        <v>217</v>
      </c>
      <c r="G134" s="55">
        <v>0</v>
      </c>
      <c r="H134" s="62">
        <f t="shared" si="2"/>
        <v>416</v>
      </c>
      <c r="I134" s="55">
        <v>36</v>
      </c>
      <c r="J134" s="29">
        <v>0</v>
      </c>
      <c r="K134" s="18">
        <v>1</v>
      </c>
      <c r="L134" s="63" t="s">
        <v>29</v>
      </c>
      <c r="M134" s="12">
        <f>+'Form20 '!B135</f>
        <v>131</v>
      </c>
      <c r="N134" s="18">
        <v>2</v>
      </c>
      <c r="O134" s="58" t="s">
        <v>24</v>
      </c>
      <c r="P134" s="12">
        <f>+'Form20 '!C135</f>
        <v>56</v>
      </c>
      <c r="Q134" s="18">
        <v>3</v>
      </c>
      <c r="R134" s="63" t="s">
        <v>28</v>
      </c>
      <c r="S134" s="12">
        <f>+'Form20 '!D135</f>
        <v>171</v>
      </c>
      <c r="T134" s="18">
        <v>4</v>
      </c>
      <c r="U134" s="64" t="s">
        <v>65</v>
      </c>
      <c r="V134" s="12">
        <f>+'Form20 '!E135</f>
        <v>3</v>
      </c>
      <c r="W134" s="18">
        <v>5</v>
      </c>
      <c r="X134" s="58" t="s">
        <v>66</v>
      </c>
      <c r="Y134" s="12">
        <f>+'Form20 '!F135</f>
        <v>0</v>
      </c>
      <c r="Z134" s="18">
        <v>6</v>
      </c>
      <c r="AA134" s="64" t="s">
        <v>67</v>
      </c>
      <c r="AB134" s="12">
        <f>+'Form20 '!G135</f>
        <v>0</v>
      </c>
      <c r="AC134" s="18">
        <v>7</v>
      </c>
      <c r="AD134" s="63" t="s">
        <v>68</v>
      </c>
      <c r="AE134" s="12">
        <f>+'Form20 '!H135</f>
        <v>1</v>
      </c>
      <c r="AF134" s="18">
        <v>8</v>
      </c>
      <c r="AG134" s="63" t="s">
        <v>69</v>
      </c>
      <c r="AH134" s="12">
        <f>+'Form20 '!I135</f>
        <v>0</v>
      </c>
      <c r="AI134" s="18">
        <v>9</v>
      </c>
      <c r="AJ134" s="65" t="s">
        <v>70</v>
      </c>
      <c r="AK134" s="12">
        <f>+'Form20 '!J135</f>
        <v>49</v>
      </c>
      <c r="AL134" s="18">
        <v>10</v>
      </c>
      <c r="AM134" s="66" t="s">
        <v>30</v>
      </c>
      <c r="AN134" s="12">
        <f>+'Form20 '!K135</f>
        <v>0</v>
      </c>
      <c r="AO134" s="18">
        <v>11</v>
      </c>
      <c r="AP134" s="66" t="s">
        <v>30</v>
      </c>
      <c r="AQ134" s="12">
        <f>+'Form20 '!L135</f>
        <v>0</v>
      </c>
      <c r="AR134" s="18">
        <v>12</v>
      </c>
      <c r="AS134" s="66" t="s">
        <v>30</v>
      </c>
      <c r="AT134" s="12">
        <f>+'Form20 '!M135</f>
        <v>2</v>
      </c>
      <c r="AU134" s="18">
        <v>13</v>
      </c>
      <c r="AV134" s="66" t="s">
        <v>30</v>
      </c>
      <c r="AW134" s="12">
        <f>+'Form20 '!N135</f>
        <v>1</v>
      </c>
      <c r="AX134" s="18">
        <v>14</v>
      </c>
      <c r="AY134" s="66" t="s">
        <v>30</v>
      </c>
      <c r="AZ134" s="12">
        <f>+'Form20 '!O135</f>
        <v>1</v>
      </c>
      <c r="BA134" s="75">
        <f t="shared" si="3"/>
        <v>415</v>
      </c>
    </row>
    <row r="135" spans="1:53" s="67" customFormat="1" ht="59.25" customHeight="1">
      <c r="A135" s="18">
        <v>333</v>
      </c>
      <c r="B135" s="59">
        <v>129</v>
      </c>
      <c r="C135" s="76" t="s">
        <v>206</v>
      </c>
      <c r="D135" s="61">
        <v>1061</v>
      </c>
      <c r="E135" s="61">
        <v>291</v>
      </c>
      <c r="F135" s="61">
        <v>294</v>
      </c>
      <c r="G135" s="55">
        <v>0</v>
      </c>
      <c r="H135" s="62">
        <f t="shared" si="2"/>
        <v>585</v>
      </c>
      <c r="I135" s="55">
        <v>65</v>
      </c>
      <c r="J135" s="29">
        <v>0</v>
      </c>
      <c r="K135" s="18">
        <v>1</v>
      </c>
      <c r="L135" s="63" t="s">
        <v>29</v>
      </c>
      <c r="M135" s="12">
        <f>+'Form20 '!B136</f>
        <v>345</v>
      </c>
      <c r="N135" s="18">
        <v>2</v>
      </c>
      <c r="O135" s="58" t="s">
        <v>24</v>
      </c>
      <c r="P135" s="12">
        <f>+'Form20 '!C136</f>
        <v>4</v>
      </c>
      <c r="Q135" s="18">
        <v>3</v>
      </c>
      <c r="R135" s="63" t="s">
        <v>28</v>
      </c>
      <c r="S135" s="12">
        <f>+'Form20 '!D136</f>
        <v>222</v>
      </c>
      <c r="T135" s="18">
        <v>4</v>
      </c>
      <c r="U135" s="64" t="s">
        <v>65</v>
      </c>
      <c r="V135" s="12">
        <f>+'Form20 '!E136</f>
        <v>3</v>
      </c>
      <c r="W135" s="18">
        <v>5</v>
      </c>
      <c r="X135" s="58" t="s">
        <v>66</v>
      </c>
      <c r="Y135" s="12">
        <f>+'Form20 '!F136</f>
        <v>0</v>
      </c>
      <c r="Z135" s="18">
        <v>6</v>
      </c>
      <c r="AA135" s="64" t="s">
        <v>67</v>
      </c>
      <c r="AB135" s="12">
        <f>+'Form20 '!G136</f>
        <v>1</v>
      </c>
      <c r="AC135" s="18">
        <v>7</v>
      </c>
      <c r="AD135" s="63" t="s">
        <v>68</v>
      </c>
      <c r="AE135" s="12">
        <f>+'Form20 '!H136</f>
        <v>0</v>
      </c>
      <c r="AF135" s="18">
        <v>8</v>
      </c>
      <c r="AG135" s="63" t="s">
        <v>69</v>
      </c>
      <c r="AH135" s="12">
        <f>+'Form20 '!I136</f>
        <v>0</v>
      </c>
      <c r="AI135" s="18">
        <v>9</v>
      </c>
      <c r="AJ135" s="65" t="s">
        <v>70</v>
      </c>
      <c r="AK135" s="12">
        <f>+'Form20 '!J136</f>
        <v>2</v>
      </c>
      <c r="AL135" s="18">
        <v>10</v>
      </c>
      <c r="AM135" s="66" t="s">
        <v>30</v>
      </c>
      <c r="AN135" s="12">
        <f>+'Form20 '!K136</f>
        <v>0</v>
      </c>
      <c r="AO135" s="18">
        <v>11</v>
      </c>
      <c r="AP135" s="66" t="s">
        <v>30</v>
      </c>
      <c r="AQ135" s="12">
        <f>+'Form20 '!L136</f>
        <v>1</v>
      </c>
      <c r="AR135" s="18">
        <v>12</v>
      </c>
      <c r="AS135" s="66" t="s">
        <v>30</v>
      </c>
      <c r="AT135" s="12">
        <f>+'Form20 '!M136</f>
        <v>0</v>
      </c>
      <c r="AU135" s="18">
        <v>13</v>
      </c>
      <c r="AV135" s="66" t="s">
        <v>30</v>
      </c>
      <c r="AW135" s="12">
        <f>+'Form20 '!N136</f>
        <v>0</v>
      </c>
      <c r="AX135" s="18">
        <v>14</v>
      </c>
      <c r="AY135" s="66" t="s">
        <v>30</v>
      </c>
      <c r="AZ135" s="12">
        <f>+'Form20 '!O136</f>
        <v>2</v>
      </c>
      <c r="BA135" s="75">
        <f t="shared" si="3"/>
        <v>580</v>
      </c>
    </row>
    <row r="136" spans="1:53" s="67" customFormat="1" ht="59.25" customHeight="1">
      <c r="A136" s="18">
        <v>333</v>
      </c>
      <c r="B136" s="59">
        <v>130</v>
      </c>
      <c r="C136" s="76" t="s">
        <v>207</v>
      </c>
      <c r="D136" s="61">
        <v>803</v>
      </c>
      <c r="E136" s="61">
        <v>225</v>
      </c>
      <c r="F136" s="61">
        <v>215</v>
      </c>
      <c r="G136" s="55">
        <v>0</v>
      </c>
      <c r="H136" s="62">
        <f t="shared" ref="H136:H199" si="4">E136+F136+G136</f>
        <v>440</v>
      </c>
      <c r="I136" s="55">
        <v>45</v>
      </c>
      <c r="J136" s="29">
        <v>0</v>
      </c>
      <c r="K136" s="18">
        <v>1</v>
      </c>
      <c r="L136" s="63" t="s">
        <v>29</v>
      </c>
      <c r="M136" s="12">
        <f>+'Form20 '!B137</f>
        <v>200</v>
      </c>
      <c r="N136" s="18">
        <v>2</v>
      </c>
      <c r="O136" s="58" t="s">
        <v>24</v>
      </c>
      <c r="P136" s="12">
        <f>+'Form20 '!C137</f>
        <v>27</v>
      </c>
      <c r="Q136" s="18">
        <v>3</v>
      </c>
      <c r="R136" s="63" t="s">
        <v>28</v>
      </c>
      <c r="S136" s="12">
        <f>+'Form20 '!D137</f>
        <v>191</v>
      </c>
      <c r="T136" s="18">
        <v>4</v>
      </c>
      <c r="U136" s="64" t="s">
        <v>65</v>
      </c>
      <c r="V136" s="12">
        <f>+'Form20 '!E137</f>
        <v>3</v>
      </c>
      <c r="W136" s="18">
        <v>5</v>
      </c>
      <c r="X136" s="58" t="s">
        <v>66</v>
      </c>
      <c r="Y136" s="12">
        <f>+'Form20 '!F137</f>
        <v>0</v>
      </c>
      <c r="Z136" s="18">
        <v>6</v>
      </c>
      <c r="AA136" s="64" t="s">
        <v>67</v>
      </c>
      <c r="AB136" s="12">
        <f>+'Form20 '!G137</f>
        <v>1</v>
      </c>
      <c r="AC136" s="18">
        <v>7</v>
      </c>
      <c r="AD136" s="63" t="s">
        <v>68</v>
      </c>
      <c r="AE136" s="12">
        <f>+'Form20 '!H137</f>
        <v>1</v>
      </c>
      <c r="AF136" s="18">
        <v>8</v>
      </c>
      <c r="AG136" s="63" t="s">
        <v>69</v>
      </c>
      <c r="AH136" s="12">
        <f>+'Form20 '!I137</f>
        <v>0</v>
      </c>
      <c r="AI136" s="18">
        <v>9</v>
      </c>
      <c r="AJ136" s="65" t="s">
        <v>70</v>
      </c>
      <c r="AK136" s="12">
        <f>+'Form20 '!J137</f>
        <v>12</v>
      </c>
      <c r="AL136" s="18">
        <v>10</v>
      </c>
      <c r="AM136" s="66" t="s">
        <v>30</v>
      </c>
      <c r="AN136" s="12">
        <f>+'Form20 '!K137</f>
        <v>0</v>
      </c>
      <c r="AO136" s="18">
        <v>11</v>
      </c>
      <c r="AP136" s="66" t="s">
        <v>30</v>
      </c>
      <c r="AQ136" s="12">
        <f>+'Form20 '!L137</f>
        <v>1</v>
      </c>
      <c r="AR136" s="18">
        <v>12</v>
      </c>
      <c r="AS136" s="66" t="s">
        <v>30</v>
      </c>
      <c r="AT136" s="12">
        <f>+'Form20 '!M137</f>
        <v>1</v>
      </c>
      <c r="AU136" s="18">
        <v>13</v>
      </c>
      <c r="AV136" s="66" t="s">
        <v>30</v>
      </c>
      <c r="AW136" s="12">
        <f>+'Form20 '!N137</f>
        <v>1</v>
      </c>
      <c r="AX136" s="18">
        <v>14</v>
      </c>
      <c r="AY136" s="66" t="s">
        <v>30</v>
      </c>
      <c r="AZ136" s="12">
        <f>+'Form20 '!O137</f>
        <v>1</v>
      </c>
      <c r="BA136" s="75">
        <f t="shared" ref="BA136:BA199" si="5">AZ136+AW136+AT136+AQ136+AN136+AK136+AH136+AE136+AB136+Y136+V136+S136+P136+M136</f>
        <v>439</v>
      </c>
    </row>
    <row r="137" spans="1:53" s="67" customFormat="1" ht="59.25" customHeight="1">
      <c r="A137" s="18">
        <v>333</v>
      </c>
      <c r="B137" s="59">
        <v>131</v>
      </c>
      <c r="C137" s="76" t="s">
        <v>208</v>
      </c>
      <c r="D137" s="61">
        <v>695</v>
      </c>
      <c r="E137" s="61">
        <v>178</v>
      </c>
      <c r="F137" s="61">
        <v>226</v>
      </c>
      <c r="G137" s="55">
        <v>0</v>
      </c>
      <c r="H137" s="62">
        <f t="shared" si="4"/>
        <v>404</v>
      </c>
      <c r="I137" s="55">
        <v>353</v>
      </c>
      <c r="J137" s="29">
        <v>0</v>
      </c>
      <c r="K137" s="18">
        <v>1</v>
      </c>
      <c r="L137" s="63" t="s">
        <v>29</v>
      </c>
      <c r="M137" s="12">
        <f>+'Form20 '!B138</f>
        <v>166</v>
      </c>
      <c r="N137" s="18">
        <v>2</v>
      </c>
      <c r="O137" s="58" t="s">
        <v>24</v>
      </c>
      <c r="P137" s="12">
        <f>+'Form20 '!C138</f>
        <v>129</v>
      </c>
      <c r="Q137" s="18">
        <v>3</v>
      </c>
      <c r="R137" s="63" t="s">
        <v>28</v>
      </c>
      <c r="S137" s="12">
        <f>+'Form20 '!D138</f>
        <v>102</v>
      </c>
      <c r="T137" s="18">
        <v>4</v>
      </c>
      <c r="U137" s="64" t="s">
        <v>65</v>
      </c>
      <c r="V137" s="12">
        <f>+'Form20 '!E138</f>
        <v>0</v>
      </c>
      <c r="W137" s="18">
        <v>5</v>
      </c>
      <c r="X137" s="58" t="s">
        <v>66</v>
      </c>
      <c r="Y137" s="12">
        <f>+'Form20 '!F138</f>
        <v>1</v>
      </c>
      <c r="Z137" s="18">
        <v>6</v>
      </c>
      <c r="AA137" s="64" t="s">
        <v>67</v>
      </c>
      <c r="AB137" s="12">
        <f>+'Form20 '!G138</f>
        <v>0</v>
      </c>
      <c r="AC137" s="18">
        <v>7</v>
      </c>
      <c r="AD137" s="63" t="s">
        <v>68</v>
      </c>
      <c r="AE137" s="12">
        <f>+'Form20 '!H138</f>
        <v>1</v>
      </c>
      <c r="AF137" s="18">
        <v>8</v>
      </c>
      <c r="AG137" s="63" t="s">
        <v>69</v>
      </c>
      <c r="AH137" s="12">
        <f>+'Form20 '!I138</f>
        <v>0</v>
      </c>
      <c r="AI137" s="18">
        <v>9</v>
      </c>
      <c r="AJ137" s="65" t="s">
        <v>70</v>
      </c>
      <c r="AK137" s="12">
        <f>+'Form20 '!J138</f>
        <v>2</v>
      </c>
      <c r="AL137" s="18">
        <v>10</v>
      </c>
      <c r="AM137" s="66" t="s">
        <v>30</v>
      </c>
      <c r="AN137" s="12">
        <f>+'Form20 '!K138</f>
        <v>0</v>
      </c>
      <c r="AO137" s="18">
        <v>11</v>
      </c>
      <c r="AP137" s="66" t="s">
        <v>30</v>
      </c>
      <c r="AQ137" s="12">
        <f>+'Form20 '!L138</f>
        <v>0</v>
      </c>
      <c r="AR137" s="18">
        <v>12</v>
      </c>
      <c r="AS137" s="66" t="s">
        <v>30</v>
      </c>
      <c r="AT137" s="12">
        <f>+'Form20 '!M138</f>
        <v>1</v>
      </c>
      <c r="AU137" s="18">
        <v>13</v>
      </c>
      <c r="AV137" s="66" t="s">
        <v>30</v>
      </c>
      <c r="AW137" s="12">
        <f>+'Form20 '!N138</f>
        <v>0</v>
      </c>
      <c r="AX137" s="18">
        <v>14</v>
      </c>
      <c r="AY137" s="66" t="s">
        <v>30</v>
      </c>
      <c r="AZ137" s="12">
        <f>+'Form20 '!O138</f>
        <v>2</v>
      </c>
      <c r="BA137" s="75">
        <f t="shared" si="5"/>
        <v>404</v>
      </c>
    </row>
    <row r="138" spans="1:53" s="67" customFormat="1" ht="59.25" customHeight="1">
      <c r="A138" s="18">
        <v>333</v>
      </c>
      <c r="B138" s="59">
        <v>132</v>
      </c>
      <c r="C138" s="76" t="s">
        <v>209</v>
      </c>
      <c r="D138" s="61">
        <v>1163</v>
      </c>
      <c r="E138" s="61">
        <v>356</v>
      </c>
      <c r="F138" s="61">
        <v>390</v>
      </c>
      <c r="G138" s="55">
        <v>0</v>
      </c>
      <c r="H138" s="62">
        <f t="shared" si="4"/>
        <v>746</v>
      </c>
      <c r="I138" s="55">
        <v>330</v>
      </c>
      <c r="J138" s="29">
        <v>0</v>
      </c>
      <c r="K138" s="18">
        <v>1</v>
      </c>
      <c r="L138" s="63" t="s">
        <v>29</v>
      </c>
      <c r="M138" s="12">
        <f>+'Form20 '!B139</f>
        <v>458</v>
      </c>
      <c r="N138" s="18">
        <v>2</v>
      </c>
      <c r="O138" s="58" t="s">
        <v>24</v>
      </c>
      <c r="P138" s="12">
        <f>+'Form20 '!C139</f>
        <v>31</v>
      </c>
      <c r="Q138" s="18">
        <v>3</v>
      </c>
      <c r="R138" s="63" t="s">
        <v>28</v>
      </c>
      <c r="S138" s="12">
        <f>+'Form20 '!D139</f>
        <v>245</v>
      </c>
      <c r="T138" s="18">
        <v>4</v>
      </c>
      <c r="U138" s="64" t="s">
        <v>65</v>
      </c>
      <c r="V138" s="12">
        <f>+'Form20 '!E139</f>
        <v>0</v>
      </c>
      <c r="W138" s="18">
        <v>5</v>
      </c>
      <c r="X138" s="58" t="s">
        <v>66</v>
      </c>
      <c r="Y138" s="12">
        <f>+'Form20 '!F139</f>
        <v>0</v>
      </c>
      <c r="Z138" s="18">
        <v>6</v>
      </c>
      <c r="AA138" s="64" t="s">
        <v>67</v>
      </c>
      <c r="AB138" s="12">
        <f>+'Form20 '!G139</f>
        <v>0</v>
      </c>
      <c r="AC138" s="18">
        <v>7</v>
      </c>
      <c r="AD138" s="63" t="s">
        <v>68</v>
      </c>
      <c r="AE138" s="12">
        <f>+'Form20 '!H139</f>
        <v>0</v>
      </c>
      <c r="AF138" s="18">
        <v>8</v>
      </c>
      <c r="AG138" s="63" t="s">
        <v>69</v>
      </c>
      <c r="AH138" s="12">
        <f>+'Form20 '!I139</f>
        <v>0</v>
      </c>
      <c r="AI138" s="18">
        <v>9</v>
      </c>
      <c r="AJ138" s="65" t="s">
        <v>70</v>
      </c>
      <c r="AK138" s="12">
        <f>+'Form20 '!J139</f>
        <v>0</v>
      </c>
      <c r="AL138" s="18">
        <v>10</v>
      </c>
      <c r="AM138" s="66" t="s">
        <v>30</v>
      </c>
      <c r="AN138" s="12">
        <f>+'Form20 '!K139</f>
        <v>0</v>
      </c>
      <c r="AO138" s="18">
        <v>11</v>
      </c>
      <c r="AP138" s="66" t="s">
        <v>30</v>
      </c>
      <c r="AQ138" s="12">
        <f>+'Form20 '!L139</f>
        <v>0</v>
      </c>
      <c r="AR138" s="18">
        <v>12</v>
      </c>
      <c r="AS138" s="66" t="s">
        <v>30</v>
      </c>
      <c r="AT138" s="12">
        <f>+'Form20 '!M139</f>
        <v>1</v>
      </c>
      <c r="AU138" s="18">
        <v>13</v>
      </c>
      <c r="AV138" s="66" t="s">
        <v>30</v>
      </c>
      <c r="AW138" s="12">
        <f>+'Form20 '!N139</f>
        <v>2</v>
      </c>
      <c r="AX138" s="18">
        <v>14</v>
      </c>
      <c r="AY138" s="66" t="s">
        <v>30</v>
      </c>
      <c r="AZ138" s="12">
        <f>+'Form20 '!O139</f>
        <v>1</v>
      </c>
      <c r="BA138" s="75">
        <f t="shared" si="5"/>
        <v>738</v>
      </c>
    </row>
    <row r="139" spans="1:53" s="67" customFormat="1" ht="59.25" customHeight="1">
      <c r="A139" s="18">
        <v>333</v>
      </c>
      <c r="B139" s="59">
        <v>133</v>
      </c>
      <c r="C139" s="76" t="s">
        <v>210</v>
      </c>
      <c r="D139" s="61">
        <v>1131</v>
      </c>
      <c r="E139" s="61">
        <v>333</v>
      </c>
      <c r="F139" s="61">
        <v>406</v>
      </c>
      <c r="G139" s="55">
        <v>0</v>
      </c>
      <c r="H139" s="62">
        <f t="shared" si="4"/>
        <v>739</v>
      </c>
      <c r="I139" s="55">
        <v>54</v>
      </c>
      <c r="J139" s="29">
        <v>0</v>
      </c>
      <c r="K139" s="18">
        <v>1</v>
      </c>
      <c r="L139" s="63" t="s">
        <v>29</v>
      </c>
      <c r="M139" s="12">
        <f>+'Form20 '!B140</f>
        <v>311</v>
      </c>
      <c r="N139" s="18">
        <v>2</v>
      </c>
      <c r="O139" s="58" t="s">
        <v>24</v>
      </c>
      <c r="P139" s="12">
        <f>+'Form20 '!C140</f>
        <v>6</v>
      </c>
      <c r="Q139" s="18">
        <v>3</v>
      </c>
      <c r="R139" s="63" t="s">
        <v>28</v>
      </c>
      <c r="S139" s="12">
        <f>+'Form20 '!D140</f>
        <v>382</v>
      </c>
      <c r="T139" s="18">
        <v>4</v>
      </c>
      <c r="U139" s="64" t="s">
        <v>65</v>
      </c>
      <c r="V139" s="12">
        <f>+'Form20 '!E140</f>
        <v>3</v>
      </c>
      <c r="W139" s="18">
        <v>5</v>
      </c>
      <c r="X139" s="58" t="s">
        <v>66</v>
      </c>
      <c r="Y139" s="12">
        <f>+'Form20 '!F140</f>
        <v>0</v>
      </c>
      <c r="Z139" s="18">
        <v>6</v>
      </c>
      <c r="AA139" s="64" t="s">
        <v>67</v>
      </c>
      <c r="AB139" s="12">
        <f>+'Form20 '!G140</f>
        <v>0</v>
      </c>
      <c r="AC139" s="18">
        <v>7</v>
      </c>
      <c r="AD139" s="63" t="s">
        <v>68</v>
      </c>
      <c r="AE139" s="12">
        <f>+'Form20 '!H140</f>
        <v>0</v>
      </c>
      <c r="AF139" s="18">
        <v>8</v>
      </c>
      <c r="AG139" s="63" t="s">
        <v>69</v>
      </c>
      <c r="AH139" s="12">
        <f>+'Form20 '!I140</f>
        <v>1</v>
      </c>
      <c r="AI139" s="18">
        <v>9</v>
      </c>
      <c r="AJ139" s="65" t="s">
        <v>70</v>
      </c>
      <c r="AK139" s="12">
        <f>+'Form20 '!J140</f>
        <v>30</v>
      </c>
      <c r="AL139" s="18">
        <v>10</v>
      </c>
      <c r="AM139" s="66" t="s">
        <v>30</v>
      </c>
      <c r="AN139" s="12">
        <f>+'Form20 '!K140</f>
        <v>0</v>
      </c>
      <c r="AO139" s="18">
        <v>11</v>
      </c>
      <c r="AP139" s="66" t="s">
        <v>30</v>
      </c>
      <c r="AQ139" s="12">
        <f>+'Form20 '!L140</f>
        <v>0</v>
      </c>
      <c r="AR139" s="18">
        <v>12</v>
      </c>
      <c r="AS139" s="66" t="s">
        <v>30</v>
      </c>
      <c r="AT139" s="12">
        <f>+'Form20 '!M140</f>
        <v>1</v>
      </c>
      <c r="AU139" s="18">
        <v>13</v>
      </c>
      <c r="AV139" s="66" t="s">
        <v>30</v>
      </c>
      <c r="AW139" s="12">
        <f>+'Form20 '!N140</f>
        <v>0</v>
      </c>
      <c r="AX139" s="18">
        <v>14</v>
      </c>
      <c r="AY139" s="66" t="s">
        <v>30</v>
      </c>
      <c r="AZ139" s="12">
        <f>+'Form20 '!O140</f>
        <v>1</v>
      </c>
      <c r="BA139" s="75">
        <f t="shared" si="5"/>
        <v>735</v>
      </c>
    </row>
    <row r="140" spans="1:53" s="67" customFormat="1" ht="59.25" customHeight="1">
      <c r="A140" s="18">
        <v>333</v>
      </c>
      <c r="B140" s="59">
        <v>134</v>
      </c>
      <c r="C140" s="76" t="s">
        <v>211</v>
      </c>
      <c r="D140" s="61">
        <v>798</v>
      </c>
      <c r="E140" s="61">
        <v>159</v>
      </c>
      <c r="F140" s="61">
        <v>234</v>
      </c>
      <c r="G140" s="55">
        <v>0</v>
      </c>
      <c r="H140" s="62">
        <f t="shared" si="4"/>
        <v>393</v>
      </c>
      <c r="I140" s="55">
        <v>24</v>
      </c>
      <c r="J140" s="29">
        <v>0</v>
      </c>
      <c r="K140" s="18">
        <v>1</v>
      </c>
      <c r="L140" s="63" t="s">
        <v>29</v>
      </c>
      <c r="M140" s="12">
        <f>+'Form20 '!B141</f>
        <v>264</v>
      </c>
      <c r="N140" s="18">
        <v>2</v>
      </c>
      <c r="O140" s="58" t="s">
        <v>24</v>
      </c>
      <c r="P140" s="12">
        <f>+'Form20 '!C141</f>
        <v>16</v>
      </c>
      <c r="Q140" s="18">
        <v>3</v>
      </c>
      <c r="R140" s="63" t="s">
        <v>28</v>
      </c>
      <c r="S140" s="12">
        <f>+'Form20 '!D141</f>
        <v>110</v>
      </c>
      <c r="T140" s="18">
        <v>4</v>
      </c>
      <c r="U140" s="64" t="s">
        <v>65</v>
      </c>
      <c r="V140" s="12">
        <f>+'Form20 '!E141</f>
        <v>1</v>
      </c>
      <c r="W140" s="18">
        <v>5</v>
      </c>
      <c r="X140" s="58" t="s">
        <v>66</v>
      </c>
      <c r="Y140" s="12">
        <f>+'Form20 '!F141</f>
        <v>0</v>
      </c>
      <c r="Z140" s="18">
        <v>6</v>
      </c>
      <c r="AA140" s="64" t="s">
        <v>67</v>
      </c>
      <c r="AB140" s="12">
        <f>+'Form20 '!G141</f>
        <v>0</v>
      </c>
      <c r="AC140" s="18">
        <v>7</v>
      </c>
      <c r="AD140" s="63" t="s">
        <v>68</v>
      </c>
      <c r="AE140" s="12">
        <f>+'Form20 '!H141</f>
        <v>0</v>
      </c>
      <c r="AF140" s="18">
        <v>8</v>
      </c>
      <c r="AG140" s="63" t="s">
        <v>69</v>
      </c>
      <c r="AH140" s="12">
        <f>+'Form20 '!I141</f>
        <v>0</v>
      </c>
      <c r="AI140" s="18">
        <v>9</v>
      </c>
      <c r="AJ140" s="65" t="s">
        <v>70</v>
      </c>
      <c r="AK140" s="12">
        <f>+'Form20 '!J141</f>
        <v>1</v>
      </c>
      <c r="AL140" s="18">
        <v>10</v>
      </c>
      <c r="AM140" s="66" t="s">
        <v>30</v>
      </c>
      <c r="AN140" s="12">
        <f>+'Form20 '!K141</f>
        <v>0</v>
      </c>
      <c r="AO140" s="18">
        <v>11</v>
      </c>
      <c r="AP140" s="66" t="s">
        <v>30</v>
      </c>
      <c r="AQ140" s="12">
        <f>+'Form20 '!L141</f>
        <v>0</v>
      </c>
      <c r="AR140" s="18">
        <v>12</v>
      </c>
      <c r="AS140" s="66" t="s">
        <v>30</v>
      </c>
      <c r="AT140" s="12">
        <f>+'Form20 '!M141</f>
        <v>0</v>
      </c>
      <c r="AU140" s="18">
        <v>13</v>
      </c>
      <c r="AV140" s="66" t="s">
        <v>30</v>
      </c>
      <c r="AW140" s="12">
        <f>+'Form20 '!N141</f>
        <v>1</v>
      </c>
      <c r="AX140" s="18">
        <v>14</v>
      </c>
      <c r="AY140" s="66" t="s">
        <v>30</v>
      </c>
      <c r="AZ140" s="12">
        <f>+'Form20 '!O141</f>
        <v>0</v>
      </c>
      <c r="BA140" s="75">
        <f t="shared" si="5"/>
        <v>393</v>
      </c>
    </row>
    <row r="141" spans="1:53" s="67" customFormat="1" ht="59.25" customHeight="1">
      <c r="A141" s="18">
        <v>333</v>
      </c>
      <c r="B141" s="59">
        <v>135</v>
      </c>
      <c r="C141" s="76" t="s">
        <v>212</v>
      </c>
      <c r="D141" s="61">
        <v>763</v>
      </c>
      <c r="E141" s="61">
        <v>199</v>
      </c>
      <c r="F141" s="61">
        <v>241</v>
      </c>
      <c r="G141" s="55">
        <v>0</v>
      </c>
      <c r="H141" s="62">
        <f t="shared" si="4"/>
        <v>440</v>
      </c>
      <c r="I141" s="55">
        <v>29</v>
      </c>
      <c r="J141" s="29">
        <v>0</v>
      </c>
      <c r="K141" s="18">
        <v>1</v>
      </c>
      <c r="L141" s="63" t="s">
        <v>29</v>
      </c>
      <c r="M141" s="12">
        <f>+'Form20 '!B142</f>
        <v>301</v>
      </c>
      <c r="N141" s="18">
        <v>2</v>
      </c>
      <c r="O141" s="58" t="s">
        <v>24</v>
      </c>
      <c r="P141" s="12">
        <f>+'Form20 '!C142</f>
        <v>26</v>
      </c>
      <c r="Q141" s="18">
        <v>3</v>
      </c>
      <c r="R141" s="63" t="s">
        <v>28</v>
      </c>
      <c r="S141" s="12">
        <f>+'Form20 '!D142</f>
        <v>104</v>
      </c>
      <c r="T141" s="18">
        <v>4</v>
      </c>
      <c r="U141" s="64" t="s">
        <v>65</v>
      </c>
      <c r="V141" s="12">
        <f>+'Form20 '!E142</f>
        <v>1</v>
      </c>
      <c r="W141" s="18">
        <v>5</v>
      </c>
      <c r="X141" s="58" t="s">
        <v>66</v>
      </c>
      <c r="Y141" s="12">
        <f>+'Form20 '!F142</f>
        <v>0</v>
      </c>
      <c r="Z141" s="18">
        <v>6</v>
      </c>
      <c r="AA141" s="64" t="s">
        <v>67</v>
      </c>
      <c r="AB141" s="12">
        <f>+'Form20 '!G142</f>
        <v>1</v>
      </c>
      <c r="AC141" s="18">
        <v>7</v>
      </c>
      <c r="AD141" s="63" t="s">
        <v>68</v>
      </c>
      <c r="AE141" s="12">
        <f>+'Form20 '!H142</f>
        <v>0</v>
      </c>
      <c r="AF141" s="18">
        <v>8</v>
      </c>
      <c r="AG141" s="63" t="s">
        <v>69</v>
      </c>
      <c r="AH141" s="12">
        <f>+'Form20 '!I142</f>
        <v>0</v>
      </c>
      <c r="AI141" s="18">
        <v>9</v>
      </c>
      <c r="AJ141" s="65" t="s">
        <v>70</v>
      </c>
      <c r="AK141" s="12">
        <f>+'Form20 '!J142</f>
        <v>1</v>
      </c>
      <c r="AL141" s="18">
        <v>10</v>
      </c>
      <c r="AM141" s="66" t="s">
        <v>30</v>
      </c>
      <c r="AN141" s="12">
        <f>+'Form20 '!K142</f>
        <v>0</v>
      </c>
      <c r="AO141" s="18">
        <v>11</v>
      </c>
      <c r="AP141" s="66" t="s">
        <v>30</v>
      </c>
      <c r="AQ141" s="12">
        <f>+'Form20 '!L142</f>
        <v>0</v>
      </c>
      <c r="AR141" s="18">
        <v>12</v>
      </c>
      <c r="AS141" s="66" t="s">
        <v>30</v>
      </c>
      <c r="AT141" s="12">
        <f>+'Form20 '!M142</f>
        <v>0</v>
      </c>
      <c r="AU141" s="18">
        <v>13</v>
      </c>
      <c r="AV141" s="66" t="s">
        <v>30</v>
      </c>
      <c r="AW141" s="12">
        <f>+'Form20 '!N142</f>
        <v>0</v>
      </c>
      <c r="AX141" s="18">
        <v>14</v>
      </c>
      <c r="AY141" s="66" t="s">
        <v>30</v>
      </c>
      <c r="AZ141" s="12">
        <f>+'Form20 '!O142</f>
        <v>0</v>
      </c>
      <c r="BA141" s="75">
        <f t="shared" si="5"/>
        <v>434</v>
      </c>
    </row>
    <row r="142" spans="1:53" s="67" customFormat="1" ht="59.25" customHeight="1">
      <c r="A142" s="18">
        <v>333</v>
      </c>
      <c r="B142" s="59">
        <v>136</v>
      </c>
      <c r="C142" s="76" t="s">
        <v>213</v>
      </c>
      <c r="D142" s="61">
        <v>1145</v>
      </c>
      <c r="E142" s="61">
        <v>337</v>
      </c>
      <c r="F142" s="61">
        <v>320</v>
      </c>
      <c r="G142" s="55">
        <v>0</v>
      </c>
      <c r="H142" s="62">
        <f t="shared" si="4"/>
        <v>657</v>
      </c>
      <c r="I142" s="55">
        <v>570</v>
      </c>
      <c r="J142" s="29">
        <v>0</v>
      </c>
      <c r="K142" s="18">
        <v>1</v>
      </c>
      <c r="L142" s="63" t="s">
        <v>29</v>
      </c>
      <c r="M142" s="12">
        <f>+'Form20 '!B143</f>
        <v>458</v>
      </c>
      <c r="N142" s="18">
        <v>2</v>
      </c>
      <c r="O142" s="58" t="s">
        <v>24</v>
      </c>
      <c r="P142" s="12">
        <f>+'Form20 '!C143</f>
        <v>85</v>
      </c>
      <c r="Q142" s="18">
        <v>3</v>
      </c>
      <c r="R142" s="63" t="s">
        <v>28</v>
      </c>
      <c r="S142" s="12">
        <f>+'Form20 '!D143</f>
        <v>86</v>
      </c>
      <c r="T142" s="18">
        <v>4</v>
      </c>
      <c r="U142" s="64" t="s">
        <v>65</v>
      </c>
      <c r="V142" s="12">
        <f>+'Form20 '!E143</f>
        <v>3</v>
      </c>
      <c r="W142" s="18">
        <v>5</v>
      </c>
      <c r="X142" s="58" t="s">
        <v>66</v>
      </c>
      <c r="Y142" s="12">
        <f>+'Form20 '!F143</f>
        <v>2</v>
      </c>
      <c r="Z142" s="18">
        <v>6</v>
      </c>
      <c r="AA142" s="64" t="s">
        <v>67</v>
      </c>
      <c r="AB142" s="12">
        <f>+'Form20 '!G143</f>
        <v>3</v>
      </c>
      <c r="AC142" s="18">
        <v>7</v>
      </c>
      <c r="AD142" s="63" t="s">
        <v>68</v>
      </c>
      <c r="AE142" s="12">
        <f>+'Form20 '!H143</f>
        <v>0</v>
      </c>
      <c r="AF142" s="18">
        <v>8</v>
      </c>
      <c r="AG142" s="63" t="s">
        <v>69</v>
      </c>
      <c r="AH142" s="12">
        <f>+'Form20 '!I143</f>
        <v>2</v>
      </c>
      <c r="AI142" s="18">
        <v>9</v>
      </c>
      <c r="AJ142" s="65" t="s">
        <v>70</v>
      </c>
      <c r="AK142" s="12">
        <f>+'Form20 '!J143</f>
        <v>0</v>
      </c>
      <c r="AL142" s="18">
        <v>10</v>
      </c>
      <c r="AM142" s="66" t="s">
        <v>30</v>
      </c>
      <c r="AN142" s="12">
        <f>+'Form20 '!K143</f>
        <v>0</v>
      </c>
      <c r="AO142" s="18">
        <v>11</v>
      </c>
      <c r="AP142" s="66" t="s">
        <v>30</v>
      </c>
      <c r="AQ142" s="12">
        <f>+'Form20 '!L143</f>
        <v>3</v>
      </c>
      <c r="AR142" s="18">
        <v>12</v>
      </c>
      <c r="AS142" s="66" t="s">
        <v>30</v>
      </c>
      <c r="AT142" s="12">
        <f>+'Form20 '!M143</f>
        <v>0</v>
      </c>
      <c r="AU142" s="18">
        <v>13</v>
      </c>
      <c r="AV142" s="66" t="s">
        <v>30</v>
      </c>
      <c r="AW142" s="12">
        <f>+'Form20 '!N143</f>
        <v>4</v>
      </c>
      <c r="AX142" s="18">
        <v>14</v>
      </c>
      <c r="AY142" s="66" t="s">
        <v>30</v>
      </c>
      <c r="AZ142" s="12">
        <f>+'Form20 '!O143</f>
        <v>2</v>
      </c>
      <c r="BA142" s="75">
        <f t="shared" si="5"/>
        <v>648</v>
      </c>
    </row>
    <row r="143" spans="1:53" s="67" customFormat="1" ht="59.25" customHeight="1">
      <c r="A143" s="18">
        <v>333</v>
      </c>
      <c r="B143" s="59">
        <v>137</v>
      </c>
      <c r="C143" s="76" t="s">
        <v>214</v>
      </c>
      <c r="D143" s="61">
        <v>881</v>
      </c>
      <c r="E143" s="61">
        <v>239</v>
      </c>
      <c r="F143" s="61">
        <v>227</v>
      </c>
      <c r="G143" s="55">
        <v>0</v>
      </c>
      <c r="H143" s="62">
        <f t="shared" si="4"/>
        <v>466</v>
      </c>
      <c r="I143" s="55">
        <v>50</v>
      </c>
      <c r="J143" s="29">
        <v>0</v>
      </c>
      <c r="K143" s="18">
        <v>1</v>
      </c>
      <c r="L143" s="63" t="s">
        <v>29</v>
      </c>
      <c r="M143" s="12">
        <f>+'Form20 '!B144</f>
        <v>332</v>
      </c>
      <c r="N143" s="18">
        <v>2</v>
      </c>
      <c r="O143" s="58" t="s">
        <v>24</v>
      </c>
      <c r="P143" s="12">
        <f>+'Form20 '!C144</f>
        <v>65</v>
      </c>
      <c r="Q143" s="18">
        <v>3</v>
      </c>
      <c r="R143" s="63" t="s">
        <v>28</v>
      </c>
      <c r="S143" s="12">
        <f>+'Form20 '!D144</f>
        <v>51</v>
      </c>
      <c r="T143" s="18">
        <v>4</v>
      </c>
      <c r="U143" s="64" t="s">
        <v>65</v>
      </c>
      <c r="V143" s="12">
        <f>+'Form20 '!E144</f>
        <v>4</v>
      </c>
      <c r="W143" s="18">
        <v>5</v>
      </c>
      <c r="X143" s="58" t="s">
        <v>66</v>
      </c>
      <c r="Y143" s="12">
        <f>+'Form20 '!F144</f>
        <v>0</v>
      </c>
      <c r="Z143" s="18">
        <v>6</v>
      </c>
      <c r="AA143" s="64" t="s">
        <v>67</v>
      </c>
      <c r="AB143" s="12">
        <f>+'Form20 '!G144</f>
        <v>1</v>
      </c>
      <c r="AC143" s="18">
        <v>7</v>
      </c>
      <c r="AD143" s="63" t="s">
        <v>68</v>
      </c>
      <c r="AE143" s="12">
        <f>+'Form20 '!H144</f>
        <v>0</v>
      </c>
      <c r="AF143" s="18">
        <v>8</v>
      </c>
      <c r="AG143" s="63" t="s">
        <v>69</v>
      </c>
      <c r="AH143" s="12">
        <f>+'Form20 '!I144</f>
        <v>2</v>
      </c>
      <c r="AI143" s="18">
        <v>9</v>
      </c>
      <c r="AJ143" s="65" t="s">
        <v>70</v>
      </c>
      <c r="AK143" s="12">
        <f>+'Form20 '!J144</f>
        <v>1</v>
      </c>
      <c r="AL143" s="18">
        <v>10</v>
      </c>
      <c r="AM143" s="66" t="s">
        <v>30</v>
      </c>
      <c r="AN143" s="12">
        <f>+'Form20 '!K144</f>
        <v>0</v>
      </c>
      <c r="AO143" s="18">
        <v>11</v>
      </c>
      <c r="AP143" s="66" t="s">
        <v>30</v>
      </c>
      <c r="AQ143" s="12">
        <f>+'Form20 '!L144</f>
        <v>0</v>
      </c>
      <c r="AR143" s="18">
        <v>12</v>
      </c>
      <c r="AS143" s="66" t="s">
        <v>30</v>
      </c>
      <c r="AT143" s="12">
        <f>+'Form20 '!M144</f>
        <v>1</v>
      </c>
      <c r="AU143" s="18">
        <v>13</v>
      </c>
      <c r="AV143" s="66" t="s">
        <v>30</v>
      </c>
      <c r="AW143" s="12">
        <f>+'Form20 '!N144</f>
        <v>1</v>
      </c>
      <c r="AX143" s="18">
        <v>14</v>
      </c>
      <c r="AY143" s="66" t="s">
        <v>30</v>
      </c>
      <c r="AZ143" s="12">
        <f>+'Form20 '!O144</f>
        <v>2</v>
      </c>
      <c r="BA143" s="75">
        <f t="shared" si="5"/>
        <v>460</v>
      </c>
    </row>
    <row r="144" spans="1:53" s="67" customFormat="1" ht="59.25" customHeight="1">
      <c r="A144" s="18">
        <v>333</v>
      </c>
      <c r="B144" s="59">
        <v>138</v>
      </c>
      <c r="C144" s="76" t="s">
        <v>215</v>
      </c>
      <c r="D144" s="61">
        <v>439</v>
      </c>
      <c r="E144" s="61">
        <v>113</v>
      </c>
      <c r="F144" s="61">
        <v>157</v>
      </c>
      <c r="G144" s="55">
        <v>0</v>
      </c>
      <c r="H144" s="62">
        <f t="shared" si="4"/>
        <v>270</v>
      </c>
      <c r="I144" s="55">
        <v>41</v>
      </c>
      <c r="J144" s="29">
        <v>0</v>
      </c>
      <c r="K144" s="18">
        <v>1</v>
      </c>
      <c r="L144" s="63" t="s">
        <v>29</v>
      </c>
      <c r="M144" s="12">
        <f>+'Form20 '!B145</f>
        <v>28</v>
      </c>
      <c r="N144" s="18">
        <v>2</v>
      </c>
      <c r="O144" s="58" t="s">
        <v>24</v>
      </c>
      <c r="P144" s="12">
        <f>+'Form20 '!C145</f>
        <v>9</v>
      </c>
      <c r="Q144" s="18">
        <v>3</v>
      </c>
      <c r="R144" s="63" t="s">
        <v>28</v>
      </c>
      <c r="S144" s="12">
        <f>+'Form20 '!D145</f>
        <v>224</v>
      </c>
      <c r="T144" s="18">
        <v>4</v>
      </c>
      <c r="U144" s="64" t="s">
        <v>65</v>
      </c>
      <c r="V144" s="12">
        <f>+'Form20 '!E145</f>
        <v>1</v>
      </c>
      <c r="W144" s="18">
        <v>5</v>
      </c>
      <c r="X144" s="58" t="s">
        <v>66</v>
      </c>
      <c r="Y144" s="12">
        <f>+'Form20 '!F145</f>
        <v>0</v>
      </c>
      <c r="Z144" s="18">
        <v>6</v>
      </c>
      <c r="AA144" s="64" t="s">
        <v>67</v>
      </c>
      <c r="AB144" s="12">
        <f>+'Form20 '!G145</f>
        <v>0</v>
      </c>
      <c r="AC144" s="18">
        <v>7</v>
      </c>
      <c r="AD144" s="63" t="s">
        <v>68</v>
      </c>
      <c r="AE144" s="12">
        <f>+'Form20 '!H145</f>
        <v>0</v>
      </c>
      <c r="AF144" s="18">
        <v>8</v>
      </c>
      <c r="AG144" s="63" t="s">
        <v>69</v>
      </c>
      <c r="AH144" s="12">
        <f>+'Form20 '!I145</f>
        <v>0</v>
      </c>
      <c r="AI144" s="18">
        <v>9</v>
      </c>
      <c r="AJ144" s="65" t="s">
        <v>70</v>
      </c>
      <c r="AK144" s="12">
        <f>+'Form20 '!J145</f>
        <v>4</v>
      </c>
      <c r="AL144" s="18">
        <v>10</v>
      </c>
      <c r="AM144" s="66" t="s">
        <v>30</v>
      </c>
      <c r="AN144" s="12">
        <f>+'Form20 '!K145</f>
        <v>0</v>
      </c>
      <c r="AO144" s="18">
        <v>11</v>
      </c>
      <c r="AP144" s="66" t="s">
        <v>30</v>
      </c>
      <c r="AQ144" s="12">
        <f>+'Form20 '!L145</f>
        <v>0</v>
      </c>
      <c r="AR144" s="18">
        <v>12</v>
      </c>
      <c r="AS144" s="66" t="s">
        <v>30</v>
      </c>
      <c r="AT144" s="12">
        <f>+'Form20 '!M145</f>
        <v>1</v>
      </c>
      <c r="AU144" s="18">
        <v>13</v>
      </c>
      <c r="AV144" s="66" t="s">
        <v>30</v>
      </c>
      <c r="AW144" s="12">
        <f>+'Form20 '!N145</f>
        <v>0</v>
      </c>
      <c r="AX144" s="18">
        <v>14</v>
      </c>
      <c r="AY144" s="66" t="s">
        <v>30</v>
      </c>
      <c r="AZ144" s="12">
        <f>+'Form20 '!O145</f>
        <v>0</v>
      </c>
      <c r="BA144" s="75">
        <f t="shared" si="5"/>
        <v>267</v>
      </c>
    </row>
    <row r="145" spans="1:53" s="67" customFormat="1" ht="59.25" customHeight="1">
      <c r="A145" s="18">
        <v>333</v>
      </c>
      <c r="B145" s="59">
        <v>139</v>
      </c>
      <c r="C145" s="76" t="s">
        <v>216</v>
      </c>
      <c r="D145" s="61">
        <v>1054</v>
      </c>
      <c r="E145" s="61">
        <v>266</v>
      </c>
      <c r="F145" s="61">
        <v>319</v>
      </c>
      <c r="G145" s="55">
        <v>0</v>
      </c>
      <c r="H145" s="62">
        <f t="shared" si="4"/>
        <v>585</v>
      </c>
      <c r="I145" s="55">
        <v>50</v>
      </c>
      <c r="J145" s="29">
        <v>0</v>
      </c>
      <c r="K145" s="18">
        <v>1</v>
      </c>
      <c r="L145" s="63" t="s">
        <v>29</v>
      </c>
      <c r="M145" s="12">
        <f>+'Form20 '!B146</f>
        <v>211</v>
      </c>
      <c r="N145" s="18">
        <v>2</v>
      </c>
      <c r="O145" s="58" t="s">
        <v>24</v>
      </c>
      <c r="P145" s="12">
        <f>+'Form20 '!C146</f>
        <v>94</v>
      </c>
      <c r="Q145" s="18">
        <v>3</v>
      </c>
      <c r="R145" s="63" t="s">
        <v>28</v>
      </c>
      <c r="S145" s="12">
        <f>+'Form20 '!D146</f>
        <v>261</v>
      </c>
      <c r="T145" s="18">
        <v>4</v>
      </c>
      <c r="U145" s="64" t="s">
        <v>65</v>
      </c>
      <c r="V145" s="12">
        <f>+'Form20 '!E146</f>
        <v>3</v>
      </c>
      <c r="W145" s="18">
        <v>5</v>
      </c>
      <c r="X145" s="58" t="s">
        <v>66</v>
      </c>
      <c r="Y145" s="12">
        <f>+'Form20 '!F146</f>
        <v>0</v>
      </c>
      <c r="Z145" s="18">
        <v>6</v>
      </c>
      <c r="AA145" s="64" t="s">
        <v>67</v>
      </c>
      <c r="AB145" s="12">
        <f>+'Form20 '!G146</f>
        <v>1</v>
      </c>
      <c r="AC145" s="18">
        <v>7</v>
      </c>
      <c r="AD145" s="63" t="s">
        <v>68</v>
      </c>
      <c r="AE145" s="12">
        <f>+'Form20 '!H146</f>
        <v>0</v>
      </c>
      <c r="AF145" s="18">
        <v>8</v>
      </c>
      <c r="AG145" s="63" t="s">
        <v>69</v>
      </c>
      <c r="AH145" s="12">
        <f>+'Form20 '!I146</f>
        <v>0</v>
      </c>
      <c r="AI145" s="18">
        <v>9</v>
      </c>
      <c r="AJ145" s="65" t="s">
        <v>70</v>
      </c>
      <c r="AK145" s="12">
        <f>+'Form20 '!J146</f>
        <v>8</v>
      </c>
      <c r="AL145" s="18">
        <v>10</v>
      </c>
      <c r="AM145" s="66" t="s">
        <v>30</v>
      </c>
      <c r="AN145" s="12">
        <f>+'Form20 '!K146</f>
        <v>0</v>
      </c>
      <c r="AO145" s="18">
        <v>11</v>
      </c>
      <c r="AP145" s="66" t="s">
        <v>30</v>
      </c>
      <c r="AQ145" s="12">
        <f>+'Form20 '!L146</f>
        <v>0</v>
      </c>
      <c r="AR145" s="18">
        <v>12</v>
      </c>
      <c r="AS145" s="66" t="s">
        <v>30</v>
      </c>
      <c r="AT145" s="12">
        <f>+'Form20 '!M146</f>
        <v>2</v>
      </c>
      <c r="AU145" s="18">
        <v>13</v>
      </c>
      <c r="AV145" s="66" t="s">
        <v>30</v>
      </c>
      <c r="AW145" s="12">
        <f>+'Form20 '!N146</f>
        <v>4</v>
      </c>
      <c r="AX145" s="18">
        <v>14</v>
      </c>
      <c r="AY145" s="66" t="s">
        <v>30</v>
      </c>
      <c r="AZ145" s="12">
        <f>+'Form20 '!O146</f>
        <v>1</v>
      </c>
      <c r="BA145" s="75">
        <f t="shared" si="5"/>
        <v>585</v>
      </c>
    </row>
    <row r="146" spans="1:53" s="67" customFormat="1" ht="59.25" customHeight="1">
      <c r="A146" s="18">
        <v>333</v>
      </c>
      <c r="B146" s="59">
        <v>140</v>
      </c>
      <c r="C146" s="76" t="s">
        <v>217</v>
      </c>
      <c r="D146" s="61">
        <v>734</v>
      </c>
      <c r="E146" s="61">
        <v>180</v>
      </c>
      <c r="F146" s="61">
        <v>265</v>
      </c>
      <c r="G146" s="55">
        <v>0</v>
      </c>
      <c r="H146" s="62">
        <f t="shared" si="4"/>
        <v>445</v>
      </c>
      <c r="I146" s="55">
        <v>43</v>
      </c>
      <c r="J146" s="29">
        <v>0</v>
      </c>
      <c r="K146" s="18">
        <v>1</v>
      </c>
      <c r="L146" s="63" t="s">
        <v>29</v>
      </c>
      <c r="M146" s="12">
        <f>+'Form20 '!B147</f>
        <v>334</v>
      </c>
      <c r="N146" s="18">
        <v>2</v>
      </c>
      <c r="O146" s="58" t="s">
        <v>24</v>
      </c>
      <c r="P146" s="12">
        <f>+'Form20 '!C147</f>
        <v>33</v>
      </c>
      <c r="Q146" s="18">
        <v>3</v>
      </c>
      <c r="R146" s="63" t="s">
        <v>28</v>
      </c>
      <c r="S146" s="12">
        <f>+'Form20 '!D147</f>
        <v>67</v>
      </c>
      <c r="T146" s="18">
        <v>4</v>
      </c>
      <c r="U146" s="64" t="s">
        <v>65</v>
      </c>
      <c r="V146" s="12">
        <f>+'Form20 '!E147</f>
        <v>1</v>
      </c>
      <c r="W146" s="18">
        <v>5</v>
      </c>
      <c r="X146" s="58" t="s">
        <v>66</v>
      </c>
      <c r="Y146" s="12">
        <f>+'Form20 '!F147</f>
        <v>0</v>
      </c>
      <c r="Z146" s="18">
        <v>6</v>
      </c>
      <c r="AA146" s="64" t="s">
        <v>67</v>
      </c>
      <c r="AB146" s="12">
        <f>+'Form20 '!G147</f>
        <v>0</v>
      </c>
      <c r="AC146" s="18">
        <v>7</v>
      </c>
      <c r="AD146" s="63" t="s">
        <v>68</v>
      </c>
      <c r="AE146" s="12">
        <f>+'Form20 '!H147</f>
        <v>0</v>
      </c>
      <c r="AF146" s="18">
        <v>8</v>
      </c>
      <c r="AG146" s="63" t="s">
        <v>69</v>
      </c>
      <c r="AH146" s="12">
        <f>+'Form20 '!I147</f>
        <v>0</v>
      </c>
      <c r="AI146" s="18">
        <v>9</v>
      </c>
      <c r="AJ146" s="65" t="s">
        <v>70</v>
      </c>
      <c r="AK146" s="12">
        <f>+'Form20 '!J147</f>
        <v>5</v>
      </c>
      <c r="AL146" s="18">
        <v>10</v>
      </c>
      <c r="AM146" s="66" t="s">
        <v>30</v>
      </c>
      <c r="AN146" s="12">
        <f>+'Form20 '!K147</f>
        <v>0</v>
      </c>
      <c r="AO146" s="18">
        <v>11</v>
      </c>
      <c r="AP146" s="66" t="s">
        <v>30</v>
      </c>
      <c r="AQ146" s="12">
        <f>+'Form20 '!L147</f>
        <v>1</v>
      </c>
      <c r="AR146" s="18">
        <v>12</v>
      </c>
      <c r="AS146" s="66" t="s">
        <v>30</v>
      </c>
      <c r="AT146" s="12">
        <f>+'Form20 '!M147</f>
        <v>0</v>
      </c>
      <c r="AU146" s="18">
        <v>13</v>
      </c>
      <c r="AV146" s="66" t="s">
        <v>30</v>
      </c>
      <c r="AW146" s="12">
        <f>+'Form20 '!N147</f>
        <v>1</v>
      </c>
      <c r="AX146" s="18">
        <v>14</v>
      </c>
      <c r="AY146" s="66" t="s">
        <v>30</v>
      </c>
      <c r="AZ146" s="12">
        <f>+'Form20 '!O147</f>
        <v>1</v>
      </c>
      <c r="BA146" s="75">
        <f t="shared" si="5"/>
        <v>443</v>
      </c>
    </row>
    <row r="147" spans="1:53" s="67" customFormat="1" ht="59.25" customHeight="1">
      <c r="A147" s="18">
        <v>333</v>
      </c>
      <c r="B147" s="59">
        <v>141</v>
      </c>
      <c r="C147" s="76" t="s">
        <v>218</v>
      </c>
      <c r="D147" s="61">
        <v>783</v>
      </c>
      <c r="E147" s="61">
        <v>233</v>
      </c>
      <c r="F147" s="61">
        <v>250</v>
      </c>
      <c r="G147" s="55">
        <v>0</v>
      </c>
      <c r="H147" s="62">
        <f t="shared" si="4"/>
        <v>483</v>
      </c>
      <c r="I147" s="55">
        <v>294</v>
      </c>
      <c r="J147" s="29">
        <v>0</v>
      </c>
      <c r="K147" s="18">
        <v>1</v>
      </c>
      <c r="L147" s="63" t="s">
        <v>29</v>
      </c>
      <c r="M147" s="12">
        <f>+'Form20 '!B148</f>
        <v>328</v>
      </c>
      <c r="N147" s="18">
        <v>2</v>
      </c>
      <c r="O147" s="58" t="s">
        <v>24</v>
      </c>
      <c r="P147" s="12">
        <f>+'Form20 '!C148</f>
        <v>4</v>
      </c>
      <c r="Q147" s="18">
        <v>3</v>
      </c>
      <c r="R147" s="63" t="s">
        <v>28</v>
      </c>
      <c r="S147" s="12">
        <f>+'Form20 '!D148</f>
        <v>135</v>
      </c>
      <c r="T147" s="18">
        <v>4</v>
      </c>
      <c r="U147" s="64" t="s">
        <v>65</v>
      </c>
      <c r="V147" s="12">
        <f>+'Form20 '!E148</f>
        <v>2</v>
      </c>
      <c r="W147" s="18">
        <v>5</v>
      </c>
      <c r="X147" s="58" t="s">
        <v>66</v>
      </c>
      <c r="Y147" s="12">
        <f>+'Form20 '!F148</f>
        <v>0</v>
      </c>
      <c r="Z147" s="18">
        <v>6</v>
      </c>
      <c r="AA147" s="64" t="s">
        <v>67</v>
      </c>
      <c r="AB147" s="12">
        <f>+'Form20 '!G148</f>
        <v>0</v>
      </c>
      <c r="AC147" s="18">
        <v>7</v>
      </c>
      <c r="AD147" s="63" t="s">
        <v>68</v>
      </c>
      <c r="AE147" s="12">
        <f>+'Form20 '!H148</f>
        <v>0</v>
      </c>
      <c r="AF147" s="18">
        <v>8</v>
      </c>
      <c r="AG147" s="63" t="s">
        <v>69</v>
      </c>
      <c r="AH147" s="12">
        <f>+'Form20 '!I148</f>
        <v>2</v>
      </c>
      <c r="AI147" s="18">
        <v>9</v>
      </c>
      <c r="AJ147" s="65" t="s">
        <v>70</v>
      </c>
      <c r="AK147" s="12">
        <f>+'Form20 '!J148</f>
        <v>2</v>
      </c>
      <c r="AL147" s="18">
        <v>10</v>
      </c>
      <c r="AM147" s="66" t="s">
        <v>30</v>
      </c>
      <c r="AN147" s="12">
        <f>+'Form20 '!K148</f>
        <v>0</v>
      </c>
      <c r="AO147" s="18">
        <v>11</v>
      </c>
      <c r="AP147" s="66" t="s">
        <v>30</v>
      </c>
      <c r="AQ147" s="12">
        <f>+'Form20 '!L148</f>
        <v>1</v>
      </c>
      <c r="AR147" s="18">
        <v>12</v>
      </c>
      <c r="AS147" s="66" t="s">
        <v>30</v>
      </c>
      <c r="AT147" s="12">
        <f>+'Form20 '!M148</f>
        <v>0</v>
      </c>
      <c r="AU147" s="18">
        <v>13</v>
      </c>
      <c r="AV147" s="66" t="s">
        <v>30</v>
      </c>
      <c r="AW147" s="12">
        <f>+'Form20 '!N148</f>
        <v>3</v>
      </c>
      <c r="AX147" s="18">
        <v>14</v>
      </c>
      <c r="AY147" s="66" t="s">
        <v>30</v>
      </c>
      <c r="AZ147" s="12">
        <f>+'Form20 '!O148</f>
        <v>3</v>
      </c>
      <c r="BA147" s="75">
        <f t="shared" si="5"/>
        <v>480</v>
      </c>
    </row>
    <row r="148" spans="1:53" s="67" customFormat="1" ht="59.25" customHeight="1">
      <c r="A148" s="18">
        <v>333</v>
      </c>
      <c r="B148" s="59">
        <v>142</v>
      </c>
      <c r="C148" s="76" t="s">
        <v>219</v>
      </c>
      <c r="D148" s="61">
        <v>919</v>
      </c>
      <c r="E148" s="61">
        <v>230</v>
      </c>
      <c r="F148" s="61">
        <v>245</v>
      </c>
      <c r="G148" s="55">
        <v>0</v>
      </c>
      <c r="H148" s="62">
        <f t="shared" si="4"/>
        <v>475</v>
      </c>
      <c r="I148" s="55">
        <v>125</v>
      </c>
      <c r="J148" s="29">
        <v>0</v>
      </c>
      <c r="K148" s="18">
        <v>1</v>
      </c>
      <c r="L148" s="63" t="s">
        <v>29</v>
      </c>
      <c r="M148" s="12">
        <f>+'Form20 '!B149</f>
        <v>319</v>
      </c>
      <c r="N148" s="18">
        <v>2</v>
      </c>
      <c r="O148" s="58" t="s">
        <v>24</v>
      </c>
      <c r="P148" s="12">
        <f>+'Form20 '!C149</f>
        <v>15</v>
      </c>
      <c r="Q148" s="18">
        <v>3</v>
      </c>
      <c r="R148" s="63" t="s">
        <v>28</v>
      </c>
      <c r="S148" s="12">
        <f>+'Form20 '!D149</f>
        <v>133</v>
      </c>
      <c r="T148" s="18">
        <v>4</v>
      </c>
      <c r="U148" s="64" t="s">
        <v>65</v>
      </c>
      <c r="V148" s="12">
        <f>+'Form20 '!E149</f>
        <v>3</v>
      </c>
      <c r="W148" s="18">
        <v>5</v>
      </c>
      <c r="X148" s="58" t="s">
        <v>66</v>
      </c>
      <c r="Y148" s="12">
        <f>+'Form20 '!F149</f>
        <v>0</v>
      </c>
      <c r="Z148" s="18">
        <v>6</v>
      </c>
      <c r="AA148" s="64" t="s">
        <v>67</v>
      </c>
      <c r="AB148" s="12">
        <f>+'Form20 '!G149</f>
        <v>0</v>
      </c>
      <c r="AC148" s="18">
        <v>7</v>
      </c>
      <c r="AD148" s="63" t="s">
        <v>68</v>
      </c>
      <c r="AE148" s="12">
        <f>+'Form20 '!H149</f>
        <v>0</v>
      </c>
      <c r="AF148" s="18">
        <v>8</v>
      </c>
      <c r="AG148" s="63" t="s">
        <v>69</v>
      </c>
      <c r="AH148" s="12">
        <f>+'Form20 '!I149</f>
        <v>0</v>
      </c>
      <c r="AI148" s="18">
        <v>9</v>
      </c>
      <c r="AJ148" s="65" t="s">
        <v>70</v>
      </c>
      <c r="AK148" s="12">
        <f>+'Form20 '!J149</f>
        <v>1</v>
      </c>
      <c r="AL148" s="18">
        <v>10</v>
      </c>
      <c r="AM148" s="66" t="s">
        <v>30</v>
      </c>
      <c r="AN148" s="12">
        <f>+'Form20 '!K149</f>
        <v>0</v>
      </c>
      <c r="AO148" s="18">
        <v>11</v>
      </c>
      <c r="AP148" s="66" t="s">
        <v>30</v>
      </c>
      <c r="AQ148" s="12">
        <f>+'Form20 '!L149</f>
        <v>1</v>
      </c>
      <c r="AR148" s="18">
        <v>12</v>
      </c>
      <c r="AS148" s="66" t="s">
        <v>30</v>
      </c>
      <c r="AT148" s="12">
        <f>+'Form20 '!M149</f>
        <v>0</v>
      </c>
      <c r="AU148" s="18">
        <v>13</v>
      </c>
      <c r="AV148" s="66" t="s">
        <v>30</v>
      </c>
      <c r="AW148" s="12">
        <f>+'Form20 '!N149</f>
        <v>1</v>
      </c>
      <c r="AX148" s="18">
        <v>14</v>
      </c>
      <c r="AY148" s="66" t="s">
        <v>30</v>
      </c>
      <c r="AZ148" s="12">
        <f>+'Form20 '!O149</f>
        <v>1</v>
      </c>
      <c r="BA148" s="75">
        <f t="shared" si="5"/>
        <v>474</v>
      </c>
    </row>
    <row r="149" spans="1:53" s="67" customFormat="1" ht="59.25" customHeight="1">
      <c r="A149" s="18">
        <v>333</v>
      </c>
      <c r="B149" s="59">
        <v>143</v>
      </c>
      <c r="C149" s="76" t="s">
        <v>220</v>
      </c>
      <c r="D149" s="61">
        <v>713</v>
      </c>
      <c r="E149" s="61">
        <v>185</v>
      </c>
      <c r="F149" s="61">
        <v>221</v>
      </c>
      <c r="G149" s="55">
        <v>0</v>
      </c>
      <c r="H149" s="62">
        <f t="shared" si="4"/>
        <v>406</v>
      </c>
      <c r="I149" s="55">
        <v>35</v>
      </c>
      <c r="J149" s="29">
        <v>0</v>
      </c>
      <c r="K149" s="18">
        <v>1</v>
      </c>
      <c r="L149" s="63" t="s">
        <v>29</v>
      </c>
      <c r="M149" s="12">
        <f>+'Form20 '!B150</f>
        <v>98</v>
      </c>
      <c r="N149" s="18">
        <v>2</v>
      </c>
      <c r="O149" s="58" t="s">
        <v>24</v>
      </c>
      <c r="P149" s="12">
        <f>+'Form20 '!C150</f>
        <v>83</v>
      </c>
      <c r="Q149" s="18">
        <v>3</v>
      </c>
      <c r="R149" s="63" t="s">
        <v>28</v>
      </c>
      <c r="S149" s="12">
        <f>+'Form20 '!D150</f>
        <v>210</v>
      </c>
      <c r="T149" s="18">
        <v>4</v>
      </c>
      <c r="U149" s="64" t="s">
        <v>65</v>
      </c>
      <c r="V149" s="12">
        <f>+'Form20 '!E150</f>
        <v>1</v>
      </c>
      <c r="W149" s="18">
        <v>5</v>
      </c>
      <c r="X149" s="58" t="s">
        <v>66</v>
      </c>
      <c r="Y149" s="12">
        <f>+'Form20 '!F150</f>
        <v>1</v>
      </c>
      <c r="Z149" s="18">
        <v>6</v>
      </c>
      <c r="AA149" s="64" t="s">
        <v>67</v>
      </c>
      <c r="AB149" s="12">
        <f>+'Form20 '!G150</f>
        <v>0</v>
      </c>
      <c r="AC149" s="18">
        <v>7</v>
      </c>
      <c r="AD149" s="63" t="s">
        <v>68</v>
      </c>
      <c r="AE149" s="12">
        <f>+'Form20 '!H150</f>
        <v>0</v>
      </c>
      <c r="AF149" s="18">
        <v>8</v>
      </c>
      <c r="AG149" s="63" t="s">
        <v>69</v>
      </c>
      <c r="AH149" s="12">
        <f>+'Form20 '!I150</f>
        <v>1</v>
      </c>
      <c r="AI149" s="18">
        <v>9</v>
      </c>
      <c r="AJ149" s="65" t="s">
        <v>70</v>
      </c>
      <c r="AK149" s="12">
        <f>+'Form20 '!J150</f>
        <v>3</v>
      </c>
      <c r="AL149" s="18">
        <v>10</v>
      </c>
      <c r="AM149" s="66" t="s">
        <v>30</v>
      </c>
      <c r="AN149" s="12">
        <f>+'Form20 '!K150</f>
        <v>1</v>
      </c>
      <c r="AO149" s="18">
        <v>11</v>
      </c>
      <c r="AP149" s="66" t="s">
        <v>30</v>
      </c>
      <c r="AQ149" s="12">
        <f>+'Form20 '!L150</f>
        <v>2</v>
      </c>
      <c r="AR149" s="18">
        <v>12</v>
      </c>
      <c r="AS149" s="66" t="s">
        <v>30</v>
      </c>
      <c r="AT149" s="12">
        <f>+'Form20 '!M150</f>
        <v>1</v>
      </c>
      <c r="AU149" s="18">
        <v>13</v>
      </c>
      <c r="AV149" s="66" t="s">
        <v>30</v>
      </c>
      <c r="AW149" s="12">
        <f>+'Form20 '!N150</f>
        <v>3</v>
      </c>
      <c r="AX149" s="18">
        <v>14</v>
      </c>
      <c r="AY149" s="66" t="s">
        <v>30</v>
      </c>
      <c r="AZ149" s="12">
        <f>+'Form20 '!O150</f>
        <v>1</v>
      </c>
      <c r="BA149" s="75">
        <f t="shared" si="5"/>
        <v>405</v>
      </c>
    </row>
    <row r="150" spans="1:53" s="67" customFormat="1" ht="59.25" customHeight="1">
      <c r="A150" s="18">
        <v>333</v>
      </c>
      <c r="B150" s="59">
        <v>144</v>
      </c>
      <c r="C150" s="76" t="s">
        <v>221</v>
      </c>
      <c r="D150" s="61">
        <v>1065</v>
      </c>
      <c r="E150" s="61">
        <v>256</v>
      </c>
      <c r="F150" s="61">
        <v>327</v>
      </c>
      <c r="G150" s="55">
        <v>0</v>
      </c>
      <c r="H150" s="62">
        <f t="shared" si="4"/>
        <v>583</v>
      </c>
      <c r="I150" s="55">
        <v>256</v>
      </c>
      <c r="J150" s="29">
        <v>0</v>
      </c>
      <c r="K150" s="18">
        <v>1</v>
      </c>
      <c r="L150" s="63" t="s">
        <v>29</v>
      </c>
      <c r="M150" s="12">
        <f>+'Form20 '!B151</f>
        <v>348</v>
      </c>
      <c r="N150" s="18">
        <v>2</v>
      </c>
      <c r="O150" s="58" t="s">
        <v>24</v>
      </c>
      <c r="P150" s="12">
        <f>+'Form20 '!C151</f>
        <v>25</v>
      </c>
      <c r="Q150" s="18">
        <v>3</v>
      </c>
      <c r="R150" s="63" t="s">
        <v>28</v>
      </c>
      <c r="S150" s="12">
        <f>+'Form20 '!D151</f>
        <v>187</v>
      </c>
      <c r="T150" s="18">
        <v>4</v>
      </c>
      <c r="U150" s="64" t="s">
        <v>65</v>
      </c>
      <c r="V150" s="12">
        <f>+'Form20 '!E151</f>
        <v>2</v>
      </c>
      <c r="W150" s="18">
        <v>5</v>
      </c>
      <c r="X150" s="58" t="s">
        <v>66</v>
      </c>
      <c r="Y150" s="12">
        <f>+'Form20 '!F151</f>
        <v>0</v>
      </c>
      <c r="Z150" s="18">
        <v>6</v>
      </c>
      <c r="AA150" s="64" t="s">
        <v>67</v>
      </c>
      <c r="AB150" s="12">
        <f>+'Form20 '!G151</f>
        <v>0</v>
      </c>
      <c r="AC150" s="18">
        <v>7</v>
      </c>
      <c r="AD150" s="63" t="s">
        <v>68</v>
      </c>
      <c r="AE150" s="12">
        <f>+'Form20 '!H151</f>
        <v>0</v>
      </c>
      <c r="AF150" s="18">
        <v>8</v>
      </c>
      <c r="AG150" s="63" t="s">
        <v>69</v>
      </c>
      <c r="AH150" s="12">
        <f>+'Form20 '!I151</f>
        <v>0</v>
      </c>
      <c r="AI150" s="18">
        <v>9</v>
      </c>
      <c r="AJ150" s="65" t="s">
        <v>70</v>
      </c>
      <c r="AK150" s="12">
        <f>+'Form20 '!J151</f>
        <v>11</v>
      </c>
      <c r="AL150" s="18">
        <v>10</v>
      </c>
      <c r="AM150" s="66" t="s">
        <v>30</v>
      </c>
      <c r="AN150" s="12">
        <f>+'Form20 '!K151</f>
        <v>3</v>
      </c>
      <c r="AO150" s="18">
        <v>11</v>
      </c>
      <c r="AP150" s="66" t="s">
        <v>30</v>
      </c>
      <c r="AQ150" s="12">
        <f>+'Form20 '!L151</f>
        <v>2</v>
      </c>
      <c r="AR150" s="18">
        <v>12</v>
      </c>
      <c r="AS150" s="66" t="s">
        <v>30</v>
      </c>
      <c r="AT150" s="12">
        <f>+'Form20 '!M151</f>
        <v>1</v>
      </c>
      <c r="AU150" s="18">
        <v>13</v>
      </c>
      <c r="AV150" s="66" t="s">
        <v>30</v>
      </c>
      <c r="AW150" s="12">
        <f>+'Form20 '!N151</f>
        <v>1</v>
      </c>
      <c r="AX150" s="18">
        <v>14</v>
      </c>
      <c r="AY150" s="66" t="s">
        <v>30</v>
      </c>
      <c r="AZ150" s="12">
        <f>+'Form20 '!O151</f>
        <v>0</v>
      </c>
      <c r="BA150" s="75">
        <f t="shared" si="5"/>
        <v>580</v>
      </c>
    </row>
    <row r="151" spans="1:53" s="67" customFormat="1" ht="59.25" customHeight="1">
      <c r="A151" s="18">
        <v>333</v>
      </c>
      <c r="B151" s="59">
        <v>145</v>
      </c>
      <c r="C151" s="76" t="s">
        <v>222</v>
      </c>
      <c r="D151" s="61">
        <v>1048</v>
      </c>
      <c r="E151" s="61">
        <v>272</v>
      </c>
      <c r="F151" s="61">
        <v>350</v>
      </c>
      <c r="G151" s="55">
        <v>0</v>
      </c>
      <c r="H151" s="62">
        <f t="shared" si="4"/>
        <v>622</v>
      </c>
      <c r="I151" s="55">
        <v>41</v>
      </c>
      <c r="J151" s="29">
        <v>0</v>
      </c>
      <c r="K151" s="18">
        <v>1</v>
      </c>
      <c r="L151" s="63" t="s">
        <v>29</v>
      </c>
      <c r="M151" s="12">
        <f>+'Form20 '!B152</f>
        <v>310</v>
      </c>
      <c r="N151" s="18">
        <v>2</v>
      </c>
      <c r="O151" s="58" t="s">
        <v>24</v>
      </c>
      <c r="P151" s="12">
        <f>+'Form20 '!C152</f>
        <v>44</v>
      </c>
      <c r="Q151" s="18">
        <v>3</v>
      </c>
      <c r="R151" s="63" t="s">
        <v>28</v>
      </c>
      <c r="S151" s="12">
        <f>+'Form20 '!D152</f>
        <v>243</v>
      </c>
      <c r="T151" s="18">
        <v>4</v>
      </c>
      <c r="U151" s="64" t="s">
        <v>65</v>
      </c>
      <c r="V151" s="12">
        <f>+'Form20 '!E152</f>
        <v>2</v>
      </c>
      <c r="W151" s="18">
        <v>5</v>
      </c>
      <c r="X151" s="58" t="s">
        <v>66</v>
      </c>
      <c r="Y151" s="12">
        <f>+'Form20 '!F152</f>
        <v>1</v>
      </c>
      <c r="Z151" s="18">
        <v>6</v>
      </c>
      <c r="AA151" s="64" t="s">
        <v>67</v>
      </c>
      <c r="AB151" s="12">
        <f>+'Form20 '!G152</f>
        <v>0</v>
      </c>
      <c r="AC151" s="18">
        <v>7</v>
      </c>
      <c r="AD151" s="63" t="s">
        <v>68</v>
      </c>
      <c r="AE151" s="12">
        <f>+'Form20 '!H152</f>
        <v>2</v>
      </c>
      <c r="AF151" s="18">
        <v>8</v>
      </c>
      <c r="AG151" s="63" t="s">
        <v>69</v>
      </c>
      <c r="AH151" s="12">
        <f>+'Form20 '!I152</f>
        <v>1</v>
      </c>
      <c r="AI151" s="18">
        <v>9</v>
      </c>
      <c r="AJ151" s="65" t="s">
        <v>70</v>
      </c>
      <c r="AK151" s="12">
        <f>+'Form20 '!J152</f>
        <v>3</v>
      </c>
      <c r="AL151" s="18">
        <v>10</v>
      </c>
      <c r="AM151" s="66" t="s">
        <v>30</v>
      </c>
      <c r="AN151" s="12">
        <f>+'Form20 '!K152</f>
        <v>2</v>
      </c>
      <c r="AO151" s="18">
        <v>11</v>
      </c>
      <c r="AP151" s="66" t="s">
        <v>30</v>
      </c>
      <c r="AQ151" s="12">
        <f>+'Form20 '!L152</f>
        <v>2</v>
      </c>
      <c r="AR151" s="18">
        <v>12</v>
      </c>
      <c r="AS151" s="66" t="s">
        <v>30</v>
      </c>
      <c r="AT151" s="12">
        <f>+'Form20 '!M152</f>
        <v>2</v>
      </c>
      <c r="AU151" s="18">
        <v>13</v>
      </c>
      <c r="AV151" s="66" t="s">
        <v>30</v>
      </c>
      <c r="AW151" s="12">
        <f>+'Form20 '!N152</f>
        <v>0</v>
      </c>
      <c r="AX151" s="18">
        <v>14</v>
      </c>
      <c r="AY151" s="66" t="s">
        <v>30</v>
      </c>
      <c r="AZ151" s="12">
        <f>+'Form20 '!O152</f>
        <v>1</v>
      </c>
      <c r="BA151" s="75">
        <f t="shared" si="5"/>
        <v>613</v>
      </c>
    </row>
    <row r="152" spans="1:53" s="67" customFormat="1" ht="59.25" customHeight="1">
      <c r="A152" s="18">
        <v>333</v>
      </c>
      <c r="B152" s="59">
        <v>146</v>
      </c>
      <c r="C152" s="76" t="s">
        <v>223</v>
      </c>
      <c r="D152" s="61">
        <v>855</v>
      </c>
      <c r="E152" s="61">
        <v>251</v>
      </c>
      <c r="F152" s="61">
        <v>306</v>
      </c>
      <c r="G152" s="55">
        <v>0</v>
      </c>
      <c r="H152" s="62">
        <f t="shared" si="4"/>
        <v>557</v>
      </c>
      <c r="I152" s="55">
        <v>49</v>
      </c>
      <c r="J152" s="29">
        <v>0</v>
      </c>
      <c r="K152" s="18">
        <v>1</v>
      </c>
      <c r="L152" s="63" t="s">
        <v>29</v>
      </c>
      <c r="M152" s="12">
        <f>+'Form20 '!B153</f>
        <v>427</v>
      </c>
      <c r="N152" s="18">
        <v>2</v>
      </c>
      <c r="O152" s="58" t="s">
        <v>24</v>
      </c>
      <c r="P152" s="12">
        <f>+'Form20 '!C153</f>
        <v>7</v>
      </c>
      <c r="Q152" s="18">
        <v>3</v>
      </c>
      <c r="R152" s="63" t="s">
        <v>28</v>
      </c>
      <c r="S152" s="12">
        <f>+'Form20 '!D153</f>
        <v>104</v>
      </c>
      <c r="T152" s="18">
        <v>4</v>
      </c>
      <c r="U152" s="64" t="s">
        <v>65</v>
      </c>
      <c r="V152" s="12">
        <f>+'Form20 '!E153</f>
        <v>1</v>
      </c>
      <c r="W152" s="18">
        <v>5</v>
      </c>
      <c r="X152" s="58" t="s">
        <v>66</v>
      </c>
      <c r="Y152" s="12">
        <f>+'Form20 '!F153</f>
        <v>0</v>
      </c>
      <c r="Z152" s="18">
        <v>6</v>
      </c>
      <c r="AA152" s="64" t="s">
        <v>67</v>
      </c>
      <c r="AB152" s="12">
        <f>+'Form20 '!G153</f>
        <v>1</v>
      </c>
      <c r="AC152" s="18">
        <v>7</v>
      </c>
      <c r="AD152" s="63" t="s">
        <v>68</v>
      </c>
      <c r="AE152" s="12">
        <f>+'Form20 '!H153</f>
        <v>0</v>
      </c>
      <c r="AF152" s="18">
        <v>8</v>
      </c>
      <c r="AG152" s="63" t="s">
        <v>69</v>
      </c>
      <c r="AH152" s="12">
        <f>+'Form20 '!I153</f>
        <v>1</v>
      </c>
      <c r="AI152" s="18">
        <v>9</v>
      </c>
      <c r="AJ152" s="65" t="s">
        <v>70</v>
      </c>
      <c r="AK152" s="12">
        <f>+'Form20 '!J153</f>
        <v>8</v>
      </c>
      <c r="AL152" s="18">
        <v>10</v>
      </c>
      <c r="AM152" s="66" t="s">
        <v>30</v>
      </c>
      <c r="AN152" s="12">
        <f>+'Form20 '!K153</f>
        <v>1</v>
      </c>
      <c r="AO152" s="18">
        <v>11</v>
      </c>
      <c r="AP152" s="66" t="s">
        <v>30</v>
      </c>
      <c r="AQ152" s="12">
        <f>+'Form20 '!L153</f>
        <v>1</v>
      </c>
      <c r="AR152" s="18">
        <v>12</v>
      </c>
      <c r="AS152" s="66" t="s">
        <v>30</v>
      </c>
      <c r="AT152" s="12">
        <f>+'Form20 '!M153</f>
        <v>2</v>
      </c>
      <c r="AU152" s="18">
        <v>13</v>
      </c>
      <c r="AV152" s="66" t="s">
        <v>30</v>
      </c>
      <c r="AW152" s="12">
        <f>+'Form20 '!N153</f>
        <v>0</v>
      </c>
      <c r="AX152" s="18">
        <v>14</v>
      </c>
      <c r="AY152" s="66" t="s">
        <v>30</v>
      </c>
      <c r="AZ152" s="12">
        <f>+'Form20 '!O153</f>
        <v>2</v>
      </c>
      <c r="BA152" s="75">
        <f t="shared" si="5"/>
        <v>555</v>
      </c>
    </row>
    <row r="153" spans="1:53" s="67" customFormat="1" ht="59.25" customHeight="1">
      <c r="A153" s="18">
        <v>333</v>
      </c>
      <c r="B153" s="59">
        <v>147</v>
      </c>
      <c r="C153" s="76" t="s">
        <v>224</v>
      </c>
      <c r="D153" s="61">
        <v>811</v>
      </c>
      <c r="E153" s="61">
        <v>237</v>
      </c>
      <c r="F153" s="61">
        <v>261</v>
      </c>
      <c r="G153" s="55">
        <v>0</v>
      </c>
      <c r="H153" s="62">
        <f t="shared" si="4"/>
        <v>498</v>
      </c>
      <c r="I153" s="55">
        <v>27</v>
      </c>
      <c r="J153" s="29">
        <v>0</v>
      </c>
      <c r="K153" s="18">
        <v>1</v>
      </c>
      <c r="L153" s="63" t="s">
        <v>29</v>
      </c>
      <c r="M153" s="12">
        <f>+'Form20 '!B154</f>
        <v>209</v>
      </c>
      <c r="N153" s="18">
        <v>2</v>
      </c>
      <c r="O153" s="58" t="s">
        <v>24</v>
      </c>
      <c r="P153" s="12">
        <f>+'Form20 '!C154</f>
        <v>11</v>
      </c>
      <c r="Q153" s="18">
        <v>3</v>
      </c>
      <c r="R153" s="63" t="s">
        <v>28</v>
      </c>
      <c r="S153" s="12">
        <f>+'Form20 '!D154</f>
        <v>264</v>
      </c>
      <c r="T153" s="18">
        <v>4</v>
      </c>
      <c r="U153" s="64" t="s">
        <v>65</v>
      </c>
      <c r="V153" s="12">
        <f>+'Form20 '!E154</f>
        <v>1</v>
      </c>
      <c r="W153" s="18">
        <v>5</v>
      </c>
      <c r="X153" s="58" t="s">
        <v>66</v>
      </c>
      <c r="Y153" s="12">
        <f>+'Form20 '!F154</f>
        <v>0</v>
      </c>
      <c r="Z153" s="18">
        <v>6</v>
      </c>
      <c r="AA153" s="64" t="s">
        <v>67</v>
      </c>
      <c r="AB153" s="12">
        <f>+'Form20 '!G154</f>
        <v>0</v>
      </c>
      <c r="AC153" s="18">
        <v>7</v>
      </c>
      <c r="AD153" s="63" t="s">
        <v>68</v>
      </c>
      <c r="AE153" s="12">
        <f>+'Form20 '!H154</f>
        <v>0</v>
      </c>
      <c r="AF153" s="18">
        <v>8</v>
      </c>
      <c r="AG153" s="63" t="s">
        <v>69</v>
      </c>
      <c r="AH153" s="12">
        <f>+'Form20 '!I154</f>
        <v>1</v>
      </c>
      <c r="AI153" s="18">
        <v>9</v>
      </c>
      <c r="AJ153" s="65" t="s">
        <v>70</v>
      </c>
      <c r="AK153" s="12">
        <f>+'Form20 '!J154</f>
        <v>4</v>
      </c>
      <c r="AL153" s="18">
        <v>10</v>
      </c>
      <c r="AM153" s="66" t="s">
        <v>30</v>
      </c>
      <c r="AN153" s="12">
        <f>+'Form20 '!K154</f>
        <v>0</v>
      </c>
      <c r="AO153" s="18">
        <v>11</v>
      </c>
      <c r="AP153" s="66" t="s">
        <v>30</v>
      </c>
      <c r="AQ153" s="12">
        <f>+'Form20 '!L154</f>
        <v>0</v>
      </c>
      <c r="AR153" s="18">
        <v>12</v>
      </c>
      <c r="AS153" s="66" t="s">
        <v>30</v>
      </c>
      <c r="AT153" s="12">
        <f>+'Form20 '!M154</f>
        <v>1</v>
      </c>
      <c r="AU153" s="18">
        <v>13</v>
      </c>
      <c r="AV153" s="66" t="s">
        <v>30</v>
      </c>
      <c r="AW153" s="12">
        <f>+'Form20 '!N154</f>
        <v>3</v>
      </c>
      <c r="AX153" s="18">
        <v>14</v>
      </c>
      <c r="AY153" s="66" t="s">
        <v>30</v>
      </c>
      <c r="AZ153" s="12">
        <f>+'Form20 '!O154</f>
        <v>3</v>
      </c>
      <c r="BA153" s="75">
        <f t="shared" si="5"/>
        <v>497</v>
      </c>
    </row>
    <row r="154" spans="1:53" s="67" customFormat="1" ht="59.25" customHeight="1">
      <c r="A154" s="18">
        <v>333</v>
      </c>
      <c r="B154" s="59">
        <v>148</v>
      </c>
      <c r="C154" s="76" t="s">
        <v>225</v>
      </c>
      <c r="D154" s="61">
        <v>880</v>
      </c>
      <c r="E154" s="61">
        <v>231</v>
      </c>
      <c r="F154" s="61">
        <v>267</v>
      </c>
      <c r="G154" s="55">
        <v>0</v>
      </c>
      <c r="H154" s="62">
        <f t="shared" si="4"/>
        <v>498</v>
      </c>
      <c r="I154" s="55">
        <v>93</v>
      </c>
      <c r="J154" s="29">
        <v>0</v>
      </c>
      <c r="K154" s="18">
        <v>1</v>
      </c>
      <c r="L154" s="63" t="s">
        <v>29</v>
      </c>
      <c r="M154" s="12">
        <f>+'Form20 '!B155</f>
        <v>239</v>
      </c>
      <c r="N154" s="18">
        <v>2</v>
      </c>
      <c r="O154" s="58" t="s">
        <v>24</v>
      </c>
      <c r="P154" s="12">
        <f>+'Form20 '!C155</f>
        <v>45</v>
      </c>
      <c r="Q154" s="18">
        <v>3</v>
      </c>
      <c r="R154" s="63" t="s">
        <v>28</v>
      </c>
      <c r="S154" s="12">
        <f>+'Form20 '!D155</f>
        <v>187</v>
      </c>
      <c r="T154" s="18">
        <v>4</v>
      </c>
      <c r="U154" s="64" t="s">
        <v>65</v>
      </c>
      <c r="V154" s="12">
        <f>+'Form20 '!E155</f>
        <v>1</v>
      </c>
      <c r="W154" s="18">
        <v>5</v>
      </c>
      <c r="X154" s="58" t="s">
        <v>66</v>
      </c>
      <c r="Y154" s="12">
        <f>+'Form20 '!F155</f>
        <v>0</v>
      </c>
      <c r="Z154" s="18">
        <v>6</v>
      </c>
      <c r="AA154" s="64" t="s">
        <v>67</v>
      </c>
      <c r="AB154" s="12">
        <f>+'Form20 '!G155</f>
        <v>0</v>
      </c>
      <c r="AC154" s="18">
        <v>7</v>
      </c>
      <c r="AD154" s="63" t="s">
        <v>68</v>
      </c>
      <c r="AE154" s="12">
        <f>+'Form20 '!H155</f>
        <v>1</v>
      </c>
      <c r="AF154" s="18">
        <v>8</v>
      </c>
      <c r="AG154" s="63" t="s">
        <v>69</v>
      </c>
      <c r="AH154" s="12">
        <f>+'Form20 '!I155</f>
        <v>1</v>
      </c>
      <c r="AI154" s="18">
        <v>9</v>
      </c>
      <c r="AJ154" s="65" t="s">
        <v>70</v>
      </c>
      <c r="AK154" s="12">
        <f>+'Form20 '!J155</f>
        <v>15</v>
      </c>
      <c r="AL154" s="18">
        <v>10</v>
      </c>
      <c r="AM154" s="66" t="s">
        <v>30</v>
      </c>
      <c r="AN154" s="12">
        <f>+'Form20 '!K155</f>
        <v>1</v>
      </c>
      <c r="AO154" s="18">
        <v>11</v>
      </c>
      <c r="AP154" s="66" t="s">
        <v>30</v>
      </c>
      <c r="AQ154" s="12">
        <f>+'Form20 '!L155</f>
        <v>2</v>
      </c>
      <c r="AR154" s="18">
        <v>12</v>
      </c>
      <c r="AS154" s="66" t="s">
        <v>30</v>
      </c>
      <c r="AT154" s="12">
        <f>+'Form20 '!M155</f>
        <v>1</v>
      </c>
      <c r="AU154" s="18">
        <v>13</v>
      </c>
      <c r="AV154" s="66" t="s">
        <v>30</v>
      </c>
      <c r="AW154" s="12">
        <f>+'Form20 '!N155</f>
        <v>2</v>
      </c>
      <c r="AX154" s="18">
        <v>14</v>
      </c>
      <c r="AY154" s="66" t="s">
        <v>30</v>
      </c>
      <c r="AZ154" s="12">
        <f>+'Form20 '!O155</f>
        <v>1</v>
      </c>
      <c r="BA154" s="75">
        <f t="shared" si="5"/>
        <v>496</v>
      </c>
    </row>
    <row r="155" spans="1:53" s="67" customFormat="1" ht="59.25" customHeight="1">
      <c r="A155" s="18">
        <v>333</v>
      </c>
      <c r="B155" s="59">
        <v>149</v>
      </c>
      <c r="C155" s="76" t="s">
        <v>226</v>
      </c>
      <c r="D155" s="61">
        <v>712</v>
      </c>
      <c r="E155" s="61">
        <v>151</v>
      </c>
      <c r="F155" s="61">
        <v>223</v>
      </c>
      <c r="G155" s="55">
        <v>0</v>
      </c>
      <c r="H155" s="62">
        <f t="shared" si="4"/>
        <v>374</v>
      </c>
      <c r="I155" s="55">
        <v>18</v>
      </c>
      <c r="J155" s="29">
        <v>0</v>
      </c>
      <c r="K155" s="18">
        <v>1</v>
      </c>
      <c r="L155" s="63" t="s">
        <v>29</v>
      </c>
      <c r="M155" s="12">
        <f>+'Form20 '!B156</f>
        <v>179</v>
      </c>
      <c r="N155" s="18">
        <v>2</v>
      </c>
      <c r="O155" s="58" t="s">
        <v>24</v>
      </c>
      <c r="P155" s="12">
        <f>+'Form20 '!C156</f>
        <v>32</v>
      </c>
      <c r="Q155" s="18">
        <v>3</v>
      </c>
      <c r="R155" s="63" t="s">
        <v>28</v>
      </c>
      <c r="S155" s="12">
        <f>+'Form20 '!D156</f>
        <v>132</v>
      </c>
      <c r="T155" s="18">
        <v>4</v>
      </c>
      <c r="U155" s="64" t="s">
        <v>65</v>
      </c>
      <c r="V155" s="12">
        <f>+'Form20 '!E156</f>
        <v>2</v>
      </c>
      <c r="W155" s="18">
        <v>5</v>
      </c>
      <c r="X155" s="58" t="s">
        <v>66</v>
      </c>
      <c r="Y155" s="12">
        <f>+'Form20 '!F156</f>
        <v>1</v>
      </c>
      <c r="Z155" s="18">
        <v>6</v>
      </c>
      <c r="AA155" s="64" t="s">
        <v>67</v>
      </c>
      <c r="AB155" s="12">
        <f>+'Form20 '!G156</f>
        <v>0</v>
      </c>
      <c r="AC155" s="18">
        <v>7</v>
      </c>
      <c r="AD155" s="63" t="s">
        <v>68</v>
      </c>
      <c r="AE155" s="12">
        <f>+'Form20 '!H156</f>
        <v>0</v>
      </c>
      <c r="AF155" s="18">
        <v>8</v>
      </c>
      <c r="AG155" s="63" t="s">
        <v>69</v>
      </c>
      <c r="AH155" s="12">
        <f>+'Form20 '!I156</f>
        <v>1</v>
      </c>
      <c r="AI155" s="18">
        <v>9</v>
      </c>
      <c r="AJ155" s="65" t="s">
        <v>70</v>
      </c>
      <c r="AK155" s="12">
        <f>+'Form20 '!J156</f>
        <v>13</v>
      </c>
      <c r="AL155" s="18">
        <v>10</v>
      </c>
      <c r="AM155" s="66" t="s">
        <v>30</v>
      </c>
      <c r="AN155" s="12">
        <f>+'Form20 '!K156</f>
        <v>2</v>
      </c>
      <c r="AO155" s="18">
        <v>11</v>
      </c>
      <c r="AP155" s="66" t="s">
        <v>30</v>
      </c>
      <c r="AQ155" s="12">
        <f>+'Form20 '!L156</f>
        <v>1</v>
      </c>
      <c r="AR155" s="18">
        <v>12</v>
      </c>
      <c r="AS155" s="66" t="s">
        <v>30</v>
      </c>
      <c r="AT155" s="12">
        <f>+'Form20 '!M156</f>
        <v>2</v>
      </c>
      <c r="AU155" s="18">
        <v>13</v>
      </c>
      <c r="AV155" s="66" t="s">
        <v>30</v>
      </c>
      <c r="AW155" s="12">
        <f>+'Form20 '!N156</f>
        <v>1</v>
      </c>
      <c r="AX155" s="18">
        <v>14</v>
      </c>
      <c r="AY155" s="66" t="s">
        <v>30</v>
      </c>
      <c r="AZ155" s="12">
        <f>+'Form20 '!O156</f>
        <v>3</v>
      </c>
      <c r="BA155" s="75">
        <f t="shared" si="5"/>
        <v>369</v>
      </c>
    </row>
    <row r="156" spans="1:53" s="67" customFormat="1" ht="59.25" customHeight="1">
      <c r="A156" s="18">
        <v>333</v>
      </c>
      <c r="B156" s="59">
        <v>150</v>
      </c>
      <c r="C156" s="76" t="s">
        <v>227</v>
      </c>
      <c r="D156" s="61">
        <v>790</v>
      </c>
      <c r="E156" s="61">
        <v>184</v>
      </c>
      <c r="F156" s="61">
        <v>247</v>
      </c>
      <c r="G156" s="55">
        <v>0</v>
      </c>
      <c r="H156" s="62">
        <f t="shared" si="4"/>
        <v>431</v>
      </c>
      <c r="I156" s="55">
        <v>43</v>
      </c>
      <c r="J156" s="29">
        <v>0</v>
      </c>
      <c r="K156" s="18">
        <v>1</v>
      </c>
      <c r="L156" s="63" t="s">
        <v>29</v>
      </c>
      <c r="M156" s="12">
        <f>+'Form20 '!B157</f>
        <v>203</v>
      </c>
      <c r="N156" s="18">
        <v>2</v>
      </c>
      <c r="O156" s="58" t="s">
        <v>24</v>
      </c>
      <c r="P156" s="12">
        <f>+'Form20 '!C157</f>
        <v>21</v>
      </c>
      <c r="Q156" s="18">
        <v>3</v>
      </c>
      <c r="R156" s="63" t="s">
        <v>28</v>
      </c>
      <c r="S156" s="12">
        <f>+'Form20 '!D157</f>
        <v>167</v>
      </c>
      <c r="T156" s="18">
        <v>4</v>
      </c>
      <c r="U156" s="64" t="s">
        <v>65</v>
      </c>
      <c r="V156" s="12">
        <f>+'Form20 '!E157</f>
        <v>1</v>
      </c>
      <c r="W156" s="18">
        <v>5</v>
      </c>
      <c r="X156" s="58" t="s">
        <v>66</v>
      </c>
      <c r="Y156" s="12">
        <f>+'Form20 '!F157</f>
        <v>0</v>
      </c>
      <c r="Z156" s="18">
        <v>6</v>
      </c>
      <c r="AA156" s="64" t="s">
        <v>67</v>
      </c>
      <c r="AB156" s="12">
        <f>+'Form20 '!G157</f>
        <v>0</v>
      </c>
      <c r="AC156" s="18">
        <v>7</v>
      </c>
      <c r="AD156" s="63" t="s">
        <v>68</v>
      </c>
      <c r="AE156" s="12">
        <f>+'Form20 '!H157</f>
        <v>1</v>
      </c>
      <c r="AF156" s="18">
        <v>8</v>
      </c>
      <c r="AG156" s="63" t="s">
        <v>69</v>
      </c>
      <c r="AH156" s="12">
        <f>+'Form20 '!I157</f>
        <v>0</v>
      </c>
      <c r="AI156" s="18">
        <v>9</v>
      </c>
      <c r="AJ156" s="65" t="s">
        <v>70</v>
      </c>
      <c r="AK156" s="12">
        <f>+'Form20 '!J157</f>
        <v>23</v>
      </c>
      <c r="AL156" s="18">
        <v>10</v>
      </c>
      <c r="AM156" s="66" t="s">
        <v>30</v>
      </c>
      <c r="AN156" s="12">
        <f>+'Form20 '!K157</f>
        <v>0</v>
      </c>
      <c r="AO156" s="18">
        <v>11</v>
      </c>
      <c r="AP156" s="66" t="s">
        <v>30</v>
      </c>
      <c r="AQ156" s="12">
        <f>+'Form20 '!L157</f>
        <v>1</v>
      </c>
      <c r="AR156" s="18">
        <v>12</v>
      </c>
      <c r="AS156" s="66" t="s">
        <v>30</v>
      </c>
      <c r="AT156" s="12">
        <f>+'Form20 '!M157</f>
        <v>2</v>
      </c>
      <c r="AU156" s="18">
        <v>13</v>
      </c>
      <c r="AV156" s="66" t="s">
        <v>30</v>
      </c>
      <c r="AW156" s="12">
        <f>+'Form20 '!N157</f>
        <v>2</v>
      </c>
      <c r="AX156" s="18">
        <v>14</v>
      </c>
      <c r="AY156" s="66" t="s">
        <v>30</v>
      </c>
      <c r="AZ156" s="12">
        <f>+'Form20 '!O157</f>
        <v>1</v>
      </c>
      <c r="BA156" s="75">
        <f t="shared" si="5"/>
        <v>422</v>
      </c>
    </row>
    <row r="157" spans="1:53" s="67" customFormat="1" ht="59.25" customHeight="1">
      <c r="A157" s="18">
        <v>333</v>
      </c>
      <c r="B157" s="59">
        <v>151</v>
      </c>
      <c r="C157" s="76" t="s">
        <v>228</v>
      </c>
      <c r="D157" s="61">
        <v>671</v>
      </c>
      <c r="E157" s="61">
        <v>197</v>
      </c>
      <c r="F157" s="61">
        <v>216</v>
      </c>
      <c r="G157" s="55">
        <v>0</v>
      </c>
      <c r="H157" s="62">
        <f t="shared" si="4"/>
        <v>413</v>
      </c>
      <c r="I157" s="55">
        <v>32</v>
      </c>
      <c r="J157" s="29">
        <v>0</v>
      </c>
      <c r="K157" s="18">
        <v>1</v>
      </c>
      <c r="L157" s="63" t="s">
        <v>29</v>
      </c>
      <c r="M157" s="12">
        <f>+'Form20 '!B158</f>
        <v>221</v>
      </c>
      <c r="N157" s="18">
        <v>2</v>
      </c>
      <c r="O157" s="58" t="s">
        <v>24</v>
      </c>
      <c r="P157" s="12">
        <f>+'Form20 '!C158</f>
        <v>21</v>
      </c>
      <c r="Q157" s="18">
        <v>3</v>
      </c>
      <c r="R157" s="63" t="s">
        <v>28</v>
      </c>
      <c r="S157" s="12">
        <f>+'Form20 '!D158</f>
        <v>156</v>
      </c>
      <c r="T157" s="18">
        <v>4</v>
      </c>
      <c r="U157" s="64" t="s">
        <v>65</v>
      </c>
      <c r="V157" s="12">
        <f>+'Form20 '!E158</f>
        <v>2</v>
      </c>
      <c r="W157" s="18">
        <v>5</v>
      </c>
      <c r="X157" s="58" t="s">
        <v>66</v>
      </c>
      <c r="Y157" s="12">
        <f>+'Form20 '!F158</f>
        <v>0</v>
      </c>
      <c r="Z157" s="18">
        <v>6</v>
      </c>
      <c r="AA157" s="64" t="s">
        <v>67</v>
      </c>
      <c r="AB157" s="12">
        <f>+'Form20 '!G158</f>
        <v>0</v>
      </c>
      <c r="AC157" s="18">
        <v>7</v>
      </c>
      <c r="AD157" s="63" t="s">
        <v>68</v>
      </c>
      <c r="AE157" s="12">
        <f>+'Form20 '!H158</f>
        <v>1</v>
      </c>
      <c r="AF157" s="18">
        <v>8</v>
      </c>
      <c r="AG157" s="63" t="s">
        <v>69</v>
      </c>
      <c r="AH157" s="12">
        <f>+'Form20 '!I158</f>
        <v>0</v>
      </c>
      <c r="AI157" s="18">
        <v>9</v>
      </c>
      <c r="AJ157" s="65" t="s">
        <v>70</v>
      </c>
      <c r="AK157" s="12">
        <f>+'Form20 '!J158</f>
        <v>8</v>
      </c>
      <c r="AL157" s="18">
        <v>10</v>
      </c>
      <c r="AM157" s="66" t="s">
        <v>30</v>
      </c>
      <c r="AN157" s="12">
        <f>+'Form20 '!K158</f>
        <v>0</v>
      </c>
      <c r="AO157" s="18">
        <v>11</v>
      </c>
      <c r="AP157" s="66" t="s">
        <v>30</v>
      </c>
      <c r="AQ157" s="12">
        <f>+'Form20 '!L158</f>
        <v>0</v>
      </c>
      <c r="AR157" s="18">
        <v>12</v>
      </c>
      <c r="AS157" s="66" t="s">
        <v>30</v>
      </c>
      <c r="AT157" s="12">
        <f>+'Form20 '!M158</f>
        <v>1</v>
      </c>
      <c r="AU157" s="18">
        <v>13</v>
      </c>
      <c r="AV157" s="66" t="s">
        <v>30</v>
      </c>
      <c r="AW157" s="12">
        <f>+'Form20 '!N158</f>
        <v>2</v>
      </c>
      <c r="AX157" s="18">
        <v>14</v>
      </c>
      <c r="AY157" s="66" t="s">
        <v>30</v>
      </c>
      <c r="AZ157" s="12">
        <f>+'Form20 '!O158</f>
        <v>1</v>
      </c>
      <c r="BA157" s="75">
        <f t="shared" si="5"/>
        <v>413</v>
      </c>
    </row>
    <row r="158" spans="1:53" s="67" customFormat="1" ht="59.25" customHeight="1">
      <c r="A158" s="18">
        <v>333</v>
      </c>
      <c r="B158" s="59">
        <v>152</v>
      </c>
      <c r="C158" s="76" t="s">
        <v>229</v>
      </c>
      <c r="D158" s="61">
        <v>597</v>
      </c>
      <c r="E158" s="61">
        <v>166</v>
      </c>
      <c r="F158" s="61">
        <v>224</v>
      </c>
      <c r="G158" s="55">
        <v>0</v>
      </c>
      <c r="H158" s="62">
        <f t="shared" si="4"/>
        <v>390</v>
      </c>
      <c r="I158" s="55">
        <v>200</v>
      </c>
      <c r="J158" s="29">
        <v>0</v>
      </c>
      <c r="K158" s="18">
        <v>1</v>
      </c>
      <c r="L158" s="63" t="s">
        <v>29</v>
      </c>
      <c r="M158" s="12">
        <f>+'Form20 '!B159</f>
        <v>125</v>
      </c>
      <c r="N158" s="18">
        <v>2</v>
      </c>
      <c r="O158" s="58" t="s">
        <v>24</v>
      </c>
      <c r="P158" s="12">
        <f>+'Form20 '!C159</f>
        <v>72</v>
      </c>
      <c r="Q158" s="18">
        <v>3</v>
      </c>
      <c r="R158" s="63" t="s">
        <v>28</v>
      </c>
      <c r="S158" s="12">
        <f>+'Form20 '!D159</f>
        <v>170</v>
      </c>
      <c r="T158" s="18">
        <v>4</v>
      </c>
      <c r="U158" s="64" t="s">
        <v>65</v>
      </c>
      <c r="V158" s="12">
        <f>+'Form20 '!E159</f>
        <v>0</v>
      </c>
      <c r="W158" s="18">
        <v>5</v>
      </c>
      <c r="X158" s="58" t="s">
        <v>66</v>
      </c>
      <c r="Y158" s="12">
        <f>+'Form20 '!F159</f>
        <v>0</v>
      </c>
      <c r="Z158" s="18">
        <v>6</v>
      </c>
      <c r="AA158" s="64" t="s">
        <v>67</v>
      </c>
      <c r="AB158" s="12">
        <f>+'Form20 '!G159</f>
        <v>0</v>
      </c>
      <c r="AC158" s="18">
        <v>7</v>
      </c>
      <c r="AD158" s="63" t="s">
        <v>68</v>
      </c>
      <c r="AE158" s="12">
        <f>+'Form20 '!H159</f>
        <v>1</v>
      </c>
      <c r="AF158" s="18">
        <v>8</v>
      </c>
      <c r="AG158" s="63" t="s">
        <v>69</v>
      </c>
      <c r="AH158" s="12">
        <f>+'Form20 '!I159</f>
        <v>0</v>
      </c>
      <c r="AI158" s="18">
        <v>9</v>
      </c>
      <c r="AJ158" s="65" t="s">
        <v>70</v>
      </c>
      <c r="AK158" s="12">
        <f>+'Form20 '!J159</f>
        <v>16</v>
      </c>
      <c r="AL158" s="18">
        <v>10</v>
      </c>
      <c r="AM158" s="66" t="s">
        <v>30</v>
      </c>
      <c r="AN158" s="12">
        <f>+'Form20 '!K159</f>
        <v>0</v>
      </c>
      <c r="AO158" s="18">
        <v>11</v>
      </c>
      <c r="AP158" s="66" t="s">
        <v>30</v>
      </c>
      <c r="AQ158" s="12">
        <f>+'Form20 '!L159</f>
        <v>0</v>
      </c>
      <c r="AR158" s="18">
        <v>12</v>
      </c>
      <c r="AS158" s="66" t="s">
        <v>30</v>
      </c>
      <c r="AT158" s="12">
        <f>+'Form20 '!M159</f>
        <v>1</v>
      </c>
      <c r="AU158" s="18">
        <v>13</v>
      </c>
      <c r="AV158" s="66" t="s">
        <v>30</v>
      </c>
      <c r="AW158" s="12">
        <f>+'Form20 '!N159</f>
        <v>2</v>
      </c>
      <c r="AX158" s="18">
        <v>14</v>
      </c>
      <c r="AY158" s="66" t="s">
        <v>30</v>
      </c>
      <c r="AZ158" s="12">
        <f>+'Form20 '!O159</f>
        <v>0</v>
      </c>
      <c r="BA158" s="75">
        <f t="shared" si="5"/>
        <v>387</v>
      </c>
    </row>
    <row r="159" spans="1:53" s="67" customFormat="1" ht="59.25" customHeight="1">
      <c r="A159" s="18">
        <v>333</v>
      </c>
      <c r="B159" s="59">
        <v>153</v>
      </c>
      <c r="C159" s="76" t="s">
        <v>230</v>
      </c>
      <c r="D159" s="61">
        <v>939</v>
      </c>
      <c r="E159" s="61">
        <v>229</v>
      </c>
      <c r="F159" s="61">
        <v>287</v>
      </c>
      <c r="G159" s="55">
        <v>0</v>
      </c>
      <c r="H159" s="62">
        <f t="shared" si="4"/>
        <v>516</v>
      </c>
      <c r="I159" s="55">
        <v>114</v>
      </c>
      <c r="J159" s="29">
        <v>0</v>
      </c>
      <c r="K159" s="18">
        <v>1</v>
      </c>
      <c r="L159" s="63" t="s">
        <v>29</v>
      </c>
      <c r="M159" s="12">
        <f>+'Form20 '!B160</f>
        <v>317</v>
      </c>
      <c r="N159" s="18">
        <v>2</v>
      </c>
      <c r="O159" s="58" t="s">
        <v>24</v>
      </c>
      <c r="P159" s="12">
        <f>+'Form20 '!C160</f>
        <v>3</v>
      </c>
      <c r="Q159" s="18">
        <v>3</v>
      </c>
      <c r="R159" s="63" t="s">
        <v>28</v>
      </c>
      <c r="S159" s="12">
        <f>+'Form20 '!D160</f>
        <v>176</v>
      </c>
      <c r="T159" s="18">
        <v>4</v>
      </c>
      <c r="U159" s="64" t="s">
        <v>65</v>
      </c>
      <c r="V159" s="12">
        <f>+'Form20 '!E160</f>
        <v>6</v>
      </c>
      <c r="W159" s="18">
        <v>5</v>
      </c>
      <c r="X159" s="58" t="s">
        <v>66</v>
      </c>
      <c r="Y159" s="12">
        <f>+'Form20 '!F160</f>
        <v>0</v>
      </c>
      <c r="Z159" s="18">
        <v>6</v>
      </c>
      <c r="AA159" s="64" t="s">
        <v>67</v>
      </c>
      <c r="AB159" s="12">
        <f>+'Form20 '!G160</f>
        <v>0</v>
      </c>
      <c r="AC159" s="18">
        <v>7</v>
      </c>
      <c r="AD159" s="63" t="s">
        <v>68</v>
      </c>
      <c r="AE159" s="12">
        <f>+'Form20 '!H160</f>
        <v>0</v>
      </c>
      <c r="AF159" s="18">
        <v>8</v>
      </c>
      <c r="AG159" s="63" t="s">
        <v>69</v>
      </c>
      <c r="AH159" s="12">
        <f>+'Form20 '!I160</f>
        <v>0</v>
      </c>
      <c r="AI159" s="18">
        <v>9</v>
      </c>
      <c r="AJ159" s="65" t="s">
        <v>70</v>
      </c>
      <c r="AK159" s="12">
        <f>+'Form20 '!J160</f>
        <v>9</v>
      </c>
      <c r="AL159" s="18">
        <v>10</v>
      </c>
      <c r="AM159" s="66" t="s">
        <v>30</v>
      </c>
      <c r="AN159" s="12">
        <f>+'Form20 '!K160</f>
        <v>0</v>
      </c>
      <c r="AO159" s="18">
        <v>11</v>
      </c>
      <c r="AP159" s="66" t="s">
        <v>30</v>
      </c>
      <c r="AQ159" s="12">
        <f>+'Form20 '!L160</f>
        <v>0</v>
      </c>
      <c r="AR159" s="18">
        <v>12</v>
      </c>
      <c r="AS159" s="66" t="s">
        <v>30</v>
      </c>
      <c r="AT159" s="12">
        <f>+'Form20 '!M160</f>
        <v>0</v>
      </c>
      <c r="AU159" s="18">
        <v>13</v>
      </c>
      <c r="AV159" s="66" t="s">
        <v>30</v>
      </c>
      <c r="AW159" s="12">
        <f>+'Form20 '!N160</f>
        <v>1</v>
      </c>
      <c r="AX159" s="18">
        <v>14</v>
      </c>
      <c r="AY159" s="66" t="s">
        <v>30</v>
      </c>
      <c r="AZ159" s="12">
        <f>+'Form20 '!O160</f>
        <v>0</v>
      </c>
      <c r="BA159" s="75">
        <f t="shared" si="5"/>
        <v>512</v>
      </c>
    </row>
    <row r="160" spans="1:53" s="67" customFormat="1" ht="59.25" customHeight="1">
      <c r="A160" s="18">
        <v>333</v>
      </c>
      <c r="B160" s="59">
        <v>154</v>
      </c>
      <c r="C160" s="76" t="s">
        <v>231</v>
      </c>
      <c r="D160" s="61">
        <v>857</v>
      </c>
      <c r="E160" s="61">
        <v>196</v>
      </c>
      <c r="F160" s="61">
        <v>242</v>
      </c>
      <c r="G160" s="55">
        <v>0</v>
      </c>
      <c r="H160" s="62">
        <f t="shared" si="4"/>
        <v>438</v>
      </c>
      <c r="I160" s="55">
        <v>66</v>
      </c>
      <c r="J160" s="29">
        <v>0</v>
      </c>
      <c r="K160" s="18">
        <v>1</v>
      </c>
      <c r="L160" s="63" t="s">
        <v>29</v>
      </c>
      <c r="M160" s="12">
        <f>+'Form20 '!B161</f>
        <v>242</v>
      </c>
      <c r="N160" s="18">
        <v>2</v>
      </c>
      <c r="O160" s="58" t="s">
        <v>24</v>
      </c>
      <c r="P160" s="12">
        <f>+'Form20 '!C161</f>
        <v>5</v>
      </c>
      <c r="Q160" s="18">
        <v>3</v>
      </c>
      <c r="R160" s="63" t="s">
        <v>28</v>
      </c>
      <c r="S160" s="12">
        <f>+'Form20 '!D161</f>
        <v>178</v>
      </c>
      <c r="T160" s="18">
        <v>4</v>
      </c>
      <c r="U160" s="64" t="s">
        <v>65</v>
      </c>
      <c r="V160" s="12">
        <f>+'Form20 '!E161</f>
        <v>1</v>
      </c>
      <c r="W160" s="18">
        <v>5</v>
      </c>
      <c r="X160" s="58" t="s">
        <v>66</v>
      </c>
      <c r="Y160" s="12">
        <f>+'Form20 '!F161</f>
        <v>0</v>
      </c>
      <c r="Z160" s="18">
        <v>6</v>
      </c>
      <c r="AA160" s="64" t="s">
        <v>67</v>
      </c>
      <c r="AB160" s="12">
        <f>+'Form20 '!G161</f>
        <v>0</v>
      </c>
      <c r="AC160" s="18">
        <v>7</v>
      </c>
      <c r="AD160" s="63" t="s">
        <v>68</v>
      </c>
      <c r="AE160" s="12">
        <f>+'Form20 '!H161</f>
        <v>0</v>
      </c>
      <c r="AF160" s="18">
        <v>8</v>
      </c>
      <c r="AG160" s="63" t="s">
        <v>69</v>
      </c>
      <c r="AH160" s="12">
        <f>+'Form20 '!I161</f>
        <v>0</v>
      </c>
      <c r="AI160" s="18">
        <v>9</v>
      </c>
      <c r="AJ160" s="65" t="s">
        <v>70</v>
      </c>
      <c r="AK160" s="12">
        <f>+'Form20 '!J161</f>
        <v>8</v>
      </c>
      <c r="AL160" s="18">
        <v>10</v>
      </c>
      <c r="AM160" s="66" t="s">
        <v>30</v>
      </c>
      <c r="AN160" s="12">
        <f>+'Form20 '!K161</f>
        <v>0</v>
      </c>
      <c r="AO160" s="18">
        <v>11</v>
      </c>
      <c r="AP160" s="66" t="s">
        <v>30</v>
      </c>
      <c r="AQ160" s="12">
        <f>+'Form20 '!L161</f>
        <v>1</v>
      </c>
      <c r="AR160" s="18">
        <v>12</v>
      </c>
      <c r="AS160" s="66" t="s">
        <v>30</v>
      </c>
      <c r="AT160" s="12">
        <f>+'Form20 '!M161</f>
        <v>0</v>
      </c>
      <c r="AU160" s="18">
        <v>13</v>
      </c>
      <c r="AV160" s="66" t="s">
        <v>30</v>
      </c>
      <c r="AW160" s="12">
        <f>+'Form20 '!N161</f>
        <v>1</v>
      </c>
      <c r="AX160" s="18">
        <v>14</v>
      </c>
      <c r="AY160" s="66" t="s">
        <v>30</v>
      </c>
      <c r="AZ160" s="12">
        <f>+'Form20 '!O161</f>
        <v>0</v>
      </c>
      <c r="BA160" s="75">
        <f t="shared" si="5"/>
        <v>436</v>
      </c>
    </row>
    <row r="161" spans="1:53" s="67" customFormat="1" ht="59.25" customHeight="1">
      <c r="A161" s="18">
        <v>333</v>
      </c>
      <c r="B161" s="59">
        <v>155</v>
      </c>
      <c r="C161" s="76" t="s">
        <v>232</v>
      </c>
      <c r="D161" s="61">
        <v>840</v>
      </c>
      <c r="E161" s="61">
        <v>212</v>
      </c>
      <c r="F161" s="61">
        <v>220</v>
      </c>
      <c r="G161" s="55">
        <v>0</v>
      </c>
      <c r="H161" s="62">
        <f t="shared" si="4"/>
        <v>432</v>
      </c>
      <c r="I161" s="55">
        <v>63</v>
      </c>
      <c r="J161" s="29">
        <v>0</v>
      </c>
      <c r="K161" s="18">
        <v>1</v>
      </c>
      <c r="L161" s="63" t="s">
        <v>29</v>
      </c>
      <c r="M161" s="12">
        <f>+'Form20 '!B162</f>
        <v>289</v>
      </c>
      <c r="N161" s="18">
        <v>2</v>
      </c>
      <c r="O161" s="58" t="s">
        <v>24</v>
      </c>
      <c r="P161" s="12">
        <f>+'Form20 '!C162</f>
        <v>49</v>
      </c>
      <c r="Q161" s="18">
        <v>3</v>
      </c>
      <c r="R161" s="63" t="s">
        <v>28</v>
      </c>
      <c r="S161" s="12">
        <f>+'Form20 '!D162</f>
        <v>67</v>
      </c>
      <c r="T161" s="18">
        <v>4</v>
      </c>
      <c r="U161" s="64" t="s">
        <v>65</v>
      </c>
      <c r="V161" s="12">
        <f>+'Form20 '!E162</f>
        <v>6</v>
      </c>
      <c r="W161" s="18">
        <v>5</v>
      </c>
      <c r="X161" s="58" t="s">
        <v>66</v>
      </c>
      <c r="Y161" s="12">
        <f>+'Form20 '!F162</f>
        <v>1</v>
      </c>
      <c r="Z161" s="18">
        <v>6</v>
      </c>
      <c r="AA161" s="64" t="s">
        <v>67</v>
      </c>
      <c r="AB161" s="12">
        <f>+'Form20 '!G162</f>
        <v>0</v>
      </c>
      <c r="AC161" s="18">
        <v>7</v>
      </c>
      <c r="AD161" s="63" t="s">
        <v>68</v>
      </c>
      <c r="AE161" s="12">
        <f>+'Form20 '!H162</f>
        <v>0</v>
      </c>
      <c r="AF161" s="18">
        <v>8</v>
      </c>
      <c r="AG161" s="63" t="s">
        <v>69</v>
      </c>
      <c r="AH161" s="12">
        <f>+'Form20 '!I162</f>
        <v>2</v>
      </c>
      <c r="AI161" s="18">
        <v>9</v>
      </c>
      <c r="AJ161" s="65" t="s">
        <v>70</v>
      </c>
      <c r="AK161" s="12">
        <f>+'Form20 '!J162</f>
        <v>1</v>
      </c>
      <c r="AL161" s="18">
        <v>10</v>
      </c>
      <c r="AM161" s="66" t="s">
        <v>30</v>
      </c>
      <c r="AN161" s="12">
        <f>+'Form20 '!K162</f>
        <v>0</v>
      </c>
      <c r="AO161" s="18">
        <v>11</v>
      </c>
      <c r="AP161" s="66" t="s">
        <v>30</v>
      </c>
      <c r="AQ161" s="12">
        <f>+'Form20 '!L162</f>
        <v>1</v>
      </c>
      <c r="AR161" s="18">
        <v>12</v>
      </c>
      <c r="AS161" s="66" t="s">
        <v>30</v>
      </c>
      <c r="AT161" s="12">
        <f>+'Form20 '!M162</f>
        <v>3</v>
      </c>
      <c r="AU161" s="18">
        <v>13</v>
      </c>
      <c r="AV161" s="66" t="s">
        <v>30</v>
      </c>
      <c r="AW161" s="12">
        <f>+'Form20 '!N162</f>
        <v>6</v>
      </c>
      <c r="AX161" s="18">
        <v>14</v>
      </c>
      <c r="AY161" s="66" t="s">
        <v>30</v>
      </c>
      <c r="AZ161" s="12">
        <f>+'Form20 '!O162</f>
        <v>0</v>
      </c>
      <c r="BA161" s="75">
        <f t="shared" si="5"/>
        <v>425</v>
      </c>
    </row>
    <row r="162" spans="1:53" s="67" customFormat="1" ht="59.25" customHeight="1">
      <c r="A162" s="18">
        <v>333</v>
      </c>
      <c r="B162" s="59">
        <v>156</v>
      </c>
      <c r="C162" s="76" t="s">
        <v>233</v>
      </c>
      <c r="D162" s="61">
        <v>704</v>
      </c>
      <c r="E162" s="61">
        <v>200</v>
      </c>
      <c r="F162" s="61">
        <v>233</v>
      </c>
      <c r="G162" s="55">
        <v>0</v>
      </c>
      <c r="H162" s="62">
        <f t="shared" si="4"/>
        <v>433</v>
      </c>
      <c r="I162" s="55">
        <v>0</v>
      </c>
      <c r="J162" s="29">
        <v>0</v>
      </c>
      <c r="K162" s="18">
        <v>1</v>
      </c>
      <c r="L162" s="63" t="s">
        <v>29</v>
      </c>
      <c r="M162" s="12">
        <f>+'Form20 '!B163</f>
        <v>357</v>
      </c>
      <c r="N162" s="18">
        <v>2</v>
      </c>
      <c r="O162" s="58" t="s">
        <v>24</v>
      </c>
      <c r="P162" s="12">
        <f>+'Form20 '!C163</f>
        <v>10</v>
      </c>
      <c r="Q162" s="18">
        <v>3</v>
      </c>
      <c r="R162" s="63" t="s">
        <v>28</v>
      </c>
      <c r="S162" s="12">
        <f>+'Form20 '!D163</f>
        <v>46</v>
      </c>
      <c r="T162" s="18">
        <v>4</v>
      </c>
      <c r="U162" s="64" t="s">
        <v>65</v>
      </c>
      <c r="V162" s="12">
        <f>+'Form20 '!E163</f>
        <v>7</v>
      </c>
      <c r="W162" s="18">
        <v>5</v>
      </c>
      <c r="X162" s="58" t="s">
        <v>66</v>
      </c>
      <c r="Y162" s="12">
        <f>+'Form20 '!F163</f>
        <v>0</v>
      </c>
      <c r="Z162" s="18">
        <v>6</v>
      </c>
      <c r="AA162" s="64" t="s">
        <v>67</v>
      </c>
      <c r="AB162" s="12">
        <f>+'Form20 '!G163</f>
        <v>0</v>
      </c>
      <c r="AC162" s="18">
        <v>7</v>
      </c>
      <c r="AD162" s="63" t="s">
        <v>68</v>
      </c>
      <c r="AE162" s="12">
        <f>+'Form20 '!H163</f>
        <v>0</v>
      </c>
      <c r="AF162" s="18">
        <v>8</v>
      </c>
      <c r="AG162" s="63" t="s">
        <v>69</v>
      </c>
      <c r="AH162" s="12">
        <f>+'Form20 '!I163</f>
        <v>1</v>
      </c>
      <c r="AI162" s="18">
        <v>9</v>
      </c>
      <c r="AJ162" s="65" t="s">
        <v>70</v>
      </c>
      <c r="AK162" s="12">
        <f>+'Form20 '!J163</f>
        <v>3</v>
      </c>
      <c r="AL162" s="18">
        <v>10</v>
      </c>
      <c r="AM162" s="66" t="s">
        <v>30</v>
      </c>
      <c r="AN162" s="12">
        <f>+'Form20 '!K163</f>
        <v>0</v>
      </c>
      <c r="AO162" s="18">
        <v>11</v>
      </c>
      <c r="AP162" s="66" t="s">
        <v>30</v>
      </c>
      <c r="AQ162" s="12">
        <f>+'Form20 '!L163</f>
        <v>2</v>
      </c>
      <c r="AR162" s="18">
        <v>12</v>
      </c>
      <c r="AS162" s="66" t="s">
        <v>30</v>
      </c>
      <c r="AT162" s="12">
        <f>+'Form20 '!M163</f>
        <v>3</v>
      </c>
      <c r="AU162" s="18">
        <v>13</v>
      </c>
      <c r="AV162" s="66" t="s">
        <v>30</v>
      </c>
      <c r="AW162" s="12">
        <f>+'Form20 '!N163</f>
        <v>1</v>
      </c>
      <c r="AX162" s="18">
        <v>14</v>
      </c>
      <c r="AY162" s="66" t="s">
        <v>30</v>
      </c>
      <c r="AZ162" s="12">
        <f>+'Form20 '!O163</f>
        <v>1</v>
      </c>
      <c r="BA162" s="75">
        <f t="shared" si="5"/>
        <v>431</v>
      </c>
    </row>
    <row r="163" spans="1:53" s="67" customFormat="1" ht="59.25" customHeight="1">
      <c r="A163" s="18">
        <v>333</v>
      </c>
      <c r="B163" s="59">
        <v>157</v>
      </c>
      <c r="C163" s="76" t="s">
        <v>234</v>
      </c>
      <c r="D163" s="61">
        <v>370</v>
      </c>
      <c r="E163" s="61">
        <v>104</v>
      </c>
      <c r="F163" s="61">
        <v>115</v>
      </c>
      <c r="G163" s="55">
        <v>0</v>
      </c>
      <c r="H163" s="62">
        <f t="shared" si="4"/>
        <v>219</v>
      </c>
      <c r="I163" s="55">
        <v>24</v>
      </c>
      <c r="J163" s="29">
        <v>0</v>
      </c>
      <c r="K163" s="18">
        <v>1</v>
      </c>
      <c r="L163" s="63" t="s">
        <v>29</v>
      </c>
      <c r="M163" s="12">
        <f>+'Form20 '!B164</f>
        <v>30</v>
      </c>
      <c r="N163" s="18">
        <v>2</v>
      </c>
      <c r="O163" s="58" t="s">
        <v>24</v>
      </c>
      <c r="P163" s="12">
        <f>+'Form20 '!C164</f>
        <v>32</v>
      </c>
      <c r="Q163" s="18">
        <v>3</v>
      </c>
      <c r="R163" s="63" t="s">
        <v>28</v>
      </c>
      <c r="S163" s="12">
        <f>+'Form20 '!D164</f>
        <v>154</v>
      </c>
      <c r="T163" s="18">
        <v>4</v>
      </c>
      <c r="U163" s="64" t="s">
        <v>65</v>
      </c>
      <c r="V163" s="12">
        <f>+'Form20 '!E164</f>
        <v>1</v>
      </c>
      <c r="W163" s="18">
        <v>5</v>
      </c>
      <c r="X163" s="58" t="s">
        <v>66</v>
      </c>
      <c r="Y163" s="12">
        <f>+'Form20 '!F164</f>
        <v>0</v>
      </c>
      <c r="Z163" s="18">
        <v>6</v>
      </c>
      <c r="AA163" s="64" t="s">
        <v>67</v>
      </c>
      <c r="AB163" s="12">
        <f>+'Form20 '!G164</f>
        <v>0</v>
      </c>
      <c r="AC163" s="18">
        <v>7</v>
      </c>
      <c r="AD163" s="63" t="s">
        <v>68</v>
      </c>
      <c r="AE163" s="12">
        <f>+'Form20 '!H164</f>
        <v>0</v>
      </c>
      <c r="AF163" s="18">
        <v>8</v>
      </c>
      <c r="AG163" s="63" t="s">
        <v>69</v>
      </c>
      <c r="AH163" s="12">
        <f>+'Form20 '!I164</f>
        <v>0</v>
      </c>
      <c r="AI163" s="18">
        <v>9</v>
      </c>
      <c r="AJ163" s="65" t="s">
        <v>70</v>
      </c>
      <c r="AK163" s="12">
        <f>+'Form20 '!J164</f>
        <v>0</v>
      </c>
      <c r="AL163" s="18">
        <v>10</v>
      </c>
      <c r="AM163" s="66" t="s">
        <v>30</v>
      </c>
      <c r="AN163" s="12">
        <f>+'Form20 '!K164</f>
        <v>0</v>
      </c>
      <c r="AO163" s="18">
        <v>11</v>
      </c>
      <c r="AP163" s="66" t="s">
        <v>30</v>
      </c>
      <c r="AQ163" s="12">
        <f>+'Form20 '!L164</f>
        <v>0</v>
      </c>
      <c r="AR163" s="18">
        <v>12</v>
      </c>
      <c r="AS163" s="66" t="s">
        <v>30</v>
      </c>
      <c r="AT163" s="12">
        <f>+'Form20 '!M164</f>
        <v>0</v>
      </c>
      <c r="AU163" s="18">
        <v>13</v>
      </c>
      <c r="AV163" s="66" t="s">
        <v>30</v>
      </c>
      <c r="AW163" s="12">
        <f>+'Form20 '!N164</f>
        <v>1</v>
      </c>
      <c r="AX163" s="18">
        <v>14</v>
      </c>
      <c r="AY163" s="66" t="s">
        <v>30</v>
      </c>
      <c r="AZ163" s="12">
        <f>+'Form20 '!O164</f>
        <v>0</v>
      </c>
      <c r="BA163" s="75">
        <f t="shared" si="5"/>
        <v>218</v>
      </c>
    </row>
    <row r="164" spans="1:53" s="67" customFormat="1" ht="59.25" customHeight="1">
      <c r="A164" s="18">
        <v>333</v>
      </c>
      <c r="B164" s="59">
        <v>158</v>
      </c>
      <c r="C164" s="76" t="s">
        <v>235</v>
      </c>
      <c r="D164" s="61">
        <v>1034</v>
      </c>
      <c r="E164" s="61">
        <v>251</v>
      </c>
      <c r="F164" s="61">
        <v>280</v>
      </c>
      <c r="G164" s="55">
        <v>0</v>
      </c>
      <c r="H164" s="62">
        <f t="shared" si="4"/>
        <v>531</v>
      </c>
      <c r="I164" s="55">
        <v>467</v>
      </c>
      <c r="J164" s="29">
        <v>0</v>
      </c>
      <c r="K164" s="18">
        <v>1</v>
      </c>
      <c r="L164" s="63" t="s">
        <v>29</v>
      </c>
      <c r="M164" s="12">
        <f>+'Form20 '!B165</f>
        <v>470</v>
      </c>
      <c r="N164" s="18">
        <v>2</v>
      </c>
      <c r="O164" s="58" t="s">
        <v>24</v>
      </c>
      <c r="P164" s="12">
        <f>+'Form20 '!C165</f>
        <v>17</v>
      </c>
      <c r="Q164" s="18">
        <v>3</v>
      </c>
      <c r="R164" s="63" t="s">
        <v>28</v>
      </c>
      <c r="S164" s="12">
        <f>+'Form20 '!D165</f>
        <v>34</v>
      </c>
      <c r="T164" s="18">
        <v>4</v>
      </c>
      <c r="U164" s="64" t="s">
        <v>65</v>
      </c>
      <c r="V164" s="12">
        <f>+'Form20 '!E165</f>
        <v>2</v>
      </c>
      <c r="W164" s="18">
        <v>5</v>
      </c>
      <c r="X164" s="58" t="s">
        <v>66</v>
      </c>
      <c r="Y164" s="12">
        <f>+'Form20 '!F165</f>
        <v>0</v>
      </c>
      <c r="Z164" s="18">
        <v>6</v>
      </c>
      <c r="AA164" s="64" t="s">
        <v>67</v>
      </c>
      <c r="AB164" s="12">
        <f>+'Form20 '!G165</f>
        <v>0</v>
      </c>
      <c r="AC164" s="18">
        <v>7</v>
      </c>
      <c r="AD164" s="63" t="s">
        <v>68</v>
      </c>
      <c r="AE164" s="12">
        <f>+'Form20 '!H165</f>
        <v>0</v>
      </c>
      <c r="AF164" s="18">
        <v>8</v>
      </c>
      <c r="AG164" s="63" t="s">
        <v>69</v>
      </c>
      <c r="AH164" s="12">
        <f>+'Form20 '!I165</f>
        <v>0</v>
      </c>
      <c r="AI164" s="18">
        <v>9</v>
      </c>
      <c r="AJ164" s="65" t="s">
        <v>70</v>
      </c>
      <c r="AK164" s="12">
        <f>+'Form20 '!J165</f>
        <v>0</v>
      </c>
      <c r="AL164" s="18">
        <v>10</v>
      </c>
      <c r="AM164" s="66" t="s">
        <v>30</v>
      </c>
      <c r="AN164" s="12">
        <f>+'Form20 '!K165</f>
        <v>1</v>
      </c>
      <c r="AO164" s="18">
        <v>11</v>
      </c>
      <c r="AP164" s="66" t="s">
        <v>30</v>
      </c>
      <c r="AQ164" s="12">
        <f>+'Form20 '!L165</f>
        <v>0</v>
      </c>
      <c r="AR164" s="18">
        <v>12</v>
      </c>
      <c r="AS164" s="66" t="s">
        <v>30</v>
      </c>
      <c r="AT164" s="12">
        <f>+'Form20 '!M165</f>
        <v>2</v>
      </c>
      <c r="AU164" s="18">
        <v>13</v>
      </c>
      <c r="AV164" s="66" t="s">
        <v>30</v>
      </c>
      <c r="AW164" s="12">
        <f>+'Form20 '!N165</f>
        <v>2</v>
      </c>
      <c r="AX164" s="18">
        <v>14</v>
      </c>
      <c r="AY164" s="66" t="s">
        <v>30</v>
      </c>
      <c r="AZ164" s="12">
        <f>+'Form20 '!O165</f>
        <v>1</v>
      </c>
      <c r="BA164" s="75">
        <f t="shared" si="5"/>
        <v>529</v>
      </c>
    </row>
    <row r="165" spans="1:53" s="67" customFormat="1" ht="59.25" customHeight="1">
      <c r="A165" s="18">
        <v>333</v>
      </c>
      <c r="B165" s="59">
        <v>159</v>
      </c>
      <c r="C165" s="76" t="s">
        <v>236</v>
      </c>
      <c r="D165" s="61">
        <v>1082</v>
      </c>
      <c r="E165" s="61">
        <v>265</v>
      </c>
      <c r="F165" s="61">
        <v>375</v>
      </c>
      <c r="G165" s="55">
        <v>0</v>
      </c>
      <c r="H165" s="62">
        <f t="shared" si="4"/>
        <v>640</v>
      </c>
      <c r="I165" s="55">
        <v>31</v>
      </c>
      <c r="J165" s="29">
        <v>0</v>
      </c>
      <c r="K165" s="18">
        <v>1</v>
      </c>
      <c r="L165" s="63" t="s">
        <v>29</v>
      </c>
      <c r="M165" s="12">
        <f>+'Form20 '!B166</f>
        <v>376</v>
      </c>
      <c r="N165" s="18">
        <v>2</v>
      </c>
      <c r="O165" s="58" t="s">
        <v>24</v>
      </c>
      <c r="P165" s="12">
        <f>+'Form20 '!C166</f>
        <v>11</v>
      </c>
      <c r="Q165" s="18">
        <v>3</v>
      </c>
      <c r="R165" s="63" t="s">
        <v>28</v>
      </c>
      <c r="S165" s="12">
        <f>+'Form20 '!D166</f>
        <v>231</v>
      </c>
      <c r="T165" s="18">
        <v>4</v>
      </c>
      <c r="U165" s="64" t="s">
        <v>65</v>
      </c>
      <c r="V165" s="12">
        <f>+'Form20 '!E166</f>
        <v>3</v>
      </c>
      <c r="W165" s="18">
        <v>5</v>
      </c>
      <c r="X165" s="58" t="s">
        <v>66</v>
      </c>
      <c r="Y165" s="12">
        <f>+'Form20 '!F166</f>
        <v>1</v>
      </c>
      <c r="Z165" s="18">
        <v>6</v>
      </c>
      <c r="AA165" s="64" t="s">
        <v>67</v>
      </c>
      <c r="AB165" s="12">
        <f>+'Form20 '!G166</f>
        <v>1</v>
      </c>
      <c r="AC165" s="18">
        <v>7</v>
      </c>
      <c r="AD165" s="63" t="s">
        <v>68</v>
      </c>
      <c r="AE165" s="12">
        <f>+'Form20 '!H166</f>
        <v>0</v>
      </c>
      <c r="AF165" s="18">
        <v>8</v>
      </c>
      <c r="AG165" s="63" t="s">
        <v>69</v>
      </c>
      <c r="AH165" s="12">
        <f>+'Form20 '!I166</f>
        <v>1</v>
      </c>
      <c r="AI165" s="18">
        <v>9</v>
      </c>
      <c r="AJ165" s="65" t="s">
        <v>70</v>
      </c>
      <c r="AK165" s="12">
        <f>+'Form20 '!J166</f>
        <v>3</v>
      </c>
      <c r="AL165" s="18">
        <v>10</v>
      </c>
      <c r="AM165" s="66" t="s">
        <v>30</v>
      </c>
      <c r="AN165" s="12">
        <f>+'Form20 '!K166</f>
        <v>2</v>
      </c>
      <c r="AO165" s="18">
        <v>11</v>
      </c>
      <c r="AP165" s="66" t="s">
        <v>30</v>
      </c>
      <c r="AQ165" s="12">
        <f>+'Form20 '!L166</f>
        <v>1</v>
      </c>
      <c r="AR165" s="18">
        <v>12</v>
      </c>
      <c r="AS165" s="66" t="s">
        <v>30</v>
      </c>
      <c r="AT165" s="12">
        <f>+'Form20 '!M166</f>
        <v>2</v>
      </c>
      <c r="AU165" s="18">
        <v>13</v>
      </c>
      <c r="AV165" s="66" t="s">
        <v>30</v>
      </c>
      <c r="AW165" s="12">
        <f>+'Form20 '!N166</f>
        <v>3</v>
      </c>
      <c r="AX165" s="18">
        <v>14</v>
      </c>
      <c r="AY165" s="66" t="s">
        <v>30</v>
      </c>
      <c r="AZ165" s="12">
        <f>+'Form20 '!O166</f>
        <v>0</v>
      </c>
      <c r="BA165" s="75">
        <f t="shared" si="5"/>
        <v>635</v>
      </c>
    </row>
    <row r="166" spans="1:53" s="67" customFormat="1" ht="59.25" customHeight="1">
      <c r="A166" s="18">
        <v>333</v>
      </c>
      <c r="B166" s="59">
        <v>160</v>
      </c>
      <c r="C166" s="76" t="s">
        <v>237</v>
      </c>
      <c r="D166" s="61">
        <v>1123</v>
      </c>
      <c r="E166" s="61">
        <v>335</v>
      </c>
      <c r="F166" s="61">
        <v>281</v>
      </c>
      <c r="G166" s="55">
        <v>0</v>
      </c>
      <c r="H166" s="62">
        <f t="shared" si="4"/>
        <v>616</v>
      </c>
      <c r="I166" s="55">
        <v>100</v>
      </c>
      <c r="J166" s="29">
        <v>0</v>
      </c>
      <c r="K166" s="18">
        <v>1</v>
      </c>
      <c r="L166" s="63" t="s">
        <v>29</v>
      </c>
      <c r="M166" s="12">
        <f>+'Form20 '!B167</f>
        <v>362</v>
      </c>
      <c r="N166" s="18">
        <v>2</v>
      </c>
      <c r="O166" s="58" t="s">
        <v>24</v>
      </c>
      <c r="P166" s="12">
        <f>+'Form20 '!C167</f>
        <v>58</v>
      </c>
      <c r="Q166" s="18">
        <v>3</v>
      </c>
      <c r="R166" s="63" t="s">
        <v>28</v>
      </c>
      <c r="S166" s="12">
        <f>+'Form20 '!D167</f>
        <v>157</v>
      </c>
      <c r="T166" s="18">
        <v>4</v>
      </c>
      <c r="U166" s="64" t="s">
        <v>65</v>
      </c>
      <c r="V166" s="12">
        <f>+'Form20 '!E167</f>
        <v>6</v>
      </c>
      <c r="W166" s="18">
        <v>5</v>
      </c>
      <c r="X166" s="58" t="s">
        <v>66</v>
      </c>
      <c r="Y166" s="12">
        <f>+'Form20 '!F167</f>
        <v>1</v>
      </c>
      <c r="Z166" s="18">
        <v>6</v>
      </c>
      <c r="AA166" s="64" t="s">
        <v>67</v>
      </c>
      <c r="AB166" s="12">
        <f>+'Form20 '!G167</f>
        <v>0</v>
      </c>
      <c r="AC166" s="18">
        <v>7</v>
      </c>
      <c r="AD166" s="63" t="s">
        <v>68</v>
      </c>
      <c r="AE166" s="12">
        <f>+'Form20 '!H167</f>
        <v>0</v>
      </c>
      <c r="AF166" s="18">
        <v>8</v>
      </c>
      <c r="AG166" s="63" t="s">
        <v>69</v>
      </c>
      <c r="AH166" s="12">
        <f>+'Form20 '!I167</f>
        <v>2</v>
      </c>
      <c r="AI166" s="18">
        <v>9</v>
      </c>
      <c r="AJ166" s="65" t="s">
        <v>70</v>
      </c>
      <c r="AK166" s="12">
        <f>+'Form20 '!J167</f>
        <v>23</v>
      </c>
      <c r="AL166" s="18">
        <v>10</v>
      </c>
      <c r="AM166" s="66" t="s">
        <v>30</v>
      </c>
      <c r="AN166" s="12">
        <f>+'Form20 '!K167</f>
        <v>1</v>
      </c>
      <c r="AO166" s="18">
        <v>11</v>
      </c>
      <c r="AP166" s="66" t="s">
        <v>30</v>
      </c>
      <c r="AQ166" s="12">
        <f>+'Form20 '!L167</f>
        <v>0</v>
      </c>
      <c r="AR166" s="18">
        <v>12</v>
      </c>
      <c r="AS166" s="66" t="s">
        <v>30</v>
      </c>
      <c r="AT166" s="12">
        <f>+'Form20 '!M167</f>
        <v>1</v>
      </c>
      <c r="AU166" s="18">
        <v>13</v>
      </c>
      <c r="AV166" s="66" t="s">
        <v>30</v>
      </c>
      <c r="AW166" s="12">
        <f>+'Form20 '!N167</f>
        <v>0</v>
      </c>
      <c r="AX166" s="18">
        <v>14</v>
      </c>
      <c r="AY166" s="66" t="s">
        <v>30</v>
      </c>
      <c r="AZ166" s="12">
        <f>+'Form20 '!O167</f>
        <v>2</v>
      </c>
      <c r="BA166" s="75">
        <f t="shared" si="5"/>
        <v>613</v>
      </c>
    </row>
    <row r="167" spans="1:53" s="67" customFormat="1" ht="59.25" customHeight="1">
      <c r="A167" s="18">
        <v>333</v>
      </c>
      <c r="B167" s="59">
        <v>161</v>
      </c>
      <c r="C167" s="76" t="s">
        <v>238</v>
      </c>
      <c r="D167" s="61">
        <v>536</v>
      </c>
      <c r="E167" s="61">
        <v>142</v>
      </c>
      <c r="F167" s="61">
        <v>188</v>
      </c>
      <c r="G167" s="55">
        <v>0</v>
      </c>
      <c r="H167" s="62">
        <f t="shared" si="4"/>
        <v>330</v>
      </c>
      <c r="I167" s="55">
        <v>46</v>
      </c>
      <c r="J167" s="29">
        <v>0</v>
      </c>
      <c r="K167" s="18">
        <v>1</v>
      </c>
      <c r="L167" s="63" t="s">
        <v>29</v>
      </c>
      <c r="M167" s="12">
        <f>+'Form20 '!B168</f>
        <v>191</v>
      </c>
      <c r="N167" s="18">
        <v>2</v>
      </c>
      <c r="O167" s="58" t="s">
        <v>24</v>
      </c>
      <c r="P167" s="12">
        <f>+'Form20 '!C168</f>
        <v>16</v>
      </c>
      <c r="Q167" s="18">
        <v>3</v>
      </c>
      <c r="R167" s="63" t="s">
        <v>28</v>
      </c>
      <c r="S167" s="12">
        <f>+'Form20 '!D168</f>
        <v>108</v>
      </c>
      <c r="T167" s="18">
        <v>4</v>
      </c>
      <c r="U167" s="64" t="s">
        <v>65</v>
      </c>
      <c r="V167" s="12">
        <f>+'Form20 '!E168</f>
        <v>5</v>
      </c>
      <c r="W167" s="18">
        <v>5</v>
      </c>
      <c r="X167" s="58" t="s">
        <v>66</v>
      </c>
      <c r="Y167" s="12">
        <f>+'Form20 '!F168</f>
        <v>0</v>
      </c>
      <c r="Z167" s="18">
        <v>6</v>
      </c>
      <c r="AA167" s="64" t="s">
        <v>67</v>
      </c>
      <c r="AB167" s="12">
        <f>+'Form20 '!G168</f>
        <v>0</v>
      </c>
      <c r="AC167" s="18">
        <v>7</v>
      </c>
      <c r="AD167" s="63" t="s">
        <v>68</v>
      </c>
      <c r="AE167" s="12">
        <f>+'Form20 '!H168</f>
        <v>0</v>
      </c>
      <c r="AF167" s="18">
        <v>8</v>
      </c>
      <c r="AG167" s="63" t="s">
        <v>69</v>
      </c>
      <c r="AH167" s="12">
        <f>+'Form20 '!I168</f>
        <v>0</v>
      </c>
      <c r="AI167" s="18">
        <v>9</v>
      </c>
      <c r="AJ167" s="65" t="s">
        <v>70</v>
      </c>
      <c r="AK167" s="12">
        <f>+'Form20 '!J168</f>
        <v>1</v>
      </c>
      <c r="AL167" s="18">
        <v>10</v>
      </c>
      <c r="AM167" s="66" t="s">
        <v>30</v>
      </c>
      <c r="AN167" s="12">
        <f>+'Form20 '!K168</f>
        <v>0</v>
      </c>
      <c r="AO167" s="18">
        <v>11</v>
      </c>
      <c r="AP167" s="66" t="s">
        <v>30</v>
      </c>
      <c r="AQ167" s="12">
        <f>+'Form20 '!L168</f>
        <v>0</v>
      </c>
      <c r="AR167" s="18">
        <v>12</v>
      </c>
      <c r="AS167" s="66" t="s">
        <v>30</v>
      </c>
      <c r="AT167" s="12">
        <f>+'Form20 '!M168</f>
        <v>1</v>
      </c>
      <c r="AU167" s="18">
        <v>13</v>
      </c>
      <c r="AV167" s="66" t="s">
        <v>30</v>
      </c>
      <c r="AW167" s="12">
        <f>+'Form20 '!N168</f>
        <v>3</v>
      </c>
      <c r="AX167" s="18">
        <v>14</v>
      </c>
      <c r="AY167" s="66" t="s">
        <v>30</v>
      </c>
      <c r="AZ167" s="12">
        <f>+'Form20 '!O168</f>
        <v>2</v>
      </c>
      <c r="BA167" s="75">
        <f t="shared" si="5"/>
        <v>327</v>
      </c>
    </row>
    <row r="168" spans="1:53" s="67" customFormat="1" ht="59.25" customHeight="1">
      <c r="A168" s="18">
        <v>333</v>
      </c>
      <c r="B168" s="59">
        <v>162</v>
      </c>
      <c r="C168" s="76" t="s">
        <v>239</v>
      </c>
      <c r="D168" s="61">
        <v>699</v>
      </c>
      <c r="E168" s="61">
        <v>184</v>
      </c>
      <c r="F168" s="61">
        <v>228</v>
      </c>
      <c r="G168" s="55">
        <v>0</v>
      </c>
      <c r="H168" s="62">
        <f t="shared" si="4"/>
        <v>412</v>
      </c>
      <c r="I168" s="55">
        <v>40</v>
      </c>
      <c r="J168" s="29">
        <v>0</v>
      </c>
      <c r="K168" s="18">
        <v>1</v>
      </c>
      <c r="L168" s="63" t="s">
        <v>29</v>
      </c>
      <c r="M168" s="12">
        <f>+'Form20 '!B169</f>
        <v>311</v>
      </c>
      <c r="N168" s="18">
        <v>2</v>
      </c>
      <c r="O168" s="58" t="s">
        <v>24</v>
      </c>
      <c r="P168" s="12">
        <f>+'Form20 '!C169</f>
        <v>14</v>
      </c>
      <c r="Q168" s="18">
        <v>3</v>
      </c>
      <c r="R168" s="63" t="s">
        <v>28</v>
      </c>
      <c r="S168" s="12">
        <f>+'Form20 '!D169</f>
        <v>84</v>
      </c>
      <c r="T168" s="18">
        <v>4</v>
      </c>
      <c r="U168" s="64" t="s">
        <v>65</v>
      </c>
      <c r="V168" s="12">
        <f>+'Form20 '!E169</f>
        <v>0</v>
      </c>
      <c r="W168" s="18">
        <v>5</v>
      </c>
      <c r="X168" s="58" t="s">
        <v>66</v>
      </c>
      <c r="Y168" s="12">
        <f>+'Form20 '!F169</f>
        <v>0</v>
      </c>
      <c r="Z168" s="18">
        <v>6</v>
      </c>
      <c r="AA168" s="64" t="s">
        <v>67</v>
      </c>
      <c r="AB168" s="12">
        <f>+'Form20 '!G169</f>
        <v>0</v>
      </c>
      <c r="AC168" s="18">
        <v>7</v>
      </c>
      <c r="AD168" s="63" t="s">
        <v>68</v>
      </c>
      <c r="AE168" s="12">
        <f>+'Form20 '!H169</f>
        <v>0</v>
      </c>
      <c r="AF168" s="18">
        <v>8</v>
      </c>
      <c r="AG168" s="63" t="s">
        <v>69</v>
      </c>
      <c r="AH168" s="12">
        <f>+'Form20 '!I169</f>
        <v>0</v>
      </c>
      <c r="AI168" s="18">
        <v>9</v>
      </c>
      <c r="AJ168" s="65" t="s">
        <v>70</v>
      </c>
      <c r="AK168" s="12">
        <f>+'Form20 '!J169</f>
        <v>0</v>
      </c>
      <c r="AL168" s="18">
        <v>10</v>
      </c>
      <c r="AM168" s="66" t="s">
        <v>30</v>
      </c>
      <c r="AN168" s="12">
        <f>+'Form20 '!K169</f>
        <v>0</v>
      </c>
      <c r="AO168" s="18">
        <v>11</v>
      </c>
      <c r="AP168" s="66" t="s">
        <v>30</v>
      </c>
      <c r="AQ168" s="12">
        <f>+'Form20 '!L169</f>
        <v>0</v>
      </c>
      <c r="AR168" s="18">
        <v>12</v>
      </c>
      <c r="AS168" s="66" t="s">
        <v>30</v>
      </c>
      <c r="AT168" s="12">
        <f>+'Form20 '!M169</f>
        <v>0</v>
      </c>
      <c r="AU168" s="18">
        <v>13</v>
      </c>
      <c r="AV168" s="66" t="s">
        <v>30</v>
      </c>
      <c r="AW168" s="12">
        <f>+'Form20 '!N169</f>
        <v>1</v>
      </c>
      <c r="AX168" s="18">
        <v>14</v>
      </c>
      <c r="AY168" s="66" t="s">
        <v>30</v>
      </c>
      <c r="AZ168" s="12">
        <f>+'Form20 '!O169</f>
        <v>1</v>
      </c>
      <c r="BA168" s="75">
        <f t="shared" si="5"/>
        <v>411</v>
      </c>
    </row>
    <row r="169" spans="1:53" s="67" customFormat="1" ht="59.25" customHeight="1">
      <c r="A169" s="18">
        <v>333</v>
      </c>
      <c r="B169" s="59">
        <v>163</v>
      </c>
      <c r="C169" s="76" t="s">
        <v>240</v>
      </c>
      <c r="D169" s="61">
        <v>1172</v>
      </c>
      <c r="E169" s="61">
        <v>288</v>
      </c>
      <c r="F169" s="61">
        <v>347</v>
      </c>
      <c r="G169" s="55">
        <v>0</v>
      </c>
      <c r="H169" s="62">
        <f t="shared" si="4"/>
        <v>635</v>
      </c>
      <c r="I169" s="55">
        <v>62</v>
      </c>
      <c r="J169" s="29">
        <v>0</v>
      </c>
      <c r="K169" s="18">
        <v>1</v>
      </c>
      <c r="L169" s="63" t="s">
        <v>29</v>
      </c>
      <c r="M169" s="12">
        <f>+'Form20 '!B170</f>
        <v>427</v>
      </c>
      <c r="N169" s="18">
        <v>2</v>
      </c>
      <c r="O169" s="58" t="s">
        <v>24</v>
      </c>
      <c r="P169" s="12">
        <f>+'Form20 '!C170</f>
        <v>1</v>
      </c>
      <c r="Q169" s="18">
        <v>3</v>
      </c>
      <c r="R169" s="63" t="s">
        <v>28</v>
      </c>
      <c r="S169" s="12">
        <f>+'Form20 '!D170</f>
        <v>194</v>
      </c>
      <c r="T169" s="18">
        <v>4</v>
      </c>
      <c r="U169" s="64" t="s">
        <v>65</v>
      </c>
      <c r="V169" s="12">
        <f>+'Form20 '!E170</f>
        <v>2</v>
      </c>
      <c r="W169" s="18">
        <v>5</v>
      </c>
      <c r="X169" s="58" t="s">
        <v>66</v>
      </c>
      <c r="Y169" s="12">
        <f>+'Form20 '!F170</f>
        <v>0</v>
      </c>
      <c r="Z169" s="18">
        <v>6</v>
      </c>
      <c r="AA169" s="64" t="s">
        <v>67</v>
      </c>
      <c r="AB169" s="12">
        <f>+'Form20 '!G170</f>
        <v>0</v>
      </c>
      <c r="AC169" s="18">
        <v>7</v>
      </c>
      <c r="AD169" s="63" t="s">
        <v>68</v>
      </c>
      <c r="AE169" s="12">
        <f>+'Form20 '!H170</f>
        <v>1</v>
      </c>
      <c r="AF169" s="18">
        <v>8</v>
      </c>
      <c r="AG169" s="63" t="s">
        <v>69</v>
      </c>
      <c r="AH169" s="12">
        <f>+'Form20 '!I170</f>
        <v>0</v>
      </c>
      <c r="AI169" s="18">
        <v>9</v>
      </c>
      <c r="AJ169" s="65" t="s">
        <v>70</v>
      </c>
      <c r="AK169" s="12">
        <f>+'Form20 '!J170</f>
        <v>0</v>
      </c>
      <c r="AL169" s="18">
        <v>10</v>
      </c>
      <c r="AM169" s="66" t="s">
        <v>30</v>
      </c>
      <c r="AN169" s="12">
        <f>+'Form20 '!K170</f>
        <v>1</v>
      </c>
      <c r="AO169" s="18">
        <v>11</v>
      </c>
      <c r="AP169" s="66" t="s">
        <v>30</v>
      </c>
      <c r="AQ169" s="12">
        <f>+'Form20 '!L170</f>
        <v>1</v>
      </c>
      <c r="AR169" s="18">
        <v>12</v>
      </c>
      <c r="AS169" s="66" t="s">
        <v>30</v>
      </c>
      <c r="AT169" s="12">
        <f>+'Form20 '!M170</f>
        <v>1</v>
      </c>
      <c r="AU169" s="18">
        <v>13</v>
      </c>
      <c r="AV169" s="66" t="s">
        <v>30</v>
      </c>
      <c r="AW169" s="12">
        <f>+'Form20 '!N170</f>
        <v>3</v>
      </c>
      <c r="AX169" s="18">
        <v>14</v>
      </c>
      <c r="AY169" s="66" t="s">
        <v>30</v>
      </c>
      <c r="AZ169" s="12">
        <f>+'Form20 '!O170</f>
        <v>1</v>
      </c>
      <c r="BA169" s="75">
        <f t="shared" si="5"/>
        <v>632</v>
      </c>
    </row>
    <row r="170" spans="1:53" s="67" customFormat="1" ht="59.25" customHeight="1">
      <c r="A170" s="18">
        <v>333</v>
      </c>
      <c r="B170" s="59">
        <v>164</v>
      </c>
      <c r="C170" s="76" t="s">
        <v>241</v>
      </c>
      <c r="D170" s="61">
        <v>970</v>
      </c>
      <c r="E170" s="61">
        <v>256</v>
      </c>
      <c r="F170" s="61">
        <v>329</v>
      </c>
      <c r="G170" s="55">
        <v>0</v>
      </c>
      <c r="H170" s="62">
        <f t="shared" si="4"/>
        <v>585</v>
      </c>
      <c r="I170" s="55">
        <v>36</v>
      </c>
      <c r="J170" s="29">
        <v>0</v>
      </c>
      <c r="K170" s="18">
        <v>1</v>
      </c>
      <c r="L170" s="63" t="s">
        <v>29</v>
      </c>
      <c r="M170" s="12">
        <f>+'Form20 '!B171</f>
        <v>429</v>
      </c>
      <c r="N170" s="18">
        <v>2</v>
      </c>
      <c r="O170" s="58" t="s">
        <v>24</v>
      </c>
      <c r="P170" s="12">
        <f>+'Form20 '!C171</f>
        <v>4</v>
      </c>
      <c r="Q170" s="18">
        <v>3</v>
      </c>
      <c r="R170" s="63" t="s">
        <v>28</v>
      </c>
      <c r="S170" s="12">
        <f>+'Form20 '!D171</f>
        <v>127</v>
      </c>
      <c r="T170" s="18">
        <v>4</v>
      </c>
      <c r="U170" s="64" t="s">
        <v>65</v>
      </c>
      <c r="V170" s="12">
        <f>+'Form20 '!E171</f>
        <v>5</v>
      </c>
      <c r="W170" s="18">
        <v>5</v>
      </c>
      <c r="X170" s="58" t="s">
        <v>66</v>
      </c>
      <c r="Y170" s="12">
        <f>+'Form20 '!F171</f>
        <v>0</v>
      </c>
      <c r="Z170" s="18">
        <v>6</v>
      </c>
      <c r="AA170" s="64" t="s">
        <v>67</v>
      </c>
      <c r="AB170" s="12">
        <f>+'Form20 '!G171</f>
        <v>0</v>
      </c>
      <c r="AC170" s="18">
        <v>7</v>
      </c>
      <c r="AD170" s="63" t="s">
        <v>68</v>
      </c>
      <c r="AE170" s="12">
        <f>+'Form20 '!H171</f>
        <v>0</v>
      </c>
      <c r="AF170" s="18">
        <v>8</v>
      </c>
      <c r="AG170" s="63" t="s">
        <v>69</v>
      </c>
      <c r="AH170" s="12">
        <f>+'Form20 '!I171</f>
        <v>0</v>
      </c>
      <c r="AI170" s="18">
        <v>9</v>
      </c>
      <c r="AJ170" s="65" t="s">
        <v>70</v>
      </c>
      <c r="AK170" s="12">
        <f>+'Form20 '!J171</f>
        <v>0</v>
      </c>
      <c r="AL170" s="18">
        <v>10</v>
      </c>
      <c r="AM170" s="66" t="s">
        <v>30</v>
      </c>
      <c r="AN170" s="12">
        <f>+'Form20 '!K171</f>
        <v>1</v>
      </c>
      <c r="AO170" s="18">
        <v>11</v>
      </c>
      <c r="AP170" s="66" t="s">
        <v>30</v>
      </c>
      <c r="AQ170" s="12">
        <f>+'Form20 '!L171</f>
        <v>2</v>
      </c>
      <c r="AR170" s="18">
        <v>12</v>
      </c>
      <c r="AS170" s="66" t="s">
        <v>30</v>
      </c>
      <c r="AT170" s="12">
        <f>+'Form20 '!M171</f>
        <v>2</v>
      </c>
      <c r="AU170" s="18">
        <v>13</v>
      </c>
      <c r="AV170" s="66" t="s">
        <v>30</v>
      </c>
      <c r="AW170" s="12">
        <f>+'Form20 '!N171</f>
        <v>1</v>
      </c>
      <c r="AX170" s="18">
        <v>14</v>
      </c>
      <c r="AY170" s="66" t="s">
        <v>30</v>
      </c>
      <c r="AZ170" s="12">
        <f>+'Form20 '!O171</f>
        <v>2</v>
      </c>
      <c r="BA170" s="75">
        <f t="shared" si="5"/>
        <v>573</v>
      </c>
    </row>
    <row r="171" spans="1:53" s="67" customFormat="1" ht="59.25" customHeight="1">
      <c r="A171" s="18">
        <v>333</v>
      </c>
      <c r="B171" s="59">
        <v>165</v>
      </c>
      <c r="C171" s="76" t="s">
        <v>242</v>
      </c>
      <c r="D171" s="61">
        <v>585</v>
      </c>
      <c r="E171" s="61">
        <v>180</v>
      </c>
      <c r="F171" s="61">
        <v>196</v>
      </c>
      <c r="G171" s="55">
        <v>0</v>
      </c>
      <c r="H171" s="62">
        <f t="shared" si="4"/>
        <v>376</v>
      </c>
      <c r="I171" s="55">
        <v>300</v>
      </c>
      <c r="J171" s="29">
        <v>0</v>
      </c>
      <c r="K171" s="18">
        <v>1</v>
      </c>
      <c r="L171" s="63" t="s">
        <v>29</v>
      </c>
      <c r="M171" s="12">
        <f>+'Form20 '!B172</f>
        <v>223</v>
      </c>
      <c r="N171" s="18">
        <v>2</v>
      </c>
      <c r="O171" s="58" t="s">
        <v>24</v>
      </c>
      <c r="P171" s="12">
        <f>+'Form20 '!C172</f>
        <v>7</v>
      </c>
      <c r="Q171" s="18">
        <v>3</v>
      </c>
      <c r="R171" s="63" t="s">
        <v>28</v>
      </c>
      <c r="S171" s="12">
        <f>+'Form20 '!D172</f>
        <v>134</v>
      </c>
      <c r="T171" s="18">
        <v>4</v>
      </c>
      <c r="U171" s="64" t="s">
        <v>65</v>
      </c>
      <c r="V171" s="12">
        <f>+'Form20 '!E172</f>
        <v>0</v>
      </c>
      <c r="W171" s="18">
        <v>5</v>
      </c>
      <c r="X171" s="58" t="s">
        <v>66</v>
      </c>
      <c r="Y171" s="12">
        <f>+'Form20 '!F172</f>
        <v>2</v>
      </c>
      <c r="Z171" s="18">
        <v>6</v>
      </c>
      <c r="AA171" s="64" t="s">
        <v>67</v>
      </c>
      <c r="AB171" s="12">
        <f>+'Form20 '!G172</f>
        <v>0</v>
      </c>
      <c r="AC171" s="18">
        <v>7</v>
      </c>
      <c r="AD171" s="63" t="s">
        <v>68</v>
      </c>
      <c r="AE171" s="12">
        <f>+'Form20 '!H172</f>
        <v>0</v>
      </c>
      <c r="AF171" s="18">
        <v>8</v>
      </c>
      <c r="AG171" s="63" t="s">
        <v>69</v>
      </c>
      <c r="AH171" s="12">
        <f>+'Form20 '!I172</f>
        <v>0</v>
      </c>
      <c r="AI171" s="18">
        <v>9</v>
      </c>
      <c r="AJ171" s="65" t="s">
        <v>70</v>
      </c>
      <c r="AK171" s="12">
        <f>+'Form20 '!J172</f>
        <v>1</v>
      </c>
      <c r="AL171" s="18">
        <v>10</v>
      </c>
      <c r="AM171" s="66" t="s">
        <v>30</v>
      </c>
      <c r="AN171" s="12">
        <f>+'Form20 '!K172</f>
        <v>0</v>
      </c>
      <c r="AO171" s="18">
        <v>11</v>
      </c>
      <c r="AP171" s="66" t="s">
        <v>30</v>
      </c>
      <c r="AQ171" s="12">
        <f>+'Form20 '!L172</f>
        <v>2</v>
      </c>
      <c r="AR171" s="18">
        <v>12</v>
      </c>
      <c r="AS171" s="66" t="s">
        <v>30</v>
      </c>
      <c r="AT171" s="12">
        <f>+'Form20 '!M172</f>
        <v>0</v>
      </c>
      <c r="AU171" s="18">
        <v>13</v>
      </c>
      <c r="AV171" s="66" t="s">
        <v>30</v>
      </c>
      <c r="AW171" s="12">
        <f>+'Form20 '!N172</f>
        <v>1</v>
      </c>
      <c r="AX171" s="18">
        <v>14</v>
      </c>
      <c r="AY171" s="66" t="s">
        <v>30</v>
      </c>
      <c r="AZ171" s="12">
        <f>+'Form20 '!O172</f>
        <v>0</v>
      </c>
      <c r="BA171" s="75">
        <f t="shared" si="5"/>
        <v>370</v>
      </c>
    </row>
    <row r="172" spans="1:53" s="67" customFormat="1" ht="59.25" customHeight="1">
      <c r="A172" s="18">
        <v>333</v>
      </c>
      <c r="B172" s="59">
        <v>166</v>
      </c>
      <c r="C172" s="76" t="s">
        <v>243</v>
      </c>
      <c r="D172" s="61">
        <v>614</v>
      </c>
      <c r="E172" s="61">
        <v>159</v>
      </c>
      <c r="F172" s="61">
        <v>193</v>
      </c>
      <c r="G172" s="55">
        <v>0</v>
      </c>
      <c r="H172" s="62">
        <f t="shared" si="4"/>
        <v>352</v>
      </c>
      <c r="I172" s="55">
        <v>14</v>
      </c>
      <c r="J172" s="29">
        <v>0</v>
      </c>
      <c r="K172" s="18">
        <v>1</v>
      </c>
      <c r="L172" s="63" t="s">
        <v>29</v>
      </c>
      <c r="M172" s="12">
        <f>+'Form20 '!B173</f>
        <v>199</v>
      </c>
      <c r="N172" s="18">
        <v>2</v>
      </c>
      <c r="O172" s="58" t="s">
        <v>24</v>
      </c>
      <c r="P172" s="12">
        <f>+'Form20 '!C173</f>
        <v>39</v>
      </c>
      <c r="Q172" s="18">
        <v>3</v>
      </c>
      <c r="R172" s="63" t="s">
        <v>28</v>
      </c>
      <c r="S172" s="12">
        <f>+'Form20 '!D173</f>
        <v>100</v>
      </c>
      <c r="T172" s="18">
        <v>4</v>
      </c>
      <c r="U172" s="64" t="s">
        <v>65</v>
      </c>
      <c r="V172" s="12">
        <f>+'Form20 '!E173</f>
        <v>0</v>
      </c>
      <c r="W172" s="18">
        <v>5</v>
      </c>
      <c r="X172" s="58" t="s">
        <v>66</v>
      </c>
      <c r="Y172" s="12">
        <f>+'Form20 '!F173</f>
        <v>1</v>
      </c>
      <c r="Z172" s="18">
        <v>6</v>
      </c>
      <c r="AA172" s="64" t="s">
        <v>67</v>
      </c>
      <c r="AB172" s="12">
        <f>+'Form20 '!G173</f>
        <v>1</v>
      </c>
      <c r="AC172" s="18">
        <v>7</v>
      </c>
      <c r="AD172" s="63" t="s">
        <v>68</v>
      </c>
      <c r="AE172" s="12">
        <f>+'Form20 '!H173</f>
        <v>1</v>
      </c>
      <c r="AF172" s="18">
        <v>8</v>
      </c>
      <c r="AG172" s="63" t="s">
        <v>69</v>
      </c>
      <c r="AH172" s="12">
        <f>+'Form20 '!I173</f>
        <v>1</v>
      </c>
      <c r="AI172" s="18">
        <v>9</v>
      </c>
      <c r="AJ172" s="65" t="s">
        <v>70</v>
      </c>
      <c r="AK172" s="12">
        <f>+'Form20 '!J173</f>
        <v>0</v>
      </c>
      <c r="AL172" s="18">
        <v>10</v>
      </c>
      <c r="AM172" s="66" t="s">
        <v>30</v>
      </c>
      <c r="AN172" s="12">
        <f>+'Form20 '!K173</f>
        <v>2</v>
      </c>
      <c r="AO172" s="18">
        <v>11</v>
      </c>
      <c r="AP172" s="66" t="s">
        <v>30</v>
      </c>
      <c r="AQ172" s="12">
        <f>+'Form20 '!L173</f>
        <v>1</v>
      </c>
      <c r="AR172" s="18">
        <v>12</v>
      </c>
      <c r="AS172" s="66" t="s">
        <v>30</v>
      </c>
      <c r="AT172" s="12">
        <f>+'Form20 '!M173</f>
        <v>0</v>
      </c>
      <c r="AU172" s="18">
        <v>13</v>
      </c>
      <c r="AV172" s="66" t="s">
        <v>30</v>
      </c>
      <c r="AW172" s="12">
        <f>+'Form20 '!N173</f>
        <v>1</v>
      </c>
      <c r="AX172" s="18">
        <v>14</v>
      </c>
      <c r="AY172" s="66" t="s">
        <v>30</v>
      </c>
      <c r="AZ172" s="12">
        <f>+'Form20 '!O173</f>
        <v>3</v>
      </c>
      <c r="BA172" s="75">
        <f t="shared" si="5"/>
        <v>349</v>
      </c>
    </row>
    <row r="173" spans="1:53" s="67" customFormat="1" ht="59.25" customHeight="1">
      <c r="A173" s="18">
        <v>333</v>
      </c>
      <c r="B173" s="59">
        <v>167</v>
      </c>
      <c r="C173" s="76" t="s">
        <v>244</v>
      </c>
      <c r="D173" s="61">
        <v>875</v>
      </c>
      <c r="E173" s="61">
        <v>259</v>
      </c>
      <c r="F173" s="61">
        <v>315</v>
      </c>
      <c r="G173" s="55">
        <v>0</v>
      </c>
      <c r="H173" s="62">
        <f t="shared" si="4"/>
        <v>574</v>
      </c>
      <c r="I173" s="55">
        <v>48</v>
      </c>
      <c r="J173" s="29">
        <v>0</v>
      </c>
      <c r="K173" s="18">
        <v>1</v>
      </c>
      <c r="L173" s="63" t="s">
        <v>29</v>
      </c>
      <c r="M173" s="12">
        <f>+'Form20 '!B174</f>
        <v>223</v>
      </c>
      <c r="N173" s="18">
        <v>2</v>
      </c>
      <c r="O173" s="58" t="s">
        <v>24</v>
      </c>
      <c r="P173" s="12">
        <f>+'Form20 '!C174</f>
        <v>217</v>
      </c>
      <c r="Q173" s="18">
        <v>3</v>
      </c>
      <c r="R173" s="63" t="s">
        <v>28</v>
      </c>
      <c r="S173" s="12">
        <f>+'Form20 '!D174</f>
        <v>118</v>
      </c>
      <c r="T173" s="18">
        <v>4</v>
      </c>
      <c r="U173" s="64" t="s">
        <v>65</v>
      </c>
      <c r="V173" s="12">
        <f>+'Form20 '!E174</f>
        <v>5</v>
      </c>
      <c r="W173" s="18">
        <v>5</v>
      </c>
      <c r="X173" s="58" t="s">
        <v>66</v>
      </c>
      <c r="Y173" s="12">
        <f>+'Form20 '!F174</f>
        <v>0</v>
      </c>
      <c r="Z173" s="18">
        <v>6</v>
      </c>
      <c r="AA173" s="64" t="s">
        <v>67</v>
      </c>
      <c r="AB173" s="12">
        <f>+'Form20 '!G174</f>
        <v>2</v>
      </c>
      <c r="AC173" s="18">
        <v>7</v>
      </c>
      <c r="AD173" s="63" t="s">
        <v>68</v>
      </c>
      <c r="AE173" s="12">
        <f>+'Form20 '!H174</f>
        <v>0</v>
      </c>
      <c r="AF173" s="18">
        <v>8</v>
      </c>
      <c r="AG173" s="63" t="s">
        <v>69</v>
      </c>
      <c r="AH173" s="12">
        <f>+'Form20 '!I174</f>
        <v>0</v>
      </c>
      <c r="AI173" s="18">
        <v>9</v>
      </c>
      <c r="AJ173" s="65" t="s">
        <v>70</v>
      </c>
      <c r="AK173" s="12">
        <f>+'Form20 '!J174</f>
        <v>0</v>
      </c>
      <c r="AL173" s="18">
        <v>10</v>
      </c>
      <c r="AM173" s="66" t="s">
        <v>30</v>
      </c>
      <c r="AN173" s="12">
        <f>+'Form20 '!K174</f>
        <v>0</v>
      </c>
      <c r="AO173" s="18">
        <v>11</v>
      </c>
      <c r="AP173" s="66" t="s">
        <v>30</v>
      </c>
      <c r="AQ173" s="12">
        <f>+'Form20 '!L174</f>
        <v>1</v>
      </c>
      <c r="AR173" s="18">
        <v>12</v>
      </c>
      <c r="AS173" s="66" t="s">
        <v>30</v>
      </c>
      <c r="AT173" s="12">
        <f>+'Form20 '!M174</f>
        <v>5</v>
      </c>
      <c r="AU173" s="18">
        <v>13</v>
      </c>
      <c r="AV173" s="66" t="s">
        <v>30</v>
      </c>
      <c r="AW173" s="12">
        <f>+'Form20 '!N174</f>
        <v>0</v>
      </c>
      <c r="AX173" s="18">
        <v>14</v>
      </c>
      <c r="AY173" s="66" t="s">
        <v>30</v>
      </c>
      <c r="AZ173" s="12">
        <f>+'Form20 '!O174</f>
        <v>1</v>
      </c>
      <c r="BA173" s="75">
        <f t="shared" si="5"/>
        <v>572</v>
      </c>
    </row>
    <row r="174" spans="1:53" s="67" customFormat="1" ht="59.25" customHeight="1">
      <c r="A174" s="18">
        <v>333</v>
      </c>
      <c r="B174" s="59">
        <v>168</v>
      </c>
      <c r="C174" s="76" t="s">
        <v>245</v>
      </c>
      <c r="D174" s="61">
        <v>830</v>
      </c>
      <c r="E174" s="61">
        <v>175</v>
      </c>
      <c r="F174" s="61">
        <v>174</v>
      </c>
      <c r="G174" s="55">
        <v>0</v>
      </c>
      <c r="H174" s="62">
        <f t="shared" si="4"/>
        <v>349</v>
      </c>
      <c r="I174" s="55">
        <v>33</v>
      </c>
      <c r="J174" s="29">
        <v>0</v>
      </c>
      <c r="K174" s="18">
        <v>1</v>
      </c>
      <c r="L174" s="63" t="s">
        <v>29</v>
      </c>
      <c r="M174" s="12">
        <f>+'Form20 '!B175</f>
        <v>278</v>
      </c>
      <c r="N174" s="18">
        <v>2</v>
      </c>
      <c r="O174" s="58" t="s">
        <v>24</v>
      </c>
      <c r="P174" s="12">
        <f>+'Form20 '!C175</f>
        <v>32</v>
      </c>
      <c r="Q174" s="18">
        <v>3</v>
      </c>
      <c r="R174" s="63" t="s">
        <v>28</v>
      </c>
      <c r="S174" s="12">
        <f>+'Form20 '!D175</f>
        <v>30</v>
      </c>
      <c r="T174" s="18">
        <v>4</v>
      </c>
      <c r="U174" s="64" t="s">
        <v>65</v>
      </c>
      <c r="V174" s="12">
        <f>+'Form20 '!E175</f>
        <v>1</v>
      </c>
      <c r="W174" s="18">
        <v>5</v>
      </c>
      <c r="X174" s="58" t="s">
        <v>66</v>
      </c>
      <c r="Y174" s="12">
        <f>+'Form20 '!F175</f>
        <v>0</v>
      </c>
      <c r="Z174" s="18">
        <v>6</v>
      </c>
      <c r="AA174" s="64" t="s">
        <v>67</v>
      </c>
      <c r="AB174" s="12">
        <f>+'Form20 '!G175</f>
        <v>0</v>
      </c>
      <c r="AC174" s="18">
        <v>7</v>
      </c>
      <c r="AD174" s="63" t="s">
        <v>68</v>
      </c>
      <c r="AE174" s="12">
        <f>+'Form20 '!H175</f>
        <v>0</v>
      </c>
      <c r="AF174" s="18">
        <v>8</v>
      </c>
      <c r="AG174" s="63" t="s">
        <v>69</v>
      </c>
      <c r="AH174" s="12">
        <f>+'Form20 '!I175</f>
        <v>0</v>
      </c>
      <c r="AI174" s="18">
        <v>9</v>
      </c>
      <c r="AJ174" s="65" t="s">
        <v>70</v>
      </c>
      <c r="AK174" s="12">
        <f>+'Form20 '!J175</f>
        <v>1</v>
      </c>
      <c r="AL174" s="18">
        <v>10</v>
      </c>
      <c r="AM174" s="66" t="s">
        <v>30</v>
      </c>
      <c r="AN174" s="12">
        <f>+'Form20 '!K175</f>
        <v>0</v>
      </c>
      <c r="AO174" s="18">
        <v>11</v>
      </c>
      <c r="AP174" s="66" t="s">
        <v>30</v>
      </c>
      <c r="AQ174" s="12">
        <f>+'Form20 '!L175</f>
        <v>0</v>
      </c>
      <c r="AR174" s="18">
        <v>12</v>
      </c>
      <c r="AS174" s="66" t="s">
        <v>30</v>
      </c>
      <c r="AT174" s="12">
        <f>+'Form20 '!M175</f>
        <v>1</v>
      </c>
      <c r="AU174" s="18">
        <v>13</v>
      </c>
      <c r="AV174" s="66" t="s">
        <v>30</v>
      </c>
      <c r="AW174" s="12">
        <f>+'Form20 '!N175</f>
        <v>1</v>
      </c>
      <c r="AX174" s="18">
        <v>14</v>
      </c>
      <c r="AY174" s="66" t="s">
        <v>30</v>
      </c>
      <c r="AZ174" s="12">
        <f>+'Form20 '!O175</f>
        <v>0</v>
      </c>
      <c r="BA174" s="75">
        <f t="shared" si="5"/>
        <v>344</v>
      </c>
    </row>
    <row r="175" spans="1:53" s="67" customFormat="1" ht="59.25" customHeight="1">
      <c r="A175" s="18">
        <v>333</v>
      </c>
      <c r="B175" s="59">
        <v>169</v>
      </c>
      <c r="C175" s="76" t="s">
        <v>246</v>
      </c>
      <c r="D175" s="61">
        <v>853</v>
      </c>
      <c r="E175" s="61">
        <v>193</v>
      </c>
      <c r="F175" s="61">
        <v>199</v>
      </c>
      <c r="G175" s="55">
        <v>0</v>
      </c>
      <c r="H175" s="62">
        <f t="shared" si="4"/>
        <v>392</v>
      </c>
      <c r="I175" s="55">
        <v>309</v>
      </c>
      <c r="J175" s="29">
        <v>0</v>
      </c>
      <c r="K175" s="18">
        <v>1</v>
      </c>
      <c r="L175" s="63" t="s">
        <v>29</v>
      </c>
      <c r="M175" s="12">
        <f>+'Form20 '!B176</f>
        <v>265</v>
      </c>
      <c r="N175" s="18">
        <v>2</v>
      </c>
      <c r="O175" s="58" t="s">
        <v>24</v>
      </c>
      <c r="P175" s="12">
        <f>+'Form20 '!C176</f>
        <v>6</v>
      </c>
      <c r="Q175" s="18">
        <v>3</v>
      </c>
      <c r="R175" s="63" t="s">
        <v>28</v>
      </c>
      <c r="S175" s="12">
        <f>+'Form20 '!D176</f>
        <v>112</v>
      </c>
      <c r="T175" s="18">
        <v>4</v>
      </c>
      <c r="U175" s="64" t="s">
        <v>65</v>
      </c>
      <c r="V175" s="12">
        <f>+'Form20 '!E176</f>
        <v>2</v>
      </c>
      <c r="W175" s="18">
        <v>5</v>
      </c>
      <c r="X175" s="58" t="s">
        <v>66</v>
      </c>
      <c r="Y175" s="12">
        <f>+'Form20 '!F176</f>
        <v>0</v>
      </c>
      <c r="Z175" s="18">
        <v>6</v>
      </c>
      <c r="AA175" s="64" t="s">
        <v>67</v>
      </c>
      <c r="AB175" s="12">
        <f>+'Form20 '!G176</f>
        <v>1</v>
      </c>
      <c r="AC175" s="18">
        <v>7</v>
      </c>
      <c r="AD175" s="63" t="s">
        <v>68</v>
      </c>
      <c r="AE175" s="12">
        <f>+'Form20 '!H176</f>
        <v>0</v>
      </c>
      <c r="AF175" s="18">
        <v>8</v>
      </c>
      <c r="AG175" s="63" t="s">
        <v>69</v>
      </c>
      <c r="AH175" s="12">
        <f>+'Form20 '!I176</f>
        <v>1</v>
      </c>
      <c r="AI175" s="18">
        <v>9</v>
      </c>
      <c r="AJ175" s="65" t="s">
        <v>70</v>
      </c>
      <c r="AK175" s="12">
        <f>+'Form20 '!J176</f>
        <v>0</v>
      </c>
      <c r="AL175" s="18">
        <v>10</v>
      </c>
      <c r="AM175" s="66" t="s">
        <v>30</v>
      </c>
      <c r="AN175" s="12">
        <f>+'Form20 '!K176</f>
        <v>0</v>
      </c>
      <c r="AO175" s="18">
        <v>11</v>
      </c>
      <c r="AP175" s="66" t="s">
        <v>30</v>
      </c>
      <c r="AQ175" s="12">
        <f>+'Form20 '!L176</f>
        <v>0</v>
      </c>
      <c r="AR175" s="18">
        <v>12</v>
      </c>
      <c r="AS175" s="66" t="s">
        <v>30</v>
      </c>
      <c r="AT175" s="12">
        <f>+'Form20 '!M176</f>
        <v>1</v>
      </c>
      <c r="AU175" s="18">
        <v>13</v>
      </c>
      <c r="AV175" s="66" t="s">
        <v>30</v>
      </c>
      <c r="AW175" s="12">
        <f>+'Form20 '!N176</f>
        <v>0</v>
      </c>
      <c r="AX175" s="18">
        <v>14</v>
      </c>
      <c r="AY175" s="66" t="s">
        <v>30</v>
      </c>
      <c r="AZ175" s="12">
        <f>+'Form20 '!O176</f>
        <v>0</v>
      </c>
      <c r="BA175" s="75">
        <f t="shared" si="5"/>
        <v>388</v>
      </c>
    </row>
    <row r="176" spans="1:53" s="67" customFormat="1" ht="59.25" customHeight="1">
      <c r="A176" s="18">
        <v>333</v>
      </c>
      <c r="B176" s="59">
        <v>170</v>
      </c>
      <c r="C176" s="76" t="s">
        <v>247</v>
      </c>
      <c r="D176" s="61">
        <v>1006</v>
      </c>
      <c r="E176" s="61">
        <v>274</v>
      </c>
      <c r="F176" s="61">
        <v>335</v>
      </c>
      <c r="G176" s="55">
        <v>0</v>
      </c>
      <c r="H176" s="62">
        <f t="shared" si="4"/>
        <v>609</v>
      </c>
      <c r="I176" s="55">
        <v>66</v>
      </c>
      <c r="J176" s="29">
        <v>0</v>
      </c>
      <c r="K176" s="18">
        <v>1</v>
      </c>
      <c r="L176" s="63" t="s">
        <v>29</v>
      </c>
      <c r="M176" s="12">
        <f>+'Form20 '!B177</f>
        <v>347</v>
      </c>
      <c r="N176" s="18">
        <v>2</v>
      </c>
      <c r="O176" s="58" t="s">
        <v>24</v>
      </c>
      <c r="P176" s="12">
        <f>+'Form20 '!C177</f>
        <v>134</v>
      </c>
      <c r="Q176" s="18">
        <v>3</v>
      </c>
      <c r="R176" s="63" t="s">
        <v>28</v>
      </c>
      <c r="S176" s="12">
        <f>+'Form20 '!D177</f>
        <v>110</v>
      </c>
      <c r="T176" s="18">
        <v>4</v>
      </c>
      <c r="U176" s="64" t="s">
        <v>65</v>
      </c>
      <c r="V176" s="12">
        <f>+'Form20 '!E177</f>
        <v>4</v>
      </c>
      <c r="W176" s="18">
        <v>5</v>
      </c>
      <c r="X176" s="58" t="s">
        <v>66</v>
      </c>
      <c r="Y176" s="12">
        <f>+'Form20 '!F177</f>
        <v>0</v>
      </c>
      <c r="Z176" s="18">
        <v>6</v>
      </c>
      <c r="AA176" s="64" t="s">
        <v>67</v>
      </c>
      <c r="AB176" s="12">
        <f>+'Form20 '!G177</f>
        <v>3</v>
      </c>
      <c r="AC176" s="18">
        <v>7</v>
      </c>
      <c r="AD176" s="63" t="s">
        <v>68</v>
      </c>
      <c r="AE176" s="12">
        <f>+'Form20 '!H177</f>
        <v>0</v>
      </c>
      <c r="AF176" s="18">
        <v>8</v>
      </c>
      <c r="AG176" s="63" t="s">
        <v>69</v>
      </c>
      <c r="AH176" s="12">
        <f>+'Form20 '!I177</f>
        <v>0</v>
      </c>
      <c r="AI176" s="18">
        <v>9</v>
      </c>
      <c r="AJ176" s="65" t="s">
        <v>70</v>
      </c>
      <c r="AK176" s="12">
        <f>+'Form20 '!J177</f>
        <v>2</v>
      </c>
      <c r="AL176" s="18">
        <v>10</v>
      </c>
      <c r="AM176" s="66" t="s">
        <v>30</v>
      </c>
      <c r="AN176" s="12">
        <f>+'Form20 '!K177</f>
        <v>0</v>
      </c>
      <c r="AO176" s="18">
        <v>11</v>
      </c>
      <c r="AP176" s="66" t="s">
        <v>30</v>
      </c>
      <c r="AQ176" s="12">
        <f>+'Form20 '!L177</f>
        <v>1</v>
      </c>
      <c r="AR176" s="18">
        <v>12</v>
      </c>
      <c r="AS176" s="66" t="s">
        <v>30</v>
      </c>
      <c r="AT176" s="12">
        <f>+'Form20 '!M177</f>
        <v>1</v>
      </c>
      <c r="AU176" s="18">
        <v>13</v>
      </c>
      <c r="AV176" s="66" t="s">
        <v>30</v>
      </c>
      <c r="AW176" s="12">
        <f>+'Form20 '!N177</f>
        <v>1</v>
      </c>
      <c r="AX176" s="18">
        <v>14</v>
      </c>
      <c r="AY176" s="66" t="s">
        <v>30</v>
      </c>
      <c r="AZ176" s="12">
        <f>+'Form20 '!O177</f>
        <v>2</v>
      </c>
      <c r="BA176" s="75">
        <f t="shared" si="5"/>
        <v>605</v>
      </c>
    </row>
    <row r="177" spans="1:53" s="67" customFormat="1" ht="59.25" customHeight="1">
      <c r="A177" s="18">
        <v>333</v>
      </c>
      <c r="B177" s="59">
        <v>171</v>
      </c>
      <c r="C177" s="76" t="s">
        <v>248</v>
      </c>
      <c r="D177" s="61">
        <v>899</v>
      </c>
      <c r="E177" s="61">
        <v>304</v>
      </c>
      <c r="F177" s="61">
        <v>331</v>
      </c>
      <c r="G177" s="55">
        <v>0</v>
      </c>
      <c r="H177" s="62">
        <f t="shared" si="4"/>
        <v>635</v>
      </c>
      <c r="I177" s="55">
        <v>118</v>
      </c>
      <c r="J177" s="29">
        <v>0</v>
      </c>
      <c r="K177" s="18">
        <v>1</v>
      </c>
      <c r="L177" s="63" t="s">
        <v>29</v>
      </c>
      <c r="M177" s="12">
        <f>+'Form20 '!B178</f>
        <v>467</v>
      </c>
      <c r="N177" s="18">
        <v>2</v>
      </c>
      <c r="O177" s="58" t="s">
        <v>24</v>
      </c>
      <c r="P177" s="12">
        <f>+'Form20 '!C178</f>
        <v>53</v>
      </c>
      <c r="Q177" s="18">
        <v>3</v>
      </c>
      <c r="R177" s="63" t="s">
        <v>28</v>
      </c>
      <c r="S177" s="12">
        <f>+'Form20 '!D178</f>
        <v>94</v>
      </c>
      <c r="T177" s="18">
        <v>4</v>
      </c>
      <c r="U177" s="64" t="s">
        <v>65</v>
      </c>
      <c r="V177" s="12">
        <f>+'Form20 '!E178</f>
        <v>10</v>
      </c>
      <c r="W177" s="18">
        <v>5</v>
      </c>
      <c r="X177" s="58" t="s">
        <v>66</v>
      </c>
      <c r="Y177" s="12">
        <f>+'Form20 '!F178</f>
        <v>0</v>
      </c>
      <c r="Z177" s="18">
        <v>6</v>
      </c>
      <c r="AA177" s="64" t="s">
        <v>67</v>
      </c>
      <c r="AB177" s="12">
        <f>+'Form20 '!G178</f>
        <v>0</v>
      </c>
      <c r="AC177" s="18">
        <v>7</v>
      </c>
      <c r="AD177" s="63" t="s">
        <v>68</v>
      </c>
      <c r="AE177" s="12">
        <f>+'Form20 '!H178</f>
        <v>1</v>
      </c>
      <c r="AF177" s="18">
        <v>8</v>
      </c>
      <c r="AG177" s="63" t="s">
        <v>69</v>
      </c>
      <c r="AH177" s="12">
        <f>+'Form20 '!I178</f>
        <v>0</v>
      </c>
      <c r="AI177" s="18">
        <v>9</v>
      </c>
      <c r="AJ177" s="65" t="s">
        <v>70</v>
      </c>
      <c r="AK177" s="12">
        <f>+'Form20 '!J178</f>
        <v>0</v>
      </c>
      <c r="AL177" s="18">
        <v>10</v>
      </c>
      <c r="AM177" s="66" t="s">
        <v>30</v>
      </c>
      <c r="AN177" s="12">
        <f>+'Form20 '!K178</f>
        <v>1</v>
      </c>
      <c r="AO177" s="18">
        <v>11</v>
      </c>
      <c r="AP177" s="66" t="s">
        <v>30</v>
      </c>
      <c r="AQ177" s="12">
        <f>+'Form20 '!L178</f>
        <v>0</v>
      </c>
      <c r="AR177" s="18">
        <v>12</v>
      </c>
      <c r="AS177" s="66" t="s">
        <v>30</v>
      </c>
      <c r="AT177" s="12">
        <f>+'Form20 '!M178</f>
        <v>1</v>
      </c>
      <c r="AU177" s="18">
        <v>13</v>
      </c>
      <c r="AV177" s="66" t="s">
        <v>30</v>
      </c>
      <c r="AW177" s="12">
        <f>+'Form20 '!N178</f>
        <v>3</v>
      </c>
      <c r="AX177" s="18">
        <v>14</v>
      </c>
      <c r="AY177" s="66" t="s">
        <v>30</v>
      </c>
      <c r="AZ177" s="12">
        <f>+'Form20 '!O178</f>
        <v>2</v>
      </c>
      <c r="BA177" s="75">
        <f t="shared" si="5"/>
        <v>632</v>
      </c>
    </row>
    <row r="178" spans="1:53" s="67" customFormat="1" ht="59.25" customHeight="1">
      <c r="A178" s="18">
        <v>333</v>
      </c>
      <c r="B178" s="59">
        <v>172</v>
      </c>
      <c r="C178" s="76" t="s">
        <v>249</v>
      </c>
      <c r="D178" s="61">
        <v>625</v>
      </c>
      <c r="E178" s="61">
        <v>134</v>
      </c>
      <c r="F178" s="61">
        <v>182</v>
      </c>
      <c r="G178" s="55">
        <v>0</v>
      </c>
      <c r="H178" s="62">
        <f t="shared" si="4"/>
        <v>316</v>
      </c>
      <c r="I178" s="55">
        <v>32</v>
      </c>
      <c r="J178" s="29">
        <v>0</v>
      </c>
      <c r="K178" s="18">
        <v>1</v>
      </c>
      <c r="L178" s="63" t="s">
        <v>29</v>
      </c>
      <c r="M178" s="12">
        <f>+'Form20 '!B179</f>
        <v>234</v>
      </c>
      <c r="N178" s="18">
        <v>2</v>
      </c>
      <c r="O178" s="58" t="s">
        <v>24</v>
      </c>
      <c r="P178" s="12">
        <f>+'Form20 '!C179</f>
        <v>2</v>
      </c>
      <c r="Q178" s="18">
        <v>3</v>
      </c>
      <c r="R178" s="63" t="s">
        <v>28</v>
      </c>
      <c r="S178" s="12">
        <f>+'Form20 '!D179</f>
        <v>59</v>
      </c>
      <c r="T178" s="18">
        <v>4</v>
      </c>
      <c r="U178" s="64" t="s">
        <v>65</v>
      </c>
      <c r="V178" s="12">
        <f>+'Form20 '!E179</f>
        <v>10</v>
      </c>
      <c r="W178" s="18">
        <v>5</v>
      </c>
      <c r="X178" s="58" t="s">
        <v>66</v>
      </c>
      <c r="Y178" s="12">
        <f>+'Form20 '!F179</f>
        <v>0</v>
      </c>
      <c r="Z178" s="18">
        <v>6</v>
      </c>
      <c r="AA178" s="64" t="s">
        <v>67</v>
      </c>
      <c r="AB178" s="12">
        <f>+'Form20 '!G179</f>
        <v>0</v>
      </c>
      <c r="AC178" s="18">
        <v>7</v>
      </c>
      <c r="AD178" s="63" t="s">
        <v>68</v>
      </c>
      <c r="AE178" s="12">
        <f>+'Form20 '!H179</f>
        <v>0</v>
      </c>
      <c r="AF178" s="18">
        <v>8</v>
      </c>
      <c r="AG178" s="63" t="s">
        <v>69</v>
      </c>
      <c r="AH178" s="12">
        <f>+'Form20 '!I179</f>
        <v>0</v>
      </c>
      <c r="AI178" s="18">
        <v>9</v>
      </c>
      <c r="AJ178" s="65" t="s">
        <v>70</v>
      </c>
      <c r="AK178" s="12">
        <f>+'Form20 '!J179</f>
        <v>7</v>
      </c>
      <c r="AL178" s="18">
        <v>10</v>
      </c>
      <c r="AM178" s="66" t="s">
        <v>30</v>
      </c>
      <c r="AN178" s="12">
        <f>+'Form20 '!K179</f>
        <v>1</v>
      </c>
      <c r="AO178" s="18">
        <v>11</v>
      </c>
      <c r="AP178" s="66" t="s">
        <v>30</v>
      </c>
      <c r="AQ178" s="12">
        <f>+'Form20 '!L179</f>
        <v>1</v>
      </c>
      <c r="AR178" s="18">
        <v>12</v>
      </c>
      <c r="AS178" s="66" t="s">
        <v>30</v>
      </c>
      <c r="AT178" s="12">
        <f>+'Form20 '!M179</f>
        <v>0</v>
      </c>
      <c r="AU178" s="18">
        <v>13</v>
      </c>
      <c r="AV178" s="66" t="s">
        <v>30</v>
      </c>
      <c r="AW178" s="12">
        <f>+'Form20 '!N179</f>
        <v>1</v>
      </c>
      <c r="AX178" s="18">
        <v>14</v>
      </c>
      <c r="AY178" s="66" t="s">
        <v>30</v>
      </c>
      <c r="AZ178" s="12">
        <f>+'Form20 '!O179</f>
        <v>0</v>
      </c>
      <c r="BA178" s="75">
        <f t="shared" si="5"/>
        <v>315</v>
      </c>
    </row>
    <row r="179" spans="1:53" s="67" customFormat="1" ht="59.25" customHeight="1">
      <c r="A179" s="18">
        <v>333</v>
      </c>
      <c r="B179" s="59">
        <v>173</v>
      </c>
      <c r="C179" s="76" t="s">
        <v>250</v>
      </c>
      <c r="D179" s="61">
        <v>659</v>
      </c>
      <c r="E179" s="61">
        <v>164</v>
      </c>
      <c r="F179" s="61">
        <v>235</v>
      </c>
      <c r="G179" s="55">
        <v>0</v>
      </c>
      <c r="H179" s="62">
        <f t="shared" si="4"/>
        <v>399</v>
      </c>
      <c r="I179" s="55">
        <v>42</v>
      </c>
      <c r="J179" s="29">
        <v>0</v>
      </c>
      <c r="K179" s="18">
        <v>1</v>
      </c>
      <c r="L179" s="63" t="s">
        <v>29</v>
      </c>
      <c r="M179" s="12">
        <f>+'Form20 '!B180</f>
        <v>161</v>
      </c>
      <c r="N179" s="18">
        <v>2</v>
      </c>
      <c r="O179" s="58" t="s">
        <v>24</v>
      </c>
      <c r="P179" s="12">
        <f>+'Form20 '!C180</f>
        <v>79</v>
      </c>
      <c r="Q179" s="18">
        <v>3</v>
      </c>
      <c r="R179" s="63" t="s">
        <v>28</v>
      </c>
      <c r="S179" s="12">
        <f>+'Form20 '!D180</f>
        <v>141</v>
      </c>
      <c r="T179" s="18">
        <v>4</v>
      </c>
      <c r="U179" s="64" t="s">
        <v>65</v>
      </c>
      <c r="V179" s="12">
        <f>+'Form20 '!E180</f>
        <v>6</v>
      </c>
      <c r="W179" s="18">
        <v>5</v>
      </c>
      <c r="X179" s="58" t="s">
        <v>66</v>
      </c>
      <c r="Y179" s="12">
        <f>+'Form20 '!F180</f>
        <v>0</v>
      </c>
      <c r="Z179" s="18">
        <v>6</v>
      </c>
      <c r="AA179" s="64" t="s">
        <v>67</v>
      </c>
      <c r="AB179" s="12">
        <f>+'Form20 '!G180</f>
        <v>0</v>
      </c>
      <c r="AC179" s="18">
        <v>7</v>
      </c>
      <c r="AD179" s="63" t="s">
        <v>68</v>
      </c>
      <c r="AE179" s="12">
        <f>+'Form20 '!H180</f>
        <v>0</v>
      </c>
      <c r="AF179" s="18">
        <v>8</v>
      </c>
      <c r="AG179" s="63" t="s">
        <v>69</v>
      </c>
      <c r="AH179" s="12">
        <f>+'Form20 '!I180</f>
        <v>0</v>
      </c>
      <c r="AI179" s="18">
        <v>9</v>
      </c>
      <c r="AJ179" s="65" t="s">
        <v>70</v>
      </c>
      <c r="AK179" s="12">
        <f>+'Form20 '!J180</f>
        <v>5</v>
      </c>
      <c r="AL179" s="18">
        <v>10</v>
      </c>
      <c r="AM179" s="66" t="s">
        <v>30</v>
      </c>
      <c r="AN179" s="12">
        <f>+'Form20 '!K180</f>
        <v>0</v>
      </c>
      <c r="AO179" s="18">
        <v>11</v>
      </c>
      <c r="AP179" s="66" t="s">
        <v>30</v>
      </c>
      <c r="AQ179" s="12">
        <f>+'Form20 '!L180</f>
        <v>1</v>
      </c>
      <c r="AR179" s="18">
        <v>12</v>
      </c>
      <c r="AS179" s="66" t="s">
        <v>30</v>
      </c>
      <c r="AT179" s="12">
        <f>+'Form20 '!M180</f>
        <v>0</v>
      </c>
      <c r="AU179" s="18">
        <v>13</v>
      </c>
      <c r="AV179" s="66" t="s">
        <v>30</v>
      </c>
      <c r="AW179" s="12">
        <f>+'Form20 '!N180</f>
        <v>0</v>
      </c>
      <c r="AX179" s="18">
        <v>14</v>
      </c>
      <c r="AY179" s="66" t="s">
        <v>30</v>
      </c>
      <c r="AZ179" s="12">
        <f>+'Form20 '!O180</f>
        <v>3</v>
      </c>
      <c r="BA179" s="75">
        <f t="shared" si="5"/>
        <v>396</v>
      </c>
    </row>
    <row r="180" spans="1:53" s="67" customFormat="1" ht="59.25" customHeight="1">
      <c r="A180" s="18">
        <v>333</v>
      </c>
      <c r="B180" s="59">
        <v>174</v>
      </c>
      <c r="C180" s="76" t="s">
        <v>251</v>
      </c>
      <c r="D180" s="61">
        <v>709</v>
      </c>
      <c r="E180" s="61">
        <v>141</v>
      </c>
      <c r="F180" s="61">
        <v>203</v>
      </c>
      <c r="G180" s="55">
        <v>0</v>
      </c>
      <c r="H180" s="62">
        <f t="shared" si="4"/>
        <v>344</v>
      </c>
      <c r="I180" s="55">
        <v>44</v>
      </c>
      <c r="J180" s="29">
        <v>0</v>
      </c>
      <c r="K180" s="18">
        <v>1</v>
      </c>
      <c r="L180" s="63" t="s">
        <v>29</v>
      </c>
      <c r="M180" s="12">
        <f>+'Form20 '!B181</f>
        <v>268</v>
      </c>
      <c r="N180" s="18">
        <v>2</v>
      </c>
      <c r="O180" s="58" t="s">
        <v>24</v>
      </c>
      <c r="P180" s="12">
        <f>+'Form20 '!C181</f>
        <v>2</v>
      </c>
      <c r="Q180" s="18">
        <v>3</v>
      </c>
      <c r="R180" s="63" t="s">
        <v>28</v>
      </c>
      <c r="S180" s="12">
        <f>+'Form20 '!D181</f>
        <v>67</v>
      </c>
      <c r="T180" s="18">
        <v>4</v>
      </c>
      <c r="U180" s="64" t="s">
        <v>65</v>
      </c>
      <c r="V180" s="12">
        <f>+'Form20 '!E181</f>
        <v>2</v>
      </c>
      <c r="W180" s="18">
        <v>5</v>
      </c>
      <c r="X180" s="58" t="s">
        <v>66</v>
      </c>
      <c r="Y180" s="12">
        <f>+'Form20 '!F181</f>
        <v>0</v>
      </c>
      <c r="Z180" s="18">
        <v>6</v>
      </c>
      <c r="AA180" s="64" t="s">
        <v>67</v>
      </c>
      <c r="AB180" s="12">
        <f>+'Form20 '!G181</f>
        <v>0</v>
      </c>
      <c r="AC180" s="18">
        <v>7</v>
      </c>
      <c r="AD180" s="63" t="s">
        <v>68</v>
      </c>
      <c r="AE180" s="12">
        <f>+'Form20 '!H181</f>
        <v>0</v>
      </c>
      <c r="AF180" s="18">
        <v>8</v>
      </c>
      <c r="AG180" s="63" t="s">
        <v>69</v>
      </c>
      <c r="AH180" s="12">
        <f>+'Form20 '!I181</f>
        <v>0</v>
      </c>
      <c r="AI180" s="18">
        <v>9</v>
      </c>
      <c r="AJ180" s="65" t="s">
        <v>70</v>
      </c>
      <c r="AK180" s="12">
        <f>+'Form20 '!J181</f>
        <v>0</v>
      </c>
      <c r="AL180" s="18">
        <v>10</v>
      </c>
      <c r="AM180" s="66" t="s">
        <v>30</v>
      </c>
      <c r="AN180" s="12">
        <f>+'Form20 '!K181</f>
        <v>0</v>
      </c>
      <c r="AO180" s="18">
        <v>11</v>
      </c>
      <c r="AP180" s="66" t="s">
        <v>30</v>
      </c>
      <c r="AQ180" s="12">
        <f>+'Form20 '!L181</f>
        <v>1</v>
      </c>
      <c r="AR180" s="18">
        <v>12</v>
      </c>
      <c r="AS180" s="66" t="s">
        <v>30</v>
      </c>
      <c r="AT180" s="12">
        <f>+'Form20 '!M181</f>
        <v>0</v>
      </c>
      <c r="AU180" s="18">
        <v>13</v>
      </c>
      <c r="AV180" s="66" t="s">
        <v>30</v>
      </c>
      <c r="AW180" s="12">
        <f>+'Form20 '!N181</f>
        <v>1</v>
      </c>
      <c r="AX180" s="18">
        <v>14</v>
      </c>
      <c r="AY180" s="66" t="s">
        <v>30</v>
      </c>
      <c r="AZ180" s="12">
        <f>+'Form20 '!O181</f>
        <v>0</v>
      </c>
      <c r="BA180" s="75">
        <f t="shared" si="5"/>
        <v>341</v>
      </c>
    </row>
    <row r="181" spans="1:53" s="67" customFormat="1" ht="59.25" customHeight="1">
      <c r="A181" s="18">
        <v>333</v>
      </c>
      <c r="B181" s="59">
        <v>175</v>
      </c>
      <c r="C181" s="76" t="s">
        <v>252</v>
      </c>
      <c r="D181" s="61">
        <v>595</v>
      </c>
      <c r="E181" s="61">
        <v>138</v>
      </c>
      <c r="F181" s="61">
        <v>198</v>
      </c>
      <c r="G181" s="55">
        <v>0</v>
      </c>
      <c r="H181" s="62">
        <f t="shared" si="4"/>
        <v>336</v>
      </c>
      <c r="I181" s="55">
        <v>11</v>
      </c>
      <c r="J181" s="29">
        <v>0</v>
      </c>
      <c r="K181" s="18">
        <v>1</v>
      </c>
      <c r="L181" s="63" t="s">
        <v>29</v>
      </c>
      <c r="M181" s="12">
        <f>+'Form20 '!B182</f>
        <v>308</v>
      </c>
      <c r="N181" s="18">
        <v>2</v>
      </c>
      <c r="O181" s="58" t="s">
        <v>24</v>
      </c>
      <c r="P181" s="12">
        <f>+'Form20 '!C182</f>
        <v>3</v>
      </c>
      <c r="Q181" s="18">
        <v>3</v>
      </c>
      <c r="R181" s="63" t="s">
        <v>28</v>
      </c>
      <c r="S181" s="12">
        <f>+'Form20 '!D182</f>
        <v>19</v>
      </c>
      <c r="T181" s="18">
        <v>4</v>
      </c>
      <c r="U181" s="64" t="s">
        <v>65</v>
      </c>
      <c r="V181" s="12">
        <f>+'Form20 '!E182</f>
        <v>0</v>
      </c>
      <c r="W181" s="18">
        <v>5</v>
      </c>
      <c r="X181" s="58" t="s">
        <v>66</v>
      </c>
      <c r="Y181" s="12">
        <f>+'Form20 '!F182</f>
        <v>0</v>
      </c>
      <c r="Z181" s="18">
        <v>6</v>
      </c>
      <c r="AA181" s="64" t="s">
        <v>67</v>
      </c>
      <c r="AB181" s="12">
        <f>+'Form20 '!G182</f>
        <v>1</v>
      </c>
      <c r="AC181" s="18">
        <v>7</v>
      </c>
      <c r="AD181" s="63" t="s">
        <v>68</v>
      </c>
      <c r="AE181" s="12">
        <f>+'Form20 '!H182</f>
        <v>0</v>
      </c>
      <c r="AF181" s="18">
        <v>8</v>
      </c>
      <c r="AG181" s="63" t="s">
        <v>69</v>
      </c>
      <c r="AH181" s="12">
        <f>+'Form20 '!I182</f>
        <v>0</v>
      </c>
      <c r="AI181" s="18">
        <v>9</v>
      </c>
      <c r="AJ181" s="65" t="s">
        <v>70</v>
      </c>
      <c r="AK181" s="12">
        <f>+'Form20 '!J182</f>
        <v>1</v>
      </c>
      <c r="AL181" s="18">
        <v>10</v>
      </c>
      <c r="AM181" s="66" t="s">
        <v>30</v>
      </c>
      <c r="AN181" s="12">
        <f>+'Form20 '!K182</f>
        <v>0</v>
      </c>
      <c r="AO181" s="18">
        <v>11</v>
      </c>
      <c r="AP181" s="66" t="s">
        <v>30</v>
      </c>
      <c r="AQ181" s="12">
        <f>+'Form20 '!L182</f>
        <v>0</v>
      </c>
      <c r="AR181" s="18">
        <v>12</v>
      </c>
      <c r="AS181" s="66" t="s">
        <v>30</v>
      </c>
      <c r="AT181" s="12">
        <f>+'Form20 '!M182</f>
        <v>0</v>
      </c>
      <c r="AU181" s="18">
        <v>13</v>
      </c>
      <c r="AV181" s="66" t="s">
        <v>30</v>
      </c>
      <c r="AW181" s="12">
        <f>+'Form20 '!N182</f>
        <v>1</v>
      </c>
      <c r="AX181" s="18">
        <v>14</v>
      </c>
      <c r="AY181" s="66" t="s">
        <v>30</v>
      </c>
      <c r="AZ181" s="12">
        <f>+'Form20 '!O182</f>
        <v>0</v>
      </c>
      <c r="BA181" s="75">
        <f t="shared" si="5"/>
        <v>333</v>
      </c>
    </row>
    <row r="182" spans="1:53" s="67" customFormat="1" ht="59.25" customHeight="1">
      <c r="A182" s="18">
        <v>333</v>
      </c>
      <c r="B182" s="59">
        <v>176</v>
      </c>
      <c r="C182" s="76" t="s">
        <v>253</v>
      </c>
      <c r="D182" s="61">
        <v>588</v>
      </c>
      <c r="E182" s="61">
        <v>149</v>
      </c>
      <c r="F182" s="61">
        <v>162</v>
      </c>
      <c r="G182" s="55">
        <v>0</v>
      </c>
      <c r="H182" s="62">
        <f t="shared" si="4"/>
        <v>311</v>
      </c>
      <c r="I182" s="55">
        <v>111</v>
      </c>
      <c r="J182" s="29">
        <v>0</v>
      </c>
      <c r="K182" s="18">
        <v>1</v>
      </c>
      <c r="L182" s="63" t="s">
        <v>29</v>
      </c>
      <c r="M182" s="12">
        <f>+'Form20 '!B183</f>
        <v>233</v>
      </c>
      <c r="N182" s="18">
        <v>2</v>
      </c>
      <c r="O182" s="58" t="s">
        <v>24</v>
      </c>
      <c r="P182" s="12">
        <f>+'Form20 '!C183</f>
        <v>5</v>
      </c>
      <c r="Q182" s="18">
        <v>3</v>
      </c>
      <c r="R182" s="63" t="s">
        <v>28</v>
      </c>
      <c r="S182" s="12">
        <f>+'Form20 '!D183</f>
        <v>63</v>
      </c>
      <c r="T182" s="18">
        <v>4</v>
      </c>
      <c r="U182" s="64" t="s">
        <v>65</v>
      </c>
      <c r="V182" s="12">
        <f>+'Form20 '!E183</f>
        <v>3</v>
      </c>
      <c r="W182" s="18">
        <v>5</v>
      </c>
      <c r="X182" s="58" t="s">
        <v>66</v>
      </c>
      <c r="Y182" s="12">
        <f>+'Form20 '!F183</f>
        <v>0</v>
      </c>
      <c r="Z182" s="18">
        <v>6</v>
      </c>
      <c r="AA182" s="64" t="s">
        <v>67</v>
      </c>
      <c r="AB182" s="12">
        <f>+'Form20 '!G183</f>
        <v>0</v>
      </c>
      <c r="AC182" s="18">
        <v>7</v>
      </c>
      <c r="AD182" s="63" t="s">
        <v>68</v>
      </c>
      <c r="AE182" s="12">
        <f>+'Form20 '!H183</f>
        <v>1</v>
      </c>
      <c r="AF182" s="18">
        <v>8</v>
      </c>
      <c r="AG182" s="63" t="s">
        <v>69</v>
      </c>
      <c r="AH182" s="12">
        <f>+'Form20 '!I183</f>
        <v>0</v>
      </c>
      <c r="AI182" s="18">
        <v>9</v>
      </c>
      <c r="AJ182" s="65" t="s">
        <v>70</v>
      </c>
      <c r="AK182" s="12">
        <f>+'Form20 '!J183</f>
        <v>1</v>
      </c>
      <c r="AL182" s="18">
        <v>10</v>
      </c>
      <c r="AM182" s="66" t="s">
        <v>30</v>
      </c>
      <c r="AN182" s="12">
        <f>+'Form20 '!K183</f>
        <v>0</v>
      </c>
      <c r="AO182" s="18">
        <v>11</v>
      </c>
      <c r="AP182" s="66" t="s">
        <v>30</v>
      </c>
      <c r="AQ182" s="12">
        <f>+'Form20 '!L183</f>
        <v>2</v>
      </c>
      <c r="AR182" s="18">
        <v>12</v>
      </c>
      <c r="AS182" s="66" t="s">
        <v>30</v>
      </c>
      <c r="AT182" s="12">
        <f>+'Form20 '!M183</f>
        <v>0</v>
      </c>
      <c r="AU182" s="18">
        <v>13</v>
      </c>
      <c r="AV182" s="66" t="s">
        <v>30</v>
      </c>
      <c r="AW182" s="12">
        <f>+'Form20 '!N183</f>
        <v>1</v>
      </c>
      <c r="AX182" s="18">
        <v>14</v>
      </c>
      <c r="AY182" s="66" t="s">
        <v>30</v>
      </c>
      <c r="AZ182" s="12">
        <f>+'Form20 '!O183</f>
        <v>1</v>
      </c>
      <c r="BA182" s="75">
        <f t="shared" si="5"/>
        <v>310</v>
      </c>
    </row>
    <row r="183" spans="1:53" s="67" customFormat="1" ht="59.25" customHeight="1">
      <c r="A183" s="18">
        <v>333</v>
      </c>
      <c r="B183" s="59">
        <v>177</v>
      </c>
      <c r="C183" s="76" t="s">
        <v>254</v>
      </c>
      <c r="D183" s="61">
        <v>617</v>
      </c>
      <c r="E183" s="61">
        <v>148</v>
      </c>
      <c r="F183" s="61">
        <v>198</v>
      </c>
      <c r="G183" s="55">
        <v>0</v>
      </c>
      <c r="H183" s="62">
        <f t="shared" si="4"/>
        <v>346</v>
      </c>
      <c r="I183" s="55">
        <v>25</v>
      </c>
      <c r="J183" s="29">
        <v>0</v>
      </c>
      <c r="K183" s="18">
        <v>1</v>
      </c>
      <c r="L183" s="63" t="s">
        <v>29</v>
      </c>
      <c r="M183" s="12">
        <f>+'Form20 '!B184</f>
        <v>262</v>
      </c>
      <c r="N183" s="18">
        <v>2</v>
      </c>
      <c r="O183" s="58" t="s">
        <v>24</v>
      </c>
      <c r="P183" s="12">
        <f>+'Form20 '!C184</f>
        <v>22</v>
      </c>
      <c r="Q183" s="18">
        <v>3</v>
      </c>
      <c r="R183" s="63" t="s">
        <v>28</v>
      </c>
      <c r="S183" s="12">
        <f>+'Form20 '!D184</f>
        <v>52</v>
      </c>
      <c r="T183" s="18">
        <v>4</v>
      </c>
      <c r="U183" s="64" t="s">
        <v>65</v>
      </c>
      <c r="V183" s="12">
        <f>+'Form20 '!E184</f>
        <v>8</v>
      </c>
      <c r="W183" s="18">
        <v>5</v>
      </c>
      <c r="X183" s="58" t="s">
        <v>66</v>
      </c>
      <c r="Y183" s="12">
        <f>+'Form20 '!F184</f>
        <v>0</v>
      </c>
      <c r="Z183" s="18">
        <v>6</v>
      </c>
      <c r="AA183" s="64" t="s">
        <v>67</v>
      </c>
      <c r="AB183" s="12">
        <f>+'Form20 '!G184</f>
        <v>0</v>
      </c>
      <c r="AC183" s="18">
        <v>7</v>
      </c>
      <c r="AD183" s="63" t="s">
        <v>68</v>
      </c>
      <c r="AE183" s="12">
        <f>+'Form20 '!H184</f>
        <v>0</v>
      </c>
      <c r="AF183" s="18">
        <v>8</v>
      </c>
      <c r="AG183" s="63" t="s">
        <v>69</v>
      </c>
      <c r="AH183" s="12">
        <f>+'Form20 '!I184</f>
        <v>0</v>
      </c>
      <c r="AI183" s="18">
        <v>9</v>
      </c>
      <c r="AJ183" s="65" t="s">
        <v>70</v>
      </c>
      <c r="AK183" s="12">
        <f>+'Form20 '!J184</f>
        <v>0</v>
      </c>
      <c r="AL183" s="18">
        <v>10</v>
      </c>
      <c r="AM183" s="66" t="s">
        <v>30</v>
      </c>
      <c r="AN183" s="12">
        <f>+'Form20 '!K184</f>
        <v>0</v>
      </c>
      <c r="AO183" s="18">
        <v>11</v>
      </c>
      <c r="AP183" s="66" t="s">
        <v>30</v>
      </c>
      <c r="AQ183" s="12">
        <f>+'Form20 '!L184</f>
        <v>0</v>
      </c>
      <c r="AR183" s="18">
        <v>12</v>
      </c>
      <c r="AS183" s="66" t="s">
        <v>30</v>
      </c>
      <c r="AT183" s="12">
        <f>+'Form20 '!M184</f>
        <v>0</v>
      </c>
      <c r="AU183" s="18">
        <v>13</v>
      </c>
      <c r="AV183" s="66" t="s">
        <v>30</v>
      </c>
      <c r="AW183" s="12">
        <f>+'Form20 '!N184</f>
        <v>0</v>
      </c>
      <c r="AX183" s="18">
        <v>14</v>
      </c>
      <c r="AY183" s="66" t="s">
        <v>30</v>
      </c>
      <c r="AZ183" s="12">
        <f>+'Form20 '!O184</f>
        <v>0</v>
      </c>
      <c r="BA183" s="75">
        <f t="shared" si="5"/>
        <v>344</v>
      </c>
    </row>
    <row r="184" spans="1:53" s="67" customFormat="1" ht="59.25" customHeight="1">
      <c r="A184" s="18">
        <v>333</v>
      </c>
      <c r="B184" s="59">
        <v>178</v>
      </c>
      <c r="C184" s="76" t="s">
        <v>255</v>
      </c>
      <c r="D184" s="61">
        <v>1173</v>
      </c>
      <c r="E184" s="61">
        <v>294</v>
      </c>
      <c r="F184" s="61">
        <v>402</v>
      </c>
      <c r="G184" s="55">
        <v>0</v>
      </c>
      <c r="H184" s="62">
        <f t="shared" si="4"/>
        <v>696</v>
      </c>
      <c r="I184" s="55">
        <v>44</v>
      </c>
      <c r="J184" s="29">
        <v>0</v>
      </c>
      <c r="K184" s="18">
        <v>1</v>
      </c>
      <c r="L184" s="63" t="s">
        <v>29</v>
      </c>
      <c r="M184" s="12">
        <f>+'Form20 '!B185</f>
        <v>530</v>
      </c>
      <c r="N184" s="18">
        <v>2</v>
      </c>
      <c r="O184" s="58" t="s">
        <v>24</v>
      </c>
      <c r="P184" s="12">
        <f>+'Form20 '!C185</f>
        <v>41</v>
      </c>
      <c r="Q184" s="18">
        <v>3</v>
      </c>
      <c r="R184" s="63" t="s">
        <v>28</v>
      </c>
      <c r="S184" s="12">
        <f>+'Form20 '!D185</f>
        <v>101</v>
      </c>
      <c r="T184" s="18">
        <v>4</v>
      </c>
      <c r="U184" s="64" t="s">
        <v>65</v>
      </c>
      <c r="V184" s="12">
        <f>+'Form20 '!E185</f>
        <v>3</v>
      </c>
      <c r="W184" s="18">
        <v>5</v>
      </c>
      <c r="X184" s="58" t="s">
        <v>66</v>
      </c>
      <c r="Y184" s="12">
        <f>+'Form20 '!F185</f>
        <v>1</v>
      </c>
      <c r="Z184" s="18">
        <v>6</v>
      </c>
      <c r="AA184" s="64" t="s">
        <v>67</v>
      </c>
      <c r="AB184" s="12">
        <f>+'Form20 '!G185</f>
        <v>1</v>
      </c>
      <c r="AC184" s="18">
        <v>7</v>
      </c>
      <c r="AD184" s="63" t="s">
        <v>68</v>
      </c>
      <c r="AE184" s="12">
        <f>+'Form20 '!H185</f>
        <v>1</v>
      </c>
      <c r="AF184" s="18">
        <v>8</v>
      </c>
      <c r="AG184" s="63" t="s">
        <v>69</v>
      </c>
      <c r="AH184" s="12">
        <f>+'Form20 '!I185</f>
        <v>1</v>
      </c>
      <c r="AI184" s="18">
        <v>9</v>
      </c>
      <c r="AJ184" s="65" t="s">
        <v>70</v>
      </c>
      <c r="AK184" s="12">
        <f>+'Form20 '!J185</f>
        <v>2</v>
      </c>
      <c r="AL184" s="18">
        <v>10</v>
      </c>
      <c r="AM184" s="66" t="s">
        <v>30</v>
      </c>
      <c r="AN184" s="12">
        <f>+'Form20 '!K185</f>
        <v>0</v>
      </c>
      <c r="AO184" s="18">
        <v>11</v>
      </c>
      <c r="AP184" s="66" t="s">
        <v>30</v>
      </c>
      <c r="AQ184" s="12">
        <f>+'Form20 '!L185</f>
        <v>1</v>
      </c>
      <c r="AR184" s="18">
        <v>12</v>
      </c>
      <c r="AS184" s="66" t="s">
        <v>30</v>
      </c>
      <c r="AT184" s="12">
        <f>+'Form20 '!M185</f>
        <v>2</v>
      </c>
      <c r="AU184" s="18">
        <v>13</v>
      </c>
      <c r="AV184" s="66" t="s">
        <v>30</v>
      </c>
      <c r="AW184" s="12">
        <f>+'Form20 '!N185</f>
        <v>1</v>
      </c>
      <c r="AX184" s="18">
        <v>14</v>
      </c>
      <c r="AY184" s="66" t="s">
        <v>30</v>
      </c>
      <c r="AZ184" s="12">
        <f>+'Form20 '!O185</f>
        <v>4</v>
      </c>
      <c r="BA184" s="75">
        <f t="shared" si="5"/>
        <v>689</v>
      </c>
    </row>
    <row r="185" spans="1:53" s="67" customFormat="1" ht="59.25" customHeight="1">
      <c r="A185" s="18">
        <v>333</v>
      </c>
      <c r="B185" s="59">
        <v>179</v>
      </c>
      <c r="C185" s="76" t="s">
        <v>256</v>
      </c>
      <c r="D185" s="61">
        <v>602</v>
      </c>
      <c r="E185" s="61">
        <v>171</v>
      </c>
      <c r="F185" s="61">
        <v>205</v>
      </c>
      <c r="G185" s="55">
        <v>0</v>
      </c>
      <c r="H185" s="62">
        <f t="shared" si="4"/>
        <v>376</v>
      </c>
      <c r="I185" s="55">
        <v>36</v>
      </c>
      <c r="J185" s="29">
        <v>0</v>
      </c>
      <c r="K185" s="18">
        <v>1</v>
      </c>
      <c r="L185" s="63" t="s">
        <v>29</v>
      </c>
      <c r="M185" s="12">
        <f>+'Form20 '!B186</f>
        <v>172</v>
      </c>
      <c r="N185" s="18">
        <v>2</v>
      </c>
      <c r="O185" s="58" t="s">
        <v>24</v>
      </c>
      <c r="P185" s="12">
        <f>+'Form20 '!C186</f>
        <v>116</v>
      </c>
      <c r="Q185" s="18">
        <v>3</v>
      </c>
      <c r="R185" s="63" t="s">
        <v>28</v>
      </c>
      <c r="S185" s="12">
        <f>+'Form20 '!D186</f>
        <v>72</v>
      </c>
      <c r="T185" s="18">
        <v>4</v>
      </c>
      <c r="U185" s="64" t="s">
        <v>65</v>
      </c>
      <c r="V185" s="12">
        <f>+'Form20 '!E186</f>
        <v>6</v>
      </c>
      <c r="W185" s="18">
        <v>5</v>
      </c>
      <c r="X185" s="58" t="s">
        <v>66</v>
      </c>
      <c r="Y185" s="12">
        <f>+'Form20 '!F186</f>
        <v>1</v>
      </c>
      <c r="Z185" s="18">
        <v>6</v>
      </c>
      <c r="AA185" s="64" t="s">
        <v>67</v>
      </c>
      <c r="AB185" s="12">
        <f>+'Form20 '!G186</f>
        <v>0</v>
      </c>
      <c r="AC185" s="18">
        <v>7</v>
      </c>
      <c r="AD185" s="63" t="s">
        <v>68</v>
      </c>
      <c r="AE185" s="12">
        <f>+'Form20 '!H186</f>
        <v>0</v>
      </c>
      <c r="AF185" s="18">
        <v>8</v>
      </c>
      <c r="AG185" s="63" t="s">
        <v>69</v>
      </c>
      <c r="AH185" s="12">
        <f>+'Form20 '!I186</f>
        <v>1</v>
      </c>
      <c r="AI185" s="18">
        <v>9</v>
      </c>
      <c r="AJ185" s="65" t="s">
        <v>70</v>
      </c>
      <c r="AK185" s="12">
        <f>+'Form20 '!J186</f>
        <v>1</v>
      </c>
      <c r="AL185" s="18">
        <v>10</v>
      </c>
      <c r="AM185" s="66" t="s">
        <v>30</v>
      </c>
      <c r="AN185" s="12">
        <f>+'Form20 '!K186</f>
        <v>1</v>
      </c>
      <c r="AO185" s="18">
        <v>11</v>
      </c>
      <c r="AP185" s="66" t="s">
        <v>30</v>
      </c>
      <c r="AQ185" s="12">
        <f>+'Form20 '!L186</f>
        <v>0</v>
      </c>
      <c r="AR185" s="18">
        <v>12</v>
      </c>
      <c r="AS185" s="66" t="s">
        <v>30</v>
      </c>
      <c r="AT185" s="12">
        <f>+'Form20 '!M186</f>
        <v>1</v>
      </c>
      <c r="AU185" s="18">
        <v>13</v>
      </c>
      <c r="AV185" s="66" t="s">
        <v>30</v>
      </c>
      <c r="AW185" s="12">
        <f>+'Form20 '!N186</f>
        <v>2</v>
      </c>
      <c r="AX185" s="18">
        <v>14</v>
      </c>
      <c r="AY185" s="66" t="s">
        <v>30</v>
      </c>
      <c r="AZ185" s="12">
        <f>+'Form20 '!O186</f>
        <v>1</v>
      </c>
      <c r="BA185" s="75">
        <f t="shared" si="5"/>
        <v>374</v>
      </c>
    </row>
    <row r="186" spans="1:53" s="67" customFormat="1" ht="59.25" customHeight="1">
      <c r="A186" s="18">
        <v>333</v>
      </c>
      <c r="B186" s="59">
        <v>180</v>
      </c>
      <c r="C186" s="76" t="s">
        <v>257</v>
      </c>
      <c r="D186" s="61">
        <v>595</v>
      </c>
      <c r="E186" s="61">
        <v>174</v>
      </c>
      <c r="F186" s="61">
        <v>199</v>
      </c>
      <c r="G186" s="55">
        <v>0</v>
      </c>
      <c r="H186" s="62">
        <f t="shared" si="4"/>
        <v>373</v>
      </c>
      <c r="I186" s="55">
        <v>28</v>
      </c>
      <c r="J186" s="29">
        <v>0</v>
      </c>
      <c r="K186" s="18">
        <v>1</v>
      </c>
      <c r="L186" s="63" t="s">
        <v>29</v>
      </c>
      <c r="M186" s="12">
        <f>+'Form20 '!B187</f>
        <v>191</v>
      </c>
      <c r="N186" s="18">
        <v>2</v>
      </c>
      <c r="O186" s="58" t="s">
        <v>24</v>
      </c>
      <c r="P186" s="12">
        <f>+'Form20 '!C187</f>
        <v>14</v>
      </c>
      <c r="Q186" s="18">
        <v>3</v>
      </c>
      <c r="R186" s="63" t="s">
        <v>28</v>
      </c>
      <c r="S186" s="12">
        <f>+'Form20 '!D187</f>
        <v>161</v>
      </c>
      <c r="T186" s="18">
        <v>4</v>
      </c>
      <c r="U186" s="64" t="s">
        <v>65</v>
      </c>
      <c r="V186" s="12">
        <f>+'Form20 '!E187</f>
        <v>4</v>
      </c>
      <c r="W186" s="18">
        <v>5</v>
      </c>
      <c r="X186" s="58" t="s">
        <v>66</v>
      </c>
      <c r="Y186" s="12">
        <f>+'Form20 '!F187</f>
        <v>0</v>
      </c>
      <c r="Z186" s="18">
        <v>6</v>
      </c>
      <c r="AA186" s="64" t="s">
        <v>67</v>
      </c>
      <c r="AB186" s="12">
        <f>+'Form20 '!G187</f>
        <v>0</v>
      </c>
      <c r="AC186" s="18">
        <v>7</v>
      </c>
      <c r="AD186" s="63" t="s">
        <v>68</v>
      </c>
      <c r="AE186" s="12">
        <f>+'Form20 '!H187</f>
        <v>0</v>
      </c>
      <c r="AF186" s="18">
        <v>8</v>
      </c>
      <c r="AG186" s="63" t="s">
        <v>69</v>
      </c>
      <c r="AH186" s="12">
        <f>+'Form20 '!I187</f>
        <v>0</v>
      </c>
      <c r="AI186" s="18">
        <v>9</v>
      </c>
      <c r="AJ186" s="65" t="s">
        <v>70</v>
      </c>
      <c r="AK186" s="12">
        <f>+'Form20 '!J187</f>
        <v>0</v>
      </c>
      <c r="AL186" s="18">
        <v>10</v>
      </c>
      <c r="AM186" s="66" t="s">
        <v>30</v>
      </c>
      <c r="AN186" s="12">
        <f>+'Form20 '!K187</f>
        <v>0</v>
      </c>
      <c r="AO186" s="18">
        <v>11</v>
      </c>
      <c r="AP186" s="66" t="s">
        <v>30</v>
      </c>
      <c r="AQ186" s="12">
        <f>+'Form20 '!L187</f>
        <v>1</v>
      </c>
      <c r="AR186" s="18">
        <v>12</v>
      </c>
      <c r="AS186" s="66" t="s">
        <v>30</v>
      </c>
      <c r="AT186" s="12">
        <f>+'Form20 '!M187</f>
        <v>0</v>
      </c>
      <c r="AU186" s="18">
        <v>13</v>
      </c>
      <c r="AV186" s="66" t="s">
        <v>30</v>
      </c>
      <c r="AW186" s="12">
        <f>+'Form20 '!N187</f>
        <v>1</v>
      </c>
      <c r="AX186" s="18">
        <v>14</v>
      </c>
      <c r="AY186" s="66" t="s">
        <v>30</v>
      </c>
      <c r="AZ186" s="12">
        <f>+'Form20 '!O187</f>
        <v>0</v>
      </c>
      <c r="BA186" s="75">
        <f t="shared" si="5"/>
        <v>372</v>
      </c>
    </row>
    <row r="187" spans="1:53" s="67" customFormat="1" ht="59.25" customHeight="1">
      <c r="A187" s="18">
        <v>333</v>
      </c>
      <c r="B187" s="59">
        <v>181</v>
      </c>
      <c r="C187" s="76" t="s">
        <v>258</v>
      </c>
      <c r="D187" s="61">
        <v>1116</v>
      </c>
      <c r="E187" s="61">
        <v>296</v>
      </c>
      <c r="F187" s="61">
        <v>343</v>
      </c>
      <c r="G187" s="55">
        <v>0</v>
      </c>
      <c r="H187" s="62">
        <f t="shared" si="4"/>
        <v>639</v>
      </c>
      <c r="I187" s="55">
        <v>550</v>
      </c>
      <c r="J187" s="29">
        <v>0</v>
      </c>
      <c r="K187" s="18">
        <v>1</v>
      </c>
      <c r="L187" s="63" t="s">
        <v>29</v>
      </c>
      <c r="M187" s="12">
        <f>+'Form20 '!B188</f>
        <v>448</v>
      </c>
      <c r="N187" s="18">
        <v>2</v>
      </c>
      <c r="O187" s="58" t="s">
        <v>24</v>
      </c>
      <c r="P187" s="12">
        <f>+'Form20 '!C188</f>
        <v>9</v>
      </c>
      <c r="Q187" s="18">
        <v>3</v>
      </c>
      <c r="R187" s="63" t="s">
        <v>28</v>
      </c>
      <c r="S187" s="12">
        <f>+'Form20 '!D188</f>
        <v>164</v>
      </c>
      <c r="T187" s="18">
        <v>4</v>
      </c>
      <c r="U187" s="64" t="s">
        <v>65</v>
      </c>
      <c r="V187" s="12">
        <f>+'Form20 '!E188</f>
        <v>2</v>
      </c>
      <c r="W187" s="18">
        <v>5</v>
      </c>
      <c r="X187" s="58" t="s">
        <v>66</v>
      </c>
      <c r="Y187" s="12">
        <f>+'Form20 '!F188</f>
        <v>0</v>
      </c>
      <c r="Z187" s="18">
        <v>6</v>
      </c>
      <c r="AA187" s="64" t="s">
        <v>67</v>
      </c>
      <c r="AB187" s="12">
        <f>+'Form20 '!G188</f>
        <v>3</v>
      </c>
      <c r="AC187" s="18">
        <v>7</v>
      </c>
      <c r="AD187" s="63" t="s">
        <v>68</v>
      </c>
      <c r="AE187" s="12">
        <f>+'Form20 '!H188</f>
        <v>0</v>
      </c>
      <c r="AF187" s="18">
        <v>8</v>
      </c>
      <c r="AG187" s="63" t="s">
        <v>69</v>
      </c>
      <c r="AH187" s="12">
        <f>+'Form20 '!I188</f>
        <v>0</v>
      </c>
      <c r="AI187" s="18">
        <v>9</v>
      </c>
      <c r="AJ187" s="65" t="s">
        <v>70</v>
      </c>
      <c r="AK187" s="12">
        <f>+'Form20 '!J188</f>
        <v>2</v>
      </c>
      <c r="AL187" s="18">
        <v>10</v>
      </c>
      <c r="AM187" s="66" t="s">
        <v>30</v>
      </c>
      <c r="AN187" s="12">
        <f>+'Form20 '!K188</f>
        <v>1</v>
      </c>
      <c r="AO187" s="18">
        <v>11</v>
      </c>
      <c r="AP187" s="66" t="s">
        <v>30</v>
      </c>
      <c r="AQ187" s="12">
        <f>+'Form20 '!L188</f>
        <v>1</v>
      </c>
      <c r="AR187" s="18">
        <v>12</v>
      </c>
      <c r="AS187" s="66" t="s">
        <v>30</v>
      </c>
      <c r="AT187" s="12">
        <f>+'Form20 '!M188</f>
        <v>2</v>
      </c>
      <c r="AU187" s="18">
        <v>13</v>
      </c>
      <c r="AV187" s="66" t="s">
        <v>30</v>
      </c>
      <c r="AW187" s="12">
        <f>+'Form20 '!N188</f>
        <v>3</v>
      </c>
      <c r="AX187" s="18">
        <v>14</v>
      </c>
      <c r="AY187" s="66" t="s">
        <v>30</v>
      </c>
      <c r="AZ187" s="12">
        <f>+'Form20 '!O188</f>
        <v>1</v>
      </c>
      <c r="BA187" s="75">
        <f t="shared" si="5"/>
        <v>636</v>
      </c>
    </row>
    <row r="188" spans="1:53" s="67" customFormat="1" ht="59.25" customHeight="1">
      <c r="A188" s="18">
        <v>333</v>
      </c>
      <c r="B188" s="59">
        <v>182</v>
      </c>
      <c r="C188" s="76" t="s">
        <v>259</v>
      </c>
      <c r="D188" s="61">
        <v>736</v>
      </c>
      <c r="E188" s="61">
        <v>220</v>
      </c>
      <c r="F188" s="61">
        <v>208</v>
      </c>
      <c r="G188" s="55">
        <v>0</v>
      </c>
      <c r="H188" s="62">
        <f t="shared" si="4"/>
        <v>428</v>
      </c>
      <c r="I188" s="55">
        <v>350</v>
      </c>
      <c r="J188" s="29">
        <v>0</v>
      </c>
      <c r="K188" s="18">
        <v>1</v>
      </c>
      <c r="L188" s="63" t="s">
        <v>29</v>
      </c>
      <c r="M188" s="12">
        <f>+'Form20 '!B189</f>
        <v>302</v>
      </c>
      <c r="N188" s="18">
        <v>2</v>
      </c>
      <c r="O188" s="58" t="s">
        <v>24</v>
      </c>
      <c r="P188" s="12">
        <f>+'Form20 '!C189</f>
        <v>6</v>
      </c>
      <c r="Q188" s="18">
        <v>3</v>
      </c>
      <c r="R188" s="63" t="s">
        <v>28</v>
      </c>
      <c r="S188" s="12">
        <f>+'Form20 '!D189</f>
        <v>114</v>
      </c>
      <c r="T188" s="18">
        <v>4</v>
      </c>
      <c r="U188" s="64" t="s">
        <v>65</v>
      </c>
      <c r="V188" s="12">
        <f>+'Form20 '!E189</f>
        <v>0</v>
      </c>
      <c r="W188" s="18">
        <v>5</v>
      </c>
      <c r="X188" s="58" t="s">
        <v>66</v>
      </c>
      <c r="Y188" s="12">
        <f>+'Form20 '!F189</f>
        <v>0</v>
      </c>
      <c r="Z188" s="18">
        <v>6</v>
      </c>
      <c r="AA188" s="64" t="s">
        <v>67</v>
      </c>
      <c r="AB188" s="12">
        <f>+'Form20 '!G189</f>
        <v>0</v>
      </c>
      <c r="AC188" s="18">
        <v>7</v>
      </c>
      <c r="AD188" s="63" t="s">
        <v>68</v>
      </c>
      <c r="AE188" s="12">
        <f>+'Form20 '!H189</f>
        <v>0</v>
      </c>
      <c r="AF188" s="18">
        <v>8</v>
      </c>
      <c r="AG188" s="63" t="s">
        <v>69</v>
      </c>
      <c r="AH188" s="12">
        <f>+'Form20 '!I189</f>
        <v>0</v>
      </c>
      <c r="AI188" s="18">
        <v>9</v>
      </c>
      <c r="AJ188" s="65" t="s">
        <v>70</v>
      </c>
      <c r="AK188" s="12">
        <f>+'Form20 '!J189</f>
        <v>1</v>
      </c>
      <c r="AL188" s="18">
        <v>10</v>
      </c>
      <c r="AM188" s="66" t="s">
        <v>30</v>
      </c>
      <c r="AN188" s="12">
        <f>+'Form20 '!K189</f>
        <v>1</v>
      </c>
      <c r="AO188" s="18">
        <v>11</v>
      </c>
      <c r="AP188" s="66" t="s">
        <v>30</v>
      </c>
      <c r="AQ188" s="12">
        <f>+'Form20 '!L189</f>
        <v>2</v>
      </c>
      <c r="AR188" s="18">
        <v>12</v>
      </c>
      <c r="AS188" s="66" t="s">
        <v>30</v>
      </c>
      <c r="AT188" s="12">
        <f>+'Form20 '!M189</f>
        <v>0</v>
      </c>
      <c r="AU188" s="18">
        <v>13</v>
      </c>
      <c r="AV188" s="66" t="s">
        <v>30</v>
      </c>
      <c r="AW188" s="12">
        <f>+'Form20 '!N189</f>
        <v>0</v>
      </c>
      <c r="AX188" s="18">
        <v>14</v>
      </c>
      <c r="AY188" s="66" t="s">
        <v>30</v>
      </c>
      <c r="AZ188" s="12">
        <f>+'Form20 '!O189</f>
        <v>1</v>
      </c>
      <c r="BA188" s="75">
        <f t="shared" si="5"/>
        <v>427</v>
      </c>
    </row>
    <row r="189" spans="1:53" s="67" customFormat="1" ht="59.25" customHeight="1">
      <c r="A189" s="18">
        <v>333</v>
      </c>
      <c r="B189" s="59">
        <v>183</v>
      </c>
      <c r="C189" s="76" t="s">
        <v>260</v>
      </c>
      <c r="D189" s="61">
        <v>632</v>
      </c>
      <c r="E189" s="61">
        <v>170</v>
      </c>
      <c r="F189" s="61">
        <v>216</v>
      </c>
      <c r="G189" s="55">
        <v>0</v>
      </c>
      <c r="H189" s="62">
        <f t="shared" si="4"/>
        <v>386</v>
      </c>
      <c r="I189" s="55">
        <v>43</v>
      </c>
      <c r="J189" s="29">
        <v>0</v>
      </c>
      <c r="K189" s="18">
        <v>1</v>
      </c>
      <c r="L189" s="63" t="s">
        <v>29</v>
      </c>
      <c r="M189" s="12">
        <f>+'Form20 '!B190</f>
        <v>282</v>
      </c>
      <c r="N189" s="18">
        <v>2</v>
      </c>
      <c r="O189" s="58" t="s">
        <v>24</v>
      </c>
      <c r="P189" s="12">
        <f>+'Form20 '!C190</f>
        <v>27</v>
      </c>
      <c r="Q189" s="18">
        <v>3</v>
      </c>
      <c r="R189" s="63" t="s">
        <v>28</v>
      </c>
      <c r="S189" s="12">
        <f>+'Form20 '!D190</f>
        <v>71</v>
      </c>
      <c r="T189" s="18">
        <v>4</v>
      </c>
      <c r="U189" s="64" t="s">
        <v>65</v>
      </c>
      <c r="V189" s="12">
        <f>+'Form20 '!E190</f>
        <v>0</v>
      </c>
      <c r="W189" s="18">
        <v>5</v>
      </c>
      <c r="X189" s="58" t="s">
        <v>66</v>
      </c>
      <c r="Y189" s="12">
        <f>+'Form20 '!F190</f>
        <v>0</v>
      </c>
      <c r="Z189" s="18">
        <v>6</v>
      </c>
      <c r="AA189" s="64" t="s">
        <v>67</v>
      </c>
      <c r="AB189" s="12">
        <f>+'Form20 '!G190</f>
        <v>1</v>
      </c>
      <c r="AC189" s="18">
        <v>7</v>
      </c>
      <c r="AD189" s="63" t="s">
        <v>68</v>
      </c>
      <c r="AE189" s="12">
        <f>+'Form20 '!H190</f>
        <v>0</v>
      </c>
      <c r="AF189" s="18">
        <v>8</v>
      </c>
      <c r="AG189" s="63" t="s">
        <v>69</v>
      </c>
      <c r="AH189" s="12">
        <f>+'Form20 '!I190</f>
        <v>0</v>
      </c>
      <c r="AI189" s="18">
        <v>9</v>
      </c>
      <c r="AJ189" s="65" t="s">
        <v>70</v>
      </c>
      <c r="AK189" s="12">
        <f>+'Form20 '!J190</f>
        <v>0</v>
      </c>
      <c r="AL189" s="18">
        <v>10</v>
      </c>
      <c r="AM189" s="66" t="s">
        <v>30</v>
      </c>
      <c r="AN189" s="12">
        <f>+'Form20 '!K190</f>
        <v>1</v>
      </c>
      <c r="AO189" s="18">
        <v>11</v>
      </c>
      <c r="AP189" s="66" t="s">
        <v>30</v>
      </c>
      <c r="AQ189" s="12">
        <f>+'Form20 '!L190</f>
        <v>2</v>
      </c>
      <c r="AR189" s="18">
        <v>12</v>
      </c>
      <c r="AS189" s="66" t="s">
        <v>30</v>
      </c>
      <c r="AT189" s="12">
        <f>+'Form20 '!M190</f>
        <v>1</v>
      </c>
      <c r="AU189" s="18">
        <v>13</v>
      </c>
      <c r="AV189" s="66" t="s">
        <v>30</v>
      </c>
      <c r="AW189" s="12">
        <f>+'Form20 '!N190</f>
        <v>0</v>
      </c>
      <c r="AX189" s="18">
        <v>14</v>
      </c>
      <c r="AY189" s="66" t="s">
        <v>30</v>
      </c>
      <c r="AZ189" s="12">
        <f>+'Form20 '!O190</f>
        <v>0</v>
      </c>
      <c r="BA189" s="75">
        <f t="shared" si="5"/>
        <v>385</v>
      </c>
    </row>
    <row r="190" spans="1:53" s="67" customFormat="1" ht="59.25" customHeight="1">
      <c r="A190" s="18">
        <v>333</v>
      </c>
      <c r="B190" s="59">
        <v>184</v>
      </c>
      <c r="C190" s="76" t="s">
        <v>261</v>
      </c>
      <c r="D190" s="61">
        <v>709</v>
      </c>
      <c r="E190" s="61">
        <v>170</v>
      </c>
      <c r="F190" s="61">
        <v>232</v>
      </c>
      <c r="G190" s="55">
        <v>0</v>
      </c>
      <c r="H190" s="62">
        <f t="shared" si="4"/>
        <v>402</v>
      </c>
      <c r="I190" s="55">
        <v>392</v>
      </c>
      <c r="J190" s="29">
        <v>0</v>
      </c>
      <c r="K190" s="18">
        <v>1</v>
      </c>
      <c r="L190" s="63" t="s">
        <v>29</v>
      </c>
      <c r="M190" s="12">
        <f>+'Form20 '!B191</f>
        <v>254</v>
      </c>
      <c r="N190" s="18">
        <v>2</v>
      </c>
      <c r="O190" s="58" t="s">
        <v>24</v>
      </c>
      <c r="P190" s="12">
        <f>+'Form20 '!C191</f>
        <v>16</v>
      </c>
      <c r="Q190" s="18">
        <v>3</v>
      </c>
      <c r="R190" s="63" t="s">
        <v>28</v>
      </c>
      <c r="S190" s="12">
        <f>+'Form20 '!D191</f>
        <v>115</v>
      </c>
      <c r="T190" s="18">
        <v>4</v>
      </c>
      <c r="U190" s="64" t="s">
        <v>65</v>
      </c>
      <c r="V190" s="12">
        <f>+'Form20 '!E191</f>
        <v>2</v>
      </c>
      <c r="W190" s="18">
        <v>5</v>
      </c>
      <c r="X190" s="58" t="s">
        <v>66</v>
      </c>
      <c r="Y190" s="12">
        <f>+'Form20 '!F191</f>
        <v>0</v>
      </c>
      <c r="Z190" s="18">
        <v>6</v>
      </c>
      <c r="AA190" s="64" t="s">
        <v>67</v>
      </c>
      <c r="AB190" s="12">
        <f>+'Form20 '!G191</f>
        <v>1</v>
      </c>
      <c r="AC190" s="18">
        <v>7</v>
      </c>
      <c r="AD190" s="63" t="s">
        <v>68</v>
      </c>
      <c r="AE190" s="12">
        <f>+'Form20 '!H191</f>
        <v>0</v>
      </c>
      <c r="AF190" s="18">
        <v>8</v>
      </c>
      <c r="AG190" s="63" t="s">
        <v>69</v>
      </c>
      <c r="AH190" s="12">
        <f>+'Form20 '!I191</f>
        <v>1</v>
      </c>
      <c r="AI190" s="18">
        <v>9</v>
      </c>
      <c r="AJ190" s="65" t="s">
        <v>70</v>
      </c>
      <c r="AK190" s="12">
        <f>+'Form20 '!J191</f>
        <v>6</v>
      </c>
      <c r="AL190" s="18">
        <v>10</v>
      </c>
      <c r="AM190" s="66" t="s">
        <v>30</v>
      </c>
      <c r="AN190" s="12">
        <f>+'Form20 '!K191</f>
        <v>1</v>
      </c>
      <c r="AO190" s="18">
        <v>11</v>
      </c>
      <c r="AP190" s="66" t="s">
        <v>30</v>
      </c>
      <c r="AQ190" s="12">
        <f>+'Form20 '!L191</f>
        <v>0</v>
      </c>
      <c r="AR190" s="18">
        <v>12</v>
      </c>
      <c r="AS190" s="66" t="s">
        <v>30</v>
      </c>
      <c r="AT190" s="12">
        <f>+'Form20 '!M191</f>
        <v>0</v>
      </c>
      <c r="AU190" s="18">
        <v>13</v>
      </c>
      <c r="AV190" s="66" t="s">
        <v>30</v>
      </c>
      <c r="AW190" s="12">
        <f>+'Form20 '!N191</f>
        <v>0</v>
      </c>
      <c r="AX190" s="18">
        <v>14</v>
      </c>
      <c r="AY190" s="66" t="s">
        <v>30</v>
      </c>
      <c r="AZ190" s="12">
        <f>+'Form20 '!O191</f>
        <v>0</v>
      </c>
      <c r="BA190" s="75">
        <f t="shared" si="5"/>
        <v>396</v>
      </c>
    </row>
    <row r="191" spans="1:53" s="67" customFormat="1" ht="59.25" customHeight="1">
      <c r="A191" s="18">
        <v>333</v>
      </c>
      <c r="B191" s="59">
        <v>185</v>
      </c>
      <c r="C191" s="76" t="s">
        <v>262</v>
      </c>
      <c r="D191" s="61">
        <v>637</v>
      </c>
      <c r="E191" s="61">
        <v>159</v>
      </c>
      <c r="F191" s="61">
        <v>219</v>
      </c>
      <c r="G191" s="55">
        <v>0</v>
      </c>
      <c r="H191" s="62">
        <f t="shared" si="4"/>
        <v>378</v>
      </c>
      <c r="I191" s="55">
        <v>178</v>
      </c>
      <c r="J191" s="29">
        <v>0</v>
      </c>
      <c r="K191" s="18">
        <v>1</v>
      </c>
      <c r="L191" s="63" t="s">
        <v>29</v>
      </c>
      <c r="M191" s="12">
        <f>+'Form20 '!B192</f>
        <v>153</v>
      </c>
      <c r="N191" s="18">
        <v>2</v>
      </c>
      <c r="O191" s="58" t="s">
        <v>24</v>
      </c>
      <c r="P191" s="12">
        <f>+'Form20 '!C192</f>
        <v>84</v>
      </c>
      <c r="Q191" s="18">
        <v>3</v>
      </c>
      <c r="R191" s="63" t="s">
        <v>28</v>
      </c>
      <c r="S191" s="12">
        <f>+'Form20 '!D192</f>
        <v>132</v>
      </c>
      <c r="T191" s="18">
        <v>4</v>
      </c>
      <c r="U191" s="64" t="s">
        <v>65</v>
      </c>
      <c r="V191" s="12">
        <f>+'Form20 '!E192</f>
        <v>2</v>
      </c>
      <c r="W191" s="18">
        <v>5</v>
      </c>
      <c r="X191" s="58" t="s">
        <v>66</v>
      </c>
      <c r="Y191" s="12">
        <f>+'Form20 '!F192</f>
        <v>0</v>
      </c>
      <c r="Z191" s="18">
        <v>6</v>
      </c>
      <c r="AA191" s="64" t="s">
        <v>67</v>
      </c>
      <c r="AB191" s="12">
        <f>+'Form20 '!G192</f>
        <v>0</v>
      </c>
      <c r="AC191" s="18">
        <v>7</v>
      </c>
      <c r="AD191" s="63" t="s">
        <v>68</v>
      </c>
      <c r="AE191" s="12">
        <f>+'Form20 '!H192</f>
        <v>0</v>
      </c>
      <c r="AF191" s="18">
        <v>8</v>
      </c>
      <c r="AG191" s="63" t="s">
        <v>69</v>
      </c>
      <c r="AH191" s="12">
        <f>+'Form20 '!I192</f>
        <v>0</v>
      </c>
      <c r="AI191" s="18">
        <v>9</v>
      </c>
      <c r="AJ191" s="65" t="s">
        <v>70</v>
      </c>
      <c r="AK191" s="12">
        <f>+'Form20 '!J192</f>
        <v>1</v>
      </c>
      <c r="AL191" s="18">
        <v>10</v>
      </c>
      <c r="AM191" s="66" t="s">
        <v>30</v>
      </c>
      <c r="AN191" s="12">
        <f>+'Form20 '!K192</f>
        <v>0</v>
      </c>
      <c r="AO191" s="18">
        <v>11</v>
      </c>
      <c r="AP191" s="66" t="s">
        <v>30</v>
      </c>
      <c r="AQ191" s="12">
        <f>+'Form20 '!L192</f>
        <v>2</v>
      </c>
      <c r="AR191" s="18">
        <v>12</v>
      </c>
      <c r="AS191" s="66" t="s">
        <v>30</v>
      </c>
      <c r="AT191" s="12">
        <f>+'Form20 '!M192</f>
        <v>0</v>
      </c>
      <c r="AU191" s="18">
        <v>13</v>
      </c>
      <c r="AV191" s="66" t="s">
        <v>30</v>
      </c>
      <c r="AW191" s="12">
        <f>+'Form20 '!N192</f>
        <v>1</v>
      </c>
      <c r="AX191" s="18">
        <v>14</v>
      </c>
      <c r="AY191" s="66" t="s">
        <v>30</v>
      </c>
      <c r="AZ191" s="12">
        <f>+'Form20 '!O192</f>
        <v>0</v>
      </c>
      <c r="BA191" s="75">
        <f t="shared" si="5"/>
        <v>375</v>
      </c>
    </row>
    <row r="192" spans="1:53" s="67" customFormat="1" ht="59.25" customHeight="1">
      <c r="A192" s="18">
        <v>333</v>
      </c>
      <c r="B192" s="59">
        <v>186</v>
      </c>
      <c r="C192" s="76" t="s">
        <v>263</v>
      </c>
      <c r="D192" s="61">
        <v>859</v>
      </c>
      <c r="E192" s="61">
        <v>301</v>
      </c>
      <c r="F192" s="61">
        <v>293</v>
      </c>
      <c r="G192" s="55">
        <v>0</v>
      </c>
      <c r="H192" s="62">
        <f t="shared" si="4"/>
        <v>594</v>
      </c>
      <c r="I192" s="55">
        <v>39</v>
      </c>
      <c r="J192" s="29">
        <v>0</v>
      </c>
      <c r="K192" s="18">
        <v>1</v>
      </c>
      <c r="L192" s="63" t="s">
        <v>29</v>
      </c>
      <c r="M192" s="12">
        <f>+'Form20 '!B193</f>
        <v>374</v>
      </c>
      <c r="N192" s="18">
        <v>2</v>
      </c>
      <c r="O192" s="58" t="s">
        <v>24</v>
      </c>
      <c r="P192" s="12">
        <f>+'Form20 '!C193</f>
        <v>40</v>
      </c>
      <c r="Q192" s="18">
        <v>3</v>
      </c>
      <c r="R192" s="63" t="s">
        <v>28</v>
      </c>
      <c r="S192" s="12">
        <f>+'Form20 '!D193</f>
        <v>173</v>
      </c>
      <c r="T192" s="18">
        <v>4</v>
      </c>
      <c r="U192" s="64" t="s">
        <v>65</v>
      </c>
      <c r="V192" s="12">
        <f>+'Form20 '!E193</f>
        <v>0</v>
      </c>
      <c r="W192" s="18">
        <v>5</v>
      </c>
      <c r="X192" s="58" t="s">
        <v>66</v>
      </c>
      <c r="Y192" s="12">
        <f>+'Form20 '!F193</f>
        <v>0</v>
      </c>
      <c r="Z192" s="18">
        <v>6</v>
      </c>
      <c r="AA192" s="64" t="s">
        <v>67</v>
      </c>
      <c r="AB192" s="12">
        <f>+'Form20 '!G193</f>
        <v>0</v>
      </c>
      <c r="AC192" s="18">
        <v>7</v>
      </c>
      <c r="AD192" s="63" t="s">
        <v>68</v>
      </c>
      <c r="AE192" s="12">
        <f>+'Form20 '!H193</f>
        <v>1</v>
      </c>
      <c r="AF192" s="18">
        <v>8</v>
      </c>
      <c r="AG192" s="63" t="s">
        <v>69</v>
      </c>
      <c r="AH192" s="12">
        <f>+'Form20 '!I193</f>
        <v>0</v>
      </c>
      <c r="AI192" s="18">
        <v>9</v>
      </c>
      <c r="AJ192" s="65" t="s">
        <v>70</v>
      </c>
      <c r="AK192" s="12">
        <f>+'Form20 '!J193</f>
        <v>2</v>
      </c>
      <c r="AL192" s="18">
        <v>10</v>
      </c>
      <c r="AM192" s="66" t="s">
        <v>30</v>
      </c>
      <c r="AN192" s="12">
        <f>+'Form20 '!K193</f>
        <v>0</v>
      </c>
      <c r="AO192" s="18">
        <v>11</v>
      </c>
      <c r="AP192" s="66" t="s">
        <v>30</v>
      </c>
      <c r="AQ192" s="12">
        <f>+'Form20 '!L193</f>
        <v>0</v>
      </c>
      <c r="AR192" s="18">
        <v>12</v>
      </c>
      <c r="AS192" s="66" t="s">
        <v>30</v>
      </c>
      <c r="AT192" s="12">
        <f>+'Form20 '!M193</f>
        <v>0</v>
      </c>
      <c r="AU192" s="18">
        <v>13</v>
      </c>
      <c r="AV192" s="66" t="s">
        <v>30</v>
      </c>
      <c r="AW192" s="12">
        <f>+'Form20 '!N193</f>
        <v>2</v>
      </c>
      <c r="AX192" s="18">
        <v>14</v>
      </c>
      <c r="AY192" s="66" t="s">
        <v>30</v>
      </c>
      <c r="AZ192" s="12">
        <f>+'Form20 '!O193</f>
        <v>0</v>
      </c>
      <c r="BA192" s="75">
        <f t="shared" si="5"/>
        <v>592</v>
      </c>
    </row>
    <row r="193" spans="1:53" s="67" customFormat="1" ht="59.25" customHeight="1">
      <c r="A193" s="18">
        <v>333</v>
      </c>
      <c r="B193" s="59">
        <v>187</v>
      </c>
      <c r="C193" s="76" t="s">
        <v>264</v>
      </c>
      <c r="D193" s="61">
        <v>1010</v>
      </c>
      <c r="E193" s="61">
        <v>313</v>
      </c>
      <c r="F193" s="61">
        <v>354</v>
      </c>
      <c r="G193" s="55">
        <v>0</v>
      </c>
      <c r="H193" s="62">
        <f t="shared" si="4"/>
        <v>667</v>
      </c>
      <c r="I193" s="55">
        <v>167</v>
      </c>
      <c r="J193" s="29">
        <v>0</v>
      </c>
      <c r="K193" s="18">
        <v>1</v>
      </c>
      <c r="L193" s="63" t="s">
        <v>29</v>
      </c>
      <c r="M193" s="12">
        <f>+'Form20 '!B194</f>
        <v>434</v>
      </c>
      <c r="N193" s="18">
        <v>2</v>
      </c>
      <c r="O193" s="58" t="s">
        <v>24</v>
      </c>
      <c r="P193" s="12">
        <f>+'Form20 '!C194</f>
        <v>9</v>
      </c>
      <c r="Q193" s="18">
        <v>3</v>
      </c>
      <c r="R193" s="63" t="s">
        <v>28</v>
      </c>
      <c r="S193" s="12">
        <f>+'Form20 '!D194</f>
        <v>205</v>
      </c>
      <c r="T193" s="18">
        <v>4</v>
      </c>
      <c r="U193" s="64" t="s">
        <v>65</v>
      </c>
      <c r="V193" s="12">
        <f>+'Form20 '!E194</f>
        <v>6</v>
      </c>
      <c r="W193" s="18">
        <v>5</v>
      </c>
      <c r="X193" s="58" t="s">
        <v>66</v>
      </c>
      <c r="Y193" s="12">
        <f>+'Form20 '!F194</f>
        <v>1</v>
      </c>
      <c r="Z193" s="18">
        <v>6</v>
      </c>
      <c r="AA193" s="64" t="s">
        <v>67</v>
      </c>
      <c r="AB193" s="12">
        <f>+'Form20 '!G194</f>
        <v>0</v>
      </c>
      <c r="AC193" s="18">
        <v>7</v>
      </c>
      <c r="AD193" s="63" t="s">
        <v>68</v>
      </c>
      <c r="AE193" s="12">
        <f>+'Form20 '!H194</f>
        <v>0</v>
      </c>
      <c r="AF193" s="18">
        <v>8</v>
      </c>
      <c r="AG193" s="63" t="s">
        <v>69</v>
      </c>
      <c r="AH193" s="12">
        <f>+'Form20 '!I194</f>
        <v>1</v>
      </c>
      <c r="AI193" s="18">
        <v>9</v>
      </c>
      <c r="AJ193" s="65" t="s">
        <v>70</v>
      </c>
      <c r="AK193" s="12">
        <f>+'Form20 '!J194</f>
        <v>0</v>
      </c>
      <c r="AL193" s="18">
        <v>10</v>
      </c>
      <c r="AM193" s="66" t="s">
        <v>30</v>
      </c>
      <c r="AN193" s="12">
        <f>+'Form20 '!K194</f>
        <v>0</v>
      </c>
      <c r="AO193" s="18">
        <v>11</v>
      </c>
      <c r="AP193" s="66" t="s">
        <v>30</v>
      </c>
      <c r="AQ193" s="12">
        <f>+'Form20 '!L194</f>
        <v>1</v>
      </c>
      <c r="AR193" s="18">
        <v>12</v>
      </c>
      <c r="AS193" s="66" t="s">
        <v>30</v>
      </c>
      <c r="AT193" s="12">
        <f>+'Form20 '!M194</f>
        <v>2</v>
      </c>
      <c r="AU193" s="18">
        <v>13</v>
      </c>
      <c r="AV193" s="66" t="s">
        <v>30</v>
      </c>
      <c r="AW193" s="12">
        <f>+'Form20 '!N194</f>
        <v>4</v>
      </c>
      <c r="AX193" s="18">
        <v>14</v>
      </c>
      <c r="AY193" s="66" t="s">
        <v>30</v>
      </c>
      <c r="AZ193" s="12">
        <f>+'Form20 '!O194</f>
        <v>1</v>
      </c>
      <c r="BA193" s="75">
        <f t="shared" si="5"/>
        <v>664</v>
      </c>
    </row>
    <row r="194" spans="1:53" s="67" customFormat="1" ht="59.25" customHeight="1">
      <c r="A194" s="18">
        <v>333</v>
      </c>
      <c r="B194" s="59">
        <v>188</v>
      </c>
      <c r="C194" s="76" t="s">
        <v>265</v>
      </c>
      <c r="D194" s="61">
        <v>569</v>
      </c>
      <c r="E194" s="61">
        <v>166</v>
      </c>
      <c r="F194" s="61">
        <v>188</v>
      </c>
      <c r="G194" s="55">
        <v>0</v>
      </c>
      <c r="H194" s="62">
        <f t="shared" si="4"/>
        <v>354</v>
      </c>
      <c r="I194" s="55">
        <v>23</v>
      </c>
      <c r="J194" s="29">
        <v>0</v>
      </c>
      <c r="K194" s="18">
        <v>1</v>
      </c>
      <c r="L194" s="63" t="s">
        <v>29</v>
      </c>
      <c r="M194" s="12">
        <f>+'Form20 '!B195</f>
        <v>154</v>
      </c>
      <c r="N194" s="18">
        <v>2</v>
      </c>
      <c r="O194" s="58" t="s">
        <v>24</v>
      </c>
      <c r="P194" s="12">
        <f>+'Form20 '!C195</f>
        <v>83</v>
      </c>
      <c r="Q194" s="18">
        <v>3</v>
      </c>
      <c r="R194" s="63" t="s">
        <v>28</v>
      </c>
      <c r="S194" s="12">
        <f>+'Form20 '!D195</f>
        <v>108</v>
      </c>
      <c r="T194" s="18">
        <v>4</v>
      </c>
      <c r="U194" s="64" t="s">
        <v>65</v>
      </c>
      <c r="V194" s="12">
        <f>+'Form20 '!E195</f>
        <v>3</v>
      </c>
      <c r="W194" s="18">
        <v>5</v>
      </c>
      <c r="X194" s="58" t="s">
        <v>66</v>
      </c>
      <c r="Y194" s="12">
        <f>+'Form20 '!F195</f>
        <v>0</v>
      </c>
      <c r="Z194" s="18">
        <v>6</v>
      </c>
      <c r="AA194" s="64" t="s">
        <v>67</v>
      </c>
      <c r="AB194" s="12">
        <f>+'Form20 '!G195</f>
        <v>0</v>
      </c>
      <c r="AC194" s="18">
        <v>7</v>
      </c>
      <c r="AD194" s="63" t="s">
        <v>68</v>
      </c>
      <c r="AE194" s="12">
        <f>+'Form20 '!H195</f>
        <v>0</v>
      </c>
      <c r="AF194" s="18">
        <v>8</v>
      </c>
      <c r="AG194" s="63" t="s">
        <v>69</v>
      </c>
      <c r="AH194" s="12">
        <f>+'Form20 '!I195</f>
        <v>0</v>
      </c>
      <c r="AI194" s="18">
        <v>9</v>
      </c>
      <c r="AJ194" s="65" t="s">
        <v>70</v>
      </c>
      <c r="AK194" s="12">
        <f>+'Form20 '!J195</f>
        <v>3</v>
      </c>
      <c r="AL194" s="18">
        <v>10</v>
      </c>
      <c r="AM194" s="66" t="s">
        <v>30</v>
      </c>
      <c r="AN194" s="12">
        <f>+'Form20 '!K195</f>
        <v>0</v>
      </c>
      <c r="AO194" s="18">
        <v>11</v>
      </c>
      <c r="AP194" s="66" t="s">
        <v>30</v>
      </c>
      <c r="AQ194" s="12">
        <f>+'Form20 '!L195</f>
        <v>0</v>
      </c>
      <c r="AR194" s="18">
        <v>12</v>
      </c>
      <c r="AS194" s="66" t="s">
        <v>30</v>
      </c>
      <c r="AT194" s="12">
        <f>+'Form20 '!M195</f>
        <v>1</v>
      </c>
      <c r="AU194" s="18">
        <v>13</v>
      </c>
      <c r="AV194" s="66" t="s">
        <v>30</v>
      </c>
      <c r="AW194" s="12">
        <f>+'Form20 '!N195</f>
        <v>0</v>
      </c>
      <c r="AX194" s="18">
        <v>14</v>
      </c>
      <c r="AY194" s="66" t="s">
        <v>30</v>
      </c>
      <c r="AZ194" s="12">
        <f>+'Form20 '!O195</f>
        <v>1</v>
      </c>
      <c r="BA194" s="75">
        <f t="shared" si="5"/>
        <v>353</v>
      </c>
    </row>
    <row r="195" spans="1:53" s="67" customFormat="1" ht="59.25" customHeight="1">
      <c r="A195" s="18">
        <v>333</v>
      </c>
      <c r="B195" s="59">
        <v>189</v>
      </c>
      <c r="C195" s="76" t="s">
        <v>266</v>
      </c>
      <c r="D195" s="61">
        <v>1119</v>
      </c>
      <c r="E195" s="61">
        <v>248</v>
      </c>
      <c r="F195" s="61">
        <v>326</v>
      </c>
      <c r="G195" s="55">
        <v>0</v>
      </c>
      <c r="H195" s="62">
        <f t="shared" si="4"/>
        <v>574</v>
      </c>
      <c r="I195" s="55">
        <v>30</v>
      </c>
      <c r="J195" s="29">
        <v>0</v>
      </c>
      <c r="K195" s="18">
        <v>1</v>
      </c>
      <c r="L195" s="63" t="s">
        <v>29</v>
      </c>
      <c r="M195" s="12">
        <f>+'Form20 '!B196</f>
        <v>363</v>
      </c>
      <c r="N195" s="18">
        <v>2</v>
      </c>
      <c r="O195" s="58" t="s">
        <v>24</v>
      </c>
      <c r="P195" s="12">
        <f>+'Form20 '!C196</f>
        <v>15</v>
      </c>
      <c r="Q195" s="18">
        <v>3</v>
      </c>
      <c r="R195" s="63" t="s">
        <v>28</v>
      </c>
      <c r="S195" s="12">
        <f>+'Form20 '!D196</f>
        <v>178</v>
      </c>
      <c r="T195" s="18">
        <v>4</v>
      </c>
      <c r="U195" s="64" t="s">
        <v>65</v>
      </c>
      <c r="V195" s="12">
        <f>+'Form20 '!E196</f>
        <v>3</v>
      </c>
      <c r="W195" s="18">
        <v>5</v>
      </c>
      <c r="X195" s="58" t="s">
        <v>66</v>
      </c>
      <c r="Y195" s="12">
        <f>+'Form20 '!F196</f>
        <v>2</v>
      </c>
      <c r="Z195" s="18">
        <v>6</v>
      </c>
      <c r="AA195" s="64" t="s">
        <v>67</v>
      </c>
      <c r="AB195" s="12">
        <f>+'Form20 '!G196</f>
        <v>0</v>
      </c>
      <c r="AC195" s="18">
        <v>7</v>
      </c>
      <c r="AD195" s="63" t="s">
        <v>68</v>
      </c>
      <c r="AE195" s="12">
        <f>+'Form20 '!H196</f>
        <v>0</v>
      </c>
      <c r="AF195" s="18">
        <v>8</v>
      </c>
      <c r="AG195" s="63" t="s">
        <v>69</v>
      </c>
      <c r="AH195" s="12">
        <f>+'Form20 '!I196</f>
        <v>2</v>
      </c>
      <c r="AI195" s="18">
        <v>9</v>
      </c>
      <c r="AJ195" s="65" t="s">
        <v>70</v>
      </c>
      <c r="AK195" s="12">
        <f>+'Form20 '!J196</f>
        <v>3</v>
      </c>
      <c r="AL195" s="18">
        <v>10</v>
      </c>
      <c r="AM195" s="66" t="s">
        <v>30</v>
      </c>
      <c r="AN195" s="12">
        <f>+'Form20 '!K196</f>
        <v>0</v>
      </c>
      <c r="AO195" s="18">
        <v>11</v>
      </c>
      <c r="AP195" s="66" t="s">
        <v>30</v>
      </c>
      <c r="AQ195" s="12">
        <f>+'Form20 '!L196</f>
        <v>0</v>
      </c>
      <c r="AR195" s="18">
        <v>12</v>
      </c>
      <c r="AS195" s="66" t="s">
        <v>30</v>
      </c>
      <c r="AT195" s="12">
        <f>+'Form20 '!M196</f>
        <v>2</v>
      </c>
      <c r="AU195" s="18">
        <v>13</v>
      </c>
      <c r="AV195" s="66" t="s">
        <v>30</v>
      </c>
      <c r="AW195" s="12">
        <f>+'Form20 '!N196</f>
        <v>1</v>
      </c>
      <c r="AX195" s="18">
        <v>14</v>
      </c>
      <c r="AY195" s="66" t="s">
        <v>30</v>
      </c>
      <c r="AZ195" s="12">
        <f>+'Form20 '!O196</f>
        <v>2</v>
      </c>
      <c r="BA195" s="75">
        <f t="shared" si="5"/>
        <v>571</v>
      </c>
    </row>
    <row r="196" spans="1:53" s="67" customFormat="1" ht="59.25" customHeight="1">
      <c r="A196" s="18">
        <v>333</v>
      </c>
      <c r="B196" s="59">
        <v>190</v>
      </c>
      <c r="C196" s="76" t="s">
        <v>267</v>
      </c>
      <c r="D196" s="61">
        <v>644</v>
      </c>
      <c r="E196" s="61">
        <v>183</v>
      </c>
      <c r="F196" s="61">
        <v>181</v>
      </c>
      <c r="G196" s="55">
        <v>0</v>
      </c>
      <c r="H196" s="62">
        <f t="shared" si="4"/>
        <v>364</v>
      </c>
      <c r="I196" s="55">
        <v>13</v>
      </c>
      <c r="J196" s="29">
        <v>0</v>
      </c>
      <c r="K196" s="18">
        <v>1</v>
      </c>
      <c r="L196" s="63" t="s">
        <v>29</v>
      </c>
      <c r="M196" s="12">
        <f>+'Form20 '!B197</f>
        <v>175</v>
      </c>
      <c r="N196" s="18">
        <v>2</v>
      </c>
      <c r="O196" s="58" t="s">
        <v>24</v>
      </c>
      <c r="P196" s="12">
        <f>+'Form20 '!C197</f>
        <v>9</v>
      </c>
      <c r="Q196" s="18">
        <v>3</v>
      </c>
      <c r="R196" s="63" t="s">
        <v>28</v>
      </c>
      <c r="S196" s="12">
        <f>+'Form20 '!D197</f>
        <v>168</v>
      </c>
      <c r="T196" s="18">
        <v>4</v>
      </c>
      <c r="U196" s="64" t="s">
        <v>65</v>
      </c>
      <c r="V196" s="12">
        <f>+'Form20 '!E197</f>
        <v>2</v>
      </c>
      <c r="W196" s="18">
        <v>5</v>
      </c>
      <c r="X196" s="58" t="s">
        <v>66</v>
      </c>
      <c r="Y196" s="12">
        <f>+'Form20 '!F197</f>
        <v>0</v>
      </c>
      <c r="Z196" s="18">
        <v>6</v>
      </c>
      <c r="AA196" s="64" t="s">
        <v>67</v>
      </c>
      <c r="AB196" s="12">
        <f>+'Form20 '!G197</f>
        <v>0</v>
      </c>
      <c r="AC196" s="18">
        <v>7</v>
      </c>
      <c r="AD196" s="63" t="s">
        <v>68</v>
      </c>
      <c r="AE196" s="12">
        <f>+'Form20 '!H197</f>
        <v>0</v>
      </c>
      <c r="AF196" s="18">
        <v>8</v>
      </c>
      <c r="AG196" s="63" t="s">
        <v>69</v>
      </c>
      <c r="AH196" s="12">
        <f>+'Form20 '!I197</f>
        <v>0</v>
      </c>
      <c r="AI196" s="18">
        <v>9</v>
      </c>
      <c r="AJ196" s="65" t="s">
        <v>70</v>
      </c>
      <c r="AK196" s="12">
        <f>+'Form20 '!J197</f>
        <v>0</v>
      </c>
      <c r="AL196" s="18">
        <v>10</v>
      </c>
      <c r="AM196" s="66" t="s">
        <v>30</v>
      </c>
      <c r="AN196" s="12">
        <f>+'Form20 '!K197</f>
        <v>0</v>
      </c>
      <c r="AO196" s="18">
        <v>11</v>
      </c>
      <c r="AP196" s="66" t="s">
        <v>30</v>
      </c>
      <c r="AQ196" s="12">
        <f>+'Form20 '!L197</f>
        <v>0</v>
      </c>
      <c r="AR196" s="18">
        <v>12</v>
      </c>
      <c r="AS196" s="66" t="s">
        <v>30</v>
      </c>
      <c r="AT196" s="12">
        <f>+'Form20 '!M197</f>
        <v>2</v>
      </c>
      <c r="AU196" s="18">
        <v>13</v>
      </c>
      <c r="AV196" s="66" t="s">
        <v>30</v>
      </c>
      <c r="AW196" s="12">
        <f>+'Form20 '!N197</f>
        <v>3</v>
      </c>
      <c r="AX196" s="18">
        <v>14</v>
      </c>
      <c r="AY196" s="66" t="s">
        <v>30</v>
      </c>
      <c r="AZ196" s="12">
        <f>+'Form20 '!O197</f>
        <v>0</v>
      </c>
      <c r="BA196" s="75">
        <f t="shared" si="5"/>
        <v>359</v>
      </c>
    </row>
    <row r="197" spans="1:53" s="67" customFormat="1" ht="59.25" customHeight="1">
      <c r="A197" s="18">
        <v>333</v>
      </c>
      <c r="B197" s="59">
        <v>191</v>
      </c>
      <c r="C197" s="76" t="s">
        <v>268</v>
      </c>
      <c r="D197" s="61">
        <v>838</v>
      </c>
      <c r="E197" s="61">
        <v>203</v>
      </c>
      <c r="F197" s="61">
        <v>312</v>
      </c>
      <c r="G197" s="55">
        <v>0</v>
      </c>
      <c r="H197" s="62">
        <f t="shared" si="4"/>
        <v>515</v>
      </c>
      <c r="I197" s="55">
        <v>23</v>
      </c>
      <c r="J197" s="29">
        <v>0</v>
      </c>
      <c r="K197" s="18">
        <v>1</v>
      </c>
      <c r="L197" s="63" t="s">
        <v>29</v>
      </c>
      <c r="M197" s="12">
        <f>+'Form20 '!B198</f>
        <v>411</v>
      </c>
      <c r="N197" s="18">
        <v>2</v>
      </c>
      <c r="O197" s="58" t="s">
        <v>24</v>
      </c>
      <c r="P197" s="12">
        <f>+'Form20 '!C198</f>
        <v>26</v>
      </c>
      <c r="Q197" s="18">
        <v>3</v>
      </c>
      <c r="R197" s="63" t="s">
        <v>28</v>
      </c>
      <c r="S197" s="12">
        <f>+'Form20 '!D198</f>
        <v>73</v>
      </c>
      <c r="T197" s="18">
        <v>4</v>
      </c>
      <c r="U197" s="64" t="s">
        <v>65</v>
      </c>
      <c r="V197" s="12">
        <f>+'Form20 '!E198</f>
        <v>0</v>
      </c>
      <c r="W197" s="18">
        <v>5</v>
      </c>
      <c r="X197" s="58" t="s">
        <v>66</v>
      </c>
      <c r="Y197" s="12">
        <f>+'Form20 '!F198</f>
        <v>0</v>
      </c>
      <c r="Z197" s="18">
        <v>6</v>
      </c>
      <c r="AA197" s="64" t="s">
        <v>67</v>
      </c>
      <c r="AB197" s="12">
        <f>+'Form20 '!G198</f>
        <v>0</v>
      </c>
      <c r="AC197" s="18">
        <v>7</v>
      </c>
      <c r="AD197" s="63" t="s">
        <v>68</v>
      </c>
      <c r="AE197" s="12">
        <f>+'Form20 '!H198</f>
        <v>1</v>
      </c>
      <c r="AF197" s="18">
        <v>8</v>
      </c>
      <c r="AG197" s="63" t="s">
        <v>69</v>
      </c>
      <c r="AH197" s="12">
        <f>+'Form20 '!I198</f>
        <v>0</v>
      </c>
      <c r="AI197" s="18">
        <v>9</v>
      </c>
      <c r="AJ197" s="65" t="s">
        <v>70</v>
      </c>
      <c r="AK197" s="12">
        <f>+'Form20 '!J198</f>
        <v>2</v>
      </c>
      <c r="AL197" s="18">
        <v>10</v>
      </c>
      <c r="AM197" s="66" t="s">
        <v>30</v>
      </c>
      <c r="AN197" s="12">
        <f>+'Form20 '!K198</f>
        <v>1</v>
      </c>
      <c r="AO197" s="18">
        <v>11</v>
      </c>
      <c r="AP197" s="66" t="s">
        <v>30</v>
      </c>
      <c r="AQ197" s="12">
        <f>+'Form20 '!L198</f>
        <v>0</v>
      </c>
      <c r="AR197" s="18">
        <v>12</v>
      </c>
      <c r="AS197" s="66" t="s">
        <v>30</v>
      </c>
      <c r="AT197" s="12">
        <f>+'Form20 '!M198</f>
        <v>0</v>
      </c>
      <c r="AU197" s="18">
        <v>13</v>
      </c>
      <c r="AV197" s="66" t="s">
        <v>30</v>
      </c>
      <c r="AW197" s="12">
        <f>+'Form20 '!N198</f>
        <v>0</v>
      </c>
      <c r="AX197" s="18">
        <v>14</v>
      </c>
      <c r="AY197" s="66" t="s">
        <v>30</v>
      </c>
      <c r="AZ197" s="12">
        <f>+'Form20 '!O198</f>
        <v>0</v>
      </c>
      <c r="BA197" s="75">
        <f t="shared" si="5"/>
        <v>514</v>
      </c>
    </row>
    <row r="198" spans="1:53" s="67" customFormat="1" ht="59.25" customHeight="1">
      <c r="A198" s="18">
        <v>333</v>
      </c>
      <c r="B198" s="59">
        <v>192</v>
      </c>
      <c r="C198" s="76" t="s">
        <v>269</v>
      </c>
      <c r="D198" s="61">
        <v>802</v>
      </c>
      <c r="E198" s="61">
        <v>193</v>
      </c>
      <c r="F198" s="61">
        <v>232</v>
      </c>
      <c r="G198" s="55">
        <v>0</v>
      </c>
      <c r="H198" s="62">
        <f t="shared" si="4"/>
        <v>425</v>
      </c>
      <c r="I198" s="55">
        <v>33</v>
      </c>
      <c r="J198" s="29">
        <v>0</v>
      </c>
      <c r="K198" s="18">
        <v>1</v>
      </c>
      <c r="L198" s="63" t="s">
        <v>29</v>
      </c>
      <c r="M198" s="12">
        <f>+'Form20 '!B199</f>
        <v>316</v>
      </c>
      <c r="N198" s="18">
        <v>2</v>
      </c>
      <c r="O198" s="58" t="s">
        <v>24</v>
      </c>
      <c r="P198" s="12">
        <f>+'Form20 '!C199</f>
        <v>38</v>
      </c>
      <c r="Q198" s="18">
        <v>3</v>
      </c>
      <c r="R198" s="63" t="s">
        <v>28</v>
      </c>
      <c r="S198" s="12">
        <f>+'Form20 '!D199</f>
        <v>61</v>
      </c>
      <c r="T198" s="18">
        <v>4</v>
      </c>
      <c r="U198" s="64" t="s">
        <v>65</v>
      </c>
      <c r="V198" s="12">
        <f>+'Form20 '!E199</f>
        <v>0</v>
      </c>
      <c r="W198" s="18">
        <v>5</v>
      </c>
      <c r="X198" s="58" t="s">
        <v>66</v>
      </c>
      <c r="Y198" s="12">
        <f>+'Form20 '!F199</f>
        <v>0</v>
      </c>
      <c r="Z198" s="18">
        <v>6</v>
      </c>
      <c r="AA198" s="64" t="s">
        <v>67</v>
      </c>
      <c r="AB198" s="12">
        <f>+'Form20 '!G199</f>
        <v>0</v>
      </c>
      <c r="AC198" s="18">
        <v>7</v>
      </c>
      <c r="AD198" s="63" t="s">
        <v>68</v>
      </c>
      <c r="AE198" s="12">
        <f>+'Form20 '!H199</f>
        <v>1</v>
      </c>
      <c r="AF198" s="18">
        <v>8</v>
      </c>
      <c r="AG198" s="63" t="s">
        <v>69</v>
      </c>
      <c r="AH198" s="12">
        <f>+'Form20 '!I199</f>
        <v>0</v>
      </c>
      <c r="AI198" s="18">
        <v>9</v>
      </c>
      <c r="AJ198" s="65" t="s">
        <v>70</v>
      </c>
      <c r="AK198" s="12">
        <f>+'Form20 '!J199</f>
        <v>0</v>
      </c>
      <c r="AL198" s="18">
        <v>10</v>
      </c>
      <c r="AM198" s="66" t="s">
        <v>30</v>
      </c>
      <c r="AN198" s="12">
        <f>+'Form20 '!K199</f>
        <v>1</v>
      </c>
      <c r="AO198" s="18">
        <v>11</v>
      </c>
      <c r="AP198" s="66" t="s">
        <v>30</v>
      </c>
      <c r="AQ198" s="12">
        <f>+'Form20 '!L199</f>
        <v>1</v>
      </c>
      <c r="AR198" s="18">
        <v>12</v>
      </c>
      <c r="AS198" s="66" t="s">
        <v>30</v>
      </c>
      <c r="AT198" s="12">
        <f>+'Form20 '!M199</f>
        <v>1</v>
      </c>
      <c r="AU198" s="18">
        <v>13</v>
      </c>
      <c r="AV198" s="66" t="s">
        <v>30</v>
      </c>
      <c r="AW198" s="12">
        <f>+'Form20 '!N199</f>
        <v>0</v>
      </c>
      <c r="AX198" s="18">
        <v>14</v>
      </c>
      <c r="AY198" s="66" t="s">
        <v>30</v>
      </c>
      <c r="AZ198" s="12">
        <f>+'Form20 '!O199</f>
        <v>1</v>
      </c>
      <c r="BA198" s="75">
        <f t="shared" si="5"/>
        <v>420</v>
      </c>
    </row>
    <row r="199" spans="1:53" s="67" customFormat="1" ht="59.25" customHeight="1">
      <c r="A199" s="18">
        <v>333</v>
      </c>
      <c r="B199" s="59">
        <v>193</v>
      </c>
      <c r="C199" s="76" t="s">
        <v>270</v>
      </c>
      <c r="D199" s="61">
        <v>1016</v>
      </c>
      <c r="E199" s="61">
        <v>281</v>
      </c>
      <c r="F199" s="61">
        <v>295</v>
      </c>
      <c r="G199" s="55">
        <v>0</v>
      </c>
      <c r="H199" s="62">
        <f t="shared" si="4"/>
        <v>576</v>
      </c>
      <c r="I199" s="55">
        <v>71</v>
      </c>
      <c r="J199" s="29">
        <v>0</v>
      </c>
      <c r="K199" s="18">
        <v>1</v>
      </c>
      <c r="L199" s="63" t="s">
        <v>29</v>
      </c>
      <c r="M199" s="12">
        <f>+'Form20 '!B200</f>
        <v>303</v>
      </c>
      <c r="N199" s="18">
        <v>2</v>
      </c>
      <c r="O199" s="58" t="s">
        <v>24</v>
      </c>
      <c r="P199" s="12">
        <f>+'Form20 '!C200</f>
        <v>17</v>
      </c>
      <c r="Q199" s="18">
        <v>3</v>
      </c>
      <c r="R199" s="63" t="s">
        <v>28</v>
      </c>
      <c r="S199" s="12">
        <f>+'Form20 '!D200</f>
        <v>237</v>
      </c>
      <c r="T199" s="18">
        <v>4</v>
      </c>
      <c r="U199" s="64" t="s">
        <v>65</v>
      </c>
      <c r="V199" s="12">
        <f>+'Form20 '!E200</f>
        <v>1</v>
      </c>
      <c r="W199" s="18">
        <v>5</v>
      </c>
      <c r="X199" s="58" t="s">
        <v>66</v>
      </c>
      <c r="Y199" s="12">
        <f>+'Form20 '!F200</f>
        <v>0</v>
      </c>
      <c r="Z199" s="18">
        <v>6</v>
      </c>
      <c r="AA199" s="64" t="s">
        <v>67</v>
      </c>
      <c r="AB199" s="12">
        <f>+'Form20 '!G200</f>
        <v>0</v>
      </c>
      <c r="AC199" s="18">
        <v>7</v>
      </c>
      <c r="AD199" s="63" t="s">
        <v>68</v>
      </c>
      <c r="AE199" s="12">
        <f>+'Form20 '!H200</f>
        <v>0</v>
      </c>
      <c r="AF199" s="18">
        <v>8</v>
      </c>
      <c r="AG199" s="63" t="s">
        <v>69</v>
      </c>
      <c r="AH199" s="12">
        <f>+'Form20 '!I200</f>
        <v>0</v>
      </c>
      <c r="AI199" s="18">
        <v>9</v>
      </c>
      <c r="AJ199" s="65" t="s">
        <v>70</v>
      </c>
      <c r="AK199" s="12">
        <f>+'Form20 '!J200</f>
        <v>8</v>
      </c>
      <c r="AL199" s="18">
        <v>10</v>
      </c>
      <c r="AM199" s="66" t="s">
        <v>30</v>
      </c>
      <c r="AN199" s="12">
        <f>+'Form20 '!K200</f>
        <v>0</v>
      </c>
      <c r="AO199" s="18">
        <v>11</v>
      </c>
      <c r="AP199" s="66" t="s">
        <v>30</v>
      </c>
      <c r="AQ199" s="12">
        <f>+'Form20 '!L200</f>
        <v>2</v>
      </c>
      <c r="AR199" s="18">
        <v>12</v>
      </c>
      <c r="AS199" s="66" t="s">
        <v>30</v>
      </c>
      <c r="AT199" s="12">
        <f>+'Form20 '!M200</f>
        <v>1</v>
      </c>
      <c r="AU199" s="18">
        <v>13</v>
      </c>
      <c r="AV199" s="66" t="s">
        <v>30</v>
      </c>
      <c r="AW199" s="12">
        <f>+'Form20 '!N200</f>
        <v>1</v>
      </c>
      <c r="AX199" s="18">
        <v>14</v>
      </c>
      <c r="AY199" s="66" t="s">
        <v>30</v>
      </c>
      <c r="AZ199" s="12">
        <f>+'Form20 '!O200</f>
        <v>0</v>
      </c>
      <c r="BA199" s="75">
        <f t="shared" si="5"/>
        <v>570</v>
      </c>
    </row>
    <row r="200" spans="1:53" s="67" customFormat="1" ht="59.25" customHeight="1">
      <c r="A200" s="18">
        <v>333</v>
      </c>
      <c r="B200" s="59">
        <v>194</v>
      </c>
      <c r="C200" s="76" t="s">
        <v>271</v>
      </c>
      <c r="D200" s="61">
        <v>904</v>
      </c>
      <c r="E200" s="61">
        <v>206</v>
      </c>
      <c r="F200" s="61">
        <v>231</v>
      </c>
      <c r="G200" s="55">
        <v>0</v>
      </c>
      <c r="H200" s="62">
        <f t="shared" ref="H200:H263" si="6">E200+F200+G200</f>
        <v>437</v>
      </c>
      <c r="I200" s="55">
        <v>35</v>
      </c>
      <c r="J200" s="29">
        <v>0</v>
      </c>
      <c r="K200" s="18">
        <v>1</v>
      </c>
      <c r="L200" s="63" t="s">
        <v>29</v>
      </c>
      <c r="M200" s="12">
        <f>+'Form20 '!B201</f>
        <v>155</v>
      </c>
      <c r="N200" s="18">
        <v>2</v>
      </c>
      <c r="O200" s="58" t="s">
        <v>24</v>
      </c>
      <c r="P200" s="12">
        <f>+'Form20 '!C201</f>
        <v>4</v>
      </c>
      <c r="Q200" s="18">
        <v>3</v>
      </c>
      <c r="R200" s="63" t="s">
        <v>28</v>
      </c>
      <c r="S200" s="12">
        <f>+'Form20 '!D201</f>
        <v>258</v>
      </c>
      <c r="T200" s="18">
        <v>4</v>
      </c>
      <c r="U200" s="64" t="s">
        <v>65</v>
      </c>
      <c r="V200" s="12">
        <f>+'Form20 '!E201</f>
        <v>2</v>
      </c>
      <c r="W200" s="18">
        <v>5</v>
      </c>
      <c r="X200" s="58" t="s">
        <v>66</v>
      </c>
      <c r="Y200" s="12">
        <f>+'Form20 '!F201</f>
        <v>0</v>
      </c>
      <c r="Z200" s="18">
        <v>6</v>
      </c>
      <c r="AA200" s="64" t="s">
        <v>67</v>
      </c>
      <c r="AB200" s="12">
        <f>+'Form20 '!G201</f>
        <v>0</v>
      </c>
      <c r="AC200" s="18">
        <v>7</v>
      </c>
      <c r="AD200" s="63" t="s">
        <v>68</v>
      </c>
      <c r="AE200" s="12">
        <f>+'Form20 '!H201</f>
        <v>0</v>
      </c>
      <c r="AF200" s="18">
        <v>8</v>
      </c>
      <c r="AG200" s="63" t="s">
        <v>69</v>
      </c>
      <c r="AH200" s="12">
        <f>+'Form20 '!I201</f>
        <v>0</v>
      </c>
      <c r="AI200" s="18">
        <v>9</v>
      </c>
      <c r="AJ200" s="65" t="s">
        <v>70</v>
      </c>
      <c r="AK200" s="12">
        <f>+'Form20 '!J201</f>
        <v>4</v>
      </c>
      <c r="AL200" s="18">
        <v>10</v>
      </c>
      <c r="AM200" s="66" t="s">
        <v>30</v>
      </c>
      <c r="AN200" s="12">
        <f>+'Form20 '!K201</f>
        <v>0</v>
      </c>
      <c r="AO200" s="18">
        <v>11</v>
      </c>
      <c r="AP200" s="66" t="s">
        <v>30</v>
      </c>
      <c r="AQ200" s="12">
        <f>+'Form20 '!L201</f>
        <v>1</v>
      </c>
      <c r="AR200" s="18">
        <v>12</v>
      </c>
      <c r="AS200" s="66" t="s">
        <v>30</v>
      </c>
      <c r="AT200" s="12">
        <f>+'Form20 '!M201</f>
        <v>4</v>
      </c>
      <c r="AU200" s="18">
        <v>13</v>
      </c>
      <c r="AV200" s="66" t="s">
        <v>30</v>
      </c>
      <c r="AW200" s="12">
        <f>+'Form20 '!N201</f>
        <v>1</v>
      </c>
      <c r="AX200" s="18">
        <v>14</v>
      </c>
      <c r="AY200" s="66" t="s">
        <v>30</v>
      </c>
      <c r="AZ200" s="12">
        <f>+'Form20 '!O201</f>
        <v>3</v>
      </c>
      <c r="BA200" s="75">
        <f t="shared" ref="BA200:BA263" si="7">AZ200+AW200+AT200+AQ200+AN200+AK200+AH200+AE200+AB200+Y200+V200+S200+P200+M200</f>
        <v>432</v>
      </c>
    </row>
    <row r="201" spans="1:53" s="67" customFormat="1" ht="59.25" customHeight="1">
      <c r="A201" s="18">
        <v>333</v>
      </c>
      <c r="B201" s="59">
        <v>195</v>
      </c>
      <c r="C201" s="76" t="s">
        <v>272</v>
      </c>
      <c r="D201" s="61">
        <v>1036</v>
      </c>
      <c r="E201" s="61">
        <v>305</v>
      </c>
      <c r="F201" s="61">
        <v>355</v>
      </c>
      <c r="G201" s="55">
        <v>0</v>
      </c>
      <c r="H201" s="62">
        <f t="shared" si="6"/>
        <v>660</v>
      </c>
      <c r="I201" s="55">
        <v>552</v>
      </c>
      <c r="J201" s="29">
        <v>0</v>
      </c>
      <c r="K201" s="18">
        <v>1</v>
      </c>
      <c r="L201" s="63" t="s">
        <v>29</v>
      </c>
      <c r="M201" s="12">
        <f>+'Form20 '!B202</f>
        <v>579</v>
      </c>
      <c r="N201" s="18">
        <v>2</v>
      </c>
      <c r="O201" s="58" t="s">
        <v>24</v>
      </c>
      <c r="P201" s="12">
        <f>+'Form20 '!C202</f>
        <v>24</v>
      </c>
      <c r="Q201" s="18">
        <v>3</v>
      </c>
      <c r="R201" s="63" t="s">
        <v>28</v>
      </c>
      <c r="S201" s="12">
        <f>+'Form20 '!D202</f>
        <v>40</v>
      </c>
      <c r="T201" s="18">
        <v>4</v>
      </c>
      <c r="U201" s="64" t="s">
        <v>65</v>
      </c>
      <c r="V201" s="12">
        <f>+'Form20 '!E202</f>
        <v>0</v>
      </c>
      <c r="W201" s="18">
        <v>5</v>
      </c>
      <c r="X201" s="58" t="s">
        <v>66</v>
      </c>
      <c r="Y201" s="12">
        <f>+'Form20 '!F202</f>
        <v>0</v>
      </c>
      <c r="Z201" s="18">
        <v>6</v>
      </c>
      <c r="AA201" s="64" t="s">
        <v>67</v>
      </c>
      <c r="AB201" s="12">
        <f>+'Form20 '!G202</f>
        <v>1</v>
      </c>
      <c r="AC201" s="18">
        <v>7</v>
      </c>
      <c r="AD201" s="63" t="s">
        <v>68</v>
      </c>
      <c r="AE201" s="12">
        <f>+'Form20 '!H202</f>
        <v>1</v>
      </c>
      <c r="AF201" s="18">
        <v>8</v>
      </c>
      <c r="AG201" s="63" t="s">
        <v>69</v>
      </c>
      <c r="AH201" s="12">
        <f>+'Form20 '!I202</f>
        <v>0</v>
      </c>
      <c r="AI201" s="18">
        <v>9</v>
      </c>
      <c r="AJ201" s="65" t="s">
        <v>70</v>
      </c>
      <c r="AK201" s="12">
        <f>+'Form20 '!J202</f>
        <v>0</v>
      </c>
      <c r="AL201" s="18">
        <v>10</v>
      </c>
      <c r="AM201" s="66" t="s">
        <v>30</v>
      </c>
      <c r="AN201" s="12">
        <f>+'Form20 '!K202</f>
        <v>1</v>
      </c>
      <c r="AO201" s="18">
        <v>11</v>
      </c>
      <c r="AP201" s="66" t="s">
        <v>30</v>
      </c>
      <c r="AQ201" s="12">
        <f>+'Form20 '!L202</f>
        <v>0</v>
      </c>
      <c r="AR201" s="18">
        <v>12</v>
      </c>
      <c r="AS201" s="66" t="s">
        <v>30</v>
      </c>
      <c r="AT201" s="12">
        <f>+'Form20 '!M202</f>
        <v>1</v>
      </c>
      <c r="AU201" s="18">
        <v>13</v>
      </c>
      <c r="AV201" s="66" t="s">
        <v>30</v>
      </c>
      <c r="AW201" s="12">
        <f>+'Form20 '!N202</f>
        <v>2</v>
      </c>
      <c r="AX201" s="18">
        <v>14</v>
      </c>
      <c r="AY201" s="66" t="s">
        <v>30</v>
      </c>
      <c r="AZ201" s="12">
        <f>+'Form20 '!O202</f>
        <v>1</v>
      </c>
      <c r="BA201" s="75">
        <f t="shared" si="7"/>
        <v>650</v>
      </c>
    </row>
    <row r="202" spans="1:53" s="67" customFormat="1" ht="59.25" customHeight="1">
      <c r="A202" s="18">
        <v>333</v>
      </c>
      <c r="B202" s="59">
        <v>196</v>
      </c>
      <c r="C202" s="76" t="s">
        <v>273</v>
      </c>
      <c r="D202" s="61">
        <v>1038</v>
      </c>
      <c r="E202" s="61">
        <v>218</v>
      </c>
      <c r="F202" s="61">
        <v>273</v>
      </c>
      <c r="G202" s="55">
        <v>0</v>
      </c>
      <c r="H202" s="62">
        <f t="shared" si="6"/>
        <v>491</v>
      </c>
      <c r="I202" s="55">
        <v>438</v>
      </c>
      <c r="J202" s="29">
        <v>0</v>
      </c>
      <c r="K202" s="18">
        <v>1</v>
      </c>
      <c r="L202" s="63" t="s">
        <v>29</v>
      </c>
      <c r="M202" s="12">
        <f>+'Form20 '!B203</f>
        <v>204</v>
      </c>
      <c r="N202" s="18">
        <v>2</v>
      </c>
      <c r="O202" s="58" t="s">
        <v>24</v>
      </c>
      <c r="P202" s="12">
        <f>+'Form20 '!C203</f>
        <v>10</v>
      </c>
      <c r="Q202" s="18">
        <v>3</v>
      </c>
      <c r="R202" s="63" t="s">
        <v>28</v>
      </c>
      <c r="S202" s="12">
        <f>+'Form20 '!D203</f>
        <v>258</v>
      </c>
      <c r="T202" s="18">
        <v>4</v>
      </c>
      <c r="U202" s="64" t="s">
        <v>65</v>
      </c>
      <c r="V202" s="12">
        <f>+'Form20 '!E203</f>
        <v>0</v>
      </c>
      <c r="W202" s="18">
        <v>5</v>
      </c>
      <c r="X202" s="58" t="s">
        <v>66</v>
      </c>
      <c r="Y202" s="12">
        <f>+'Form20 '!F203</f>
        <v>0</v>
      </c>
      <c r="Z202" s="18">
        <v>6</v>
      </c>
      <c r="AA202" s="64" t="s">
        <v>67</v>
      </c>
      <c r="AB202" s="12">
        <f>+'Form20 '!G203</f>
        <v>0</v>
      </c>
      <c r="AC202" s="18">
        <v>7</v>
      </c>
      <c r="AD202" s="63" t="s">
        <v>68</v>
      </c>
      <c r="AE202" s="12">
        <f>+'Form20 '!H203</f>
        <v>0</v>
      </c>
      <c r="AF202" s="18">
        <v>8</v>
      </c>
      <c r="AG202" s="63" t="s">
        <v>69</v>
      </c>
      <c r="AH202" s="12">
        <f>+'Form20 '!I203</f>
        <v>0</v>
      </c>
      <c r="AI202" s="18">
        <v>9</v>
      </c>
      <c r="AJ202" s="65" t="s">
        <v>70</v>
      </c>
      <c r="AK202" s="12">
        <f>+'Form20 '!J203</f>
        <v>0</v>
      </c>
      <c r="AL202" s="18">
        <v>10</v>
      </c>
      <c r="AM202" s="66" t="s">
        <v>30</v>
      </c>
      <c r="AN202" s="12">
        <f>+'Form20 '!K203</f>
        <v>1</v>
      </c>
      <c r="AO202" s="18">
        <v>11</v>
      </c>
      <c r="AP202" s="66" t="s">
        <v>30</v>
      </c>
      <c r="AQ202" s="12">
        <f>+'Form20 '!L203</f>
        <v>4</v>
      </c>
      <c r="AR202" s="18">
        <v>12</v>
      </c>
      <c r="AS202" s="66" t="s">
        <v>30</v>
      </c>
      <c r="AT202" s="12">
        <f>+'Form20 '!M203</f>
        <v>3</v>
      </c>
      <c r="AU202" s="18">
        <v>13</v>
      </c>
      <c r="AV202" s="66" t="s">
        <v>30</v>
      </c>
      <c r="AW202" s="12">
        <f>+'Form20 '!N203</f>
        <v>2</v>
      </c>
      <c r="AX202" s="18">
        <v>14</v>
      </c>
      <c r="AY202" s="66" t="s">
        <v>30</v>
      </c>
      <c r="AZ202" s="12">
        <f>+'Form20 '!O203</f>
        <v>3</v>
      </c>
      <c r="BA202" s="75">
        <f t="shared" si="7"/>
        <v>485</v>
      </c>
    </row>
    <row r="203" spans="1:53" s="67" customFormat="1" ht="59.25" customHeight="1">
      <c r="A203" s="18">
        <v>333</v>
      </c>
      <c r="B203" s="59">
        <v>197</v>
      </c>
      <c r="C203" s="76" t="s">
        <v>274</v>
      </c>
      <c r="D203" s="61">
        <v>824</v>
      </c>
      <c r="E203" s="61">
        <v>235</v>
      </c>
      <c r="F203" s="61">
        <v>285</v>
      </c>
      <c r="G203" s="55">
        <v>0</v>
      </c>
      <c r="H203" s="62">
        <f t="shared" si="6"/>
        <v>520</v>
      </c>
      <c r="I203" s="55">
        <v>40</v>
      </c>
      <c r="J203" s="29">
        <v>0</v>
      </c>
      <c r="K203" s="18">
        <v>1</v>
      </c>
      <c r="L203" s="63" t="s">
        <v>29</v>
      </c>
      <c r="M203" s="12">
        <f>+'Form20 '!B204</f>
        <v>23</v>
      </c>
      <c r="N203" s="18">
        <v>2</v>
      </c>
      <c r="O203" s="58" t="s">
        <v>24</v>
      </c>
      <c r="P203" s="12">
        <f>+'Form20 '!C204</f>
        <v>8</v>
      </c>
      <c r="Q203" s="18">
        <v>3</v>
      </c>
      <c r="R203" s="63" t="s">
        <v>28</v>
      </c>
      <c r="S203" s="12">
        <f>+'Form20 '!D204</f>
        <v>461</v>
      </c>
      <c r="T203" s="18">
        <v>4</v>
      </c>
      <c r="U203" s="64" t="s">
        <v>65</v>
      </c>
      <c r="V203" s="12">
        <f>+'Form20 '!E204</f>
        <v>0</v>
      </c>
      <c r="W203" s="18">
        <v>5</v>
      </c>
      <c r="X203" s="58" t="s">
        <v>66</v>
      </c>
      <c r="Y203" s="12">
        <f>+'Form20 '!F204</f>
        <v>0</v>
      </c>
      <c r="Z203" s="18">
        <v>6</v>
      </c>
      <c r="AA203" s="64" t="s">
        <v>67</v>
      </c>
      <c r="AB203" s="12">
        <f>+'Form20 '!G204</f>
        <v>0</v>
      </c>
      <c r="AC203" s="18">
        <v>7</v>
      </c>
      <c r="AD203" s="63" t="s">
        <v>68</v>
      </c>
      <c r="AE203" s="12">
        <f>+'Form20 '!H204</f>
        <v>0</v>
      </c>
      <c r="AF203" s="18">
        <v>8</v>
      </c>
      <c r="AG203" s="63" t="s">
        <v>69</v>
      </c>
      <c r="AH203" s="12">
        <f>+'Form20 '!I204</f>
        <v>0</v>
      </c>
      <c r="AI203" s="18">
        <v>9</v>
      </c>
      <c r="AJ203" s="65" t="s">
        <v>70</v>
      </c>
      <c r="AK203" s="12">
        <f>+'Form20 '!J204</f>
        <v>23</v>
      </c>
      <c r="AL203" s="18">
        <v>10</v>
      </c>
      <c r="AM203" s="66" t="s">
        <v>30</v>
      </c>
      <c r="AN203" s="12">
        <f>+'Form20 '!K204</f>
        <v>0</v>
      </c>
      <c r="AO203" s="18">
        <v>11</v>
      </c>
      <c r="AP203" s="66" t="s">
        <v>30</v>
      </c>
      <c r="AQ203" s="12">
        <f>+'Form20 '!L204</f>
        <v>1</v>
      </c>
      <c r="AR203" s="18">
        <v>12</v>
      </c>
      <c r="AS203" s="66" t="s">
        <v>30</v>
      </c>
      <c r="AT203" s="12">
        <f>+'Form20 '!M204</f>
        <v>0</v>
      </c>
      <c r="AU203" s="18">
        <v>13</v>
      </c>
      <c r="AV203" s="66" t="s">
        <v>30</v>
      </c>
      <c r="AW203" s="12">
        <f>+'Form20 '!N204</f>
        <v>2</v>
      </c>
      <c r="AX203" s="18">
        <v>14</v>
      </c>
      <c r="AY203" s="66" t="s">
        <v>30</v>
      </c>
      <c r="AZ203" s="12">
        <f>+'Form20 '!O204</f>
        <v>1</v>
      </c>
      <c r="BA203" s="75">
        <f t="shared" si="7"/>
        <v>519</v>
      </c>
    </row>
    <row r="204" spans="1:53" s="67" customFormat="1" ht="59.25" customHeight="1">
      <c r="A204" s="18">
        <v>333</v>
      </c>
      <c r="B204" s="59">
        <v>198</v>
      </c>
      <c r="C204" s="76" t="s">
        <v>275</v>
      </c>
      <c r="D204" s="61">
        <v>1044</v>
      </c>
      <c r="E204" s="61">
        <v>291</v>
      </c>
      <c r="F204" s="61">
        <v>357</v>
      </c>
      <c r="G204" s="55">
        <v>0</v>
      </c>
      <c r="H204" s="62">
        <f t="shared" si="6"/>
        <v>648</v>
      </c>
      <c r="I204" s="55">
        <v>43</v>
      </c>
      <c r="J204" s="29">
        <v>0</v>
      </c>
      <c r="K204" s="18">
        <v>1</v>
      </c>
      <c r="L204" s="63" t="s">
        <v>29</v>
      </c>
      <c r="M204" s="12">
        <f>+'Form20 '!B205</f>
        <v>394</v>
      </c>
      <c r="N204" s="18">
        <v>2</v>
      </c>
      <c r="O204" s="58" t="s">
        <v>24</v>
      </c>
      <c r="P204" s="12">
        <f>+'Form20 '!C205</f>
        <v>38</v>
      </c>
      <c r="Q204" s="18">
        <v>3</v>
      </c>
      <c r="R204" s="63" t="s">
        <v>28</v>
      </c>
      <c r="S204" s="12">
        <f>+'Form20 '!D205</f>
        <v>201</v>
      </c>
      <c r="T204" s="18">
        <v>4</v>
      </c>
      <c r="U204" s="64" t="s">
        <v>65</v>
      </c>
      <c r="V204" s="12">
        <f>+'Form20 '!E205</f>
        <v>3</v>
      </c>
      <c r="W204" s="18">
        <v>5</v>
      </c>
      <c r="X204" s="58" t="s">
        <v>66</v>
      </c>
      <c r="Y204" s="12">
        <f>+'Form20 '!F205</f>
        <v>2</v>
      </c>
      <c r="Z204" s="18">
        <v>6</v>
      </c>
      <c r="AA204" s="64" t="s">
        <v>67</v>
      </c>
      <c r="AB204" s="12">
        <f>+'Form20 '!G205</f>
        <v>0</v>
      </c>
      <c r="AC204" s="18">
        <v>7</v>
      </c>
      <c r="AD204" s="63" t="s">
        <v>68</v>
      </c>
      <c r="AE204" s="12">
        <f>+'Form20 '!H205</f>
        <v>1</v>
      </c>
      <c r="AF204" s="18">
        <v>8</v>
      </c>
      <c r="AG204" s="63" t="s">
        <v>69</v>
      </c>
      <c r="AH204" s="12">
        <f>+'Form20 '!I205</f>
        <v>1</v>
      </c>
      <c r="AI204" s="18">
        <v>9</v>
      </c>
      <c r="AJ204" s="65" t="s">
        <v>70</v>
      </c>
      <c r="AK204" s="12">
        <f>+'Form20 '!J205</f>
        <v>3</v>
      </c>
      <c r="AL204" s="18">
        <v>10</v>
      </c>
      <c r="AM204" s="66" t="s">
        <v>30</v>
      </c>
      <c r="AN204" s="12">
        <f>+'Form20 '!K205</f>
        <v>0</v>
      </c>
      <c r="AO204" s="18">
        <v>11</v>
      </c>
      <c r="AP204" s="66" t="s">
        <v>30</v>
      </c>
      <c r="AQ204" s="12">
        <f>+'Form20 '!L205</f>
        <v>0</v>
      </c>
      <c r="AR204" s="18">
        <v>12</v>
      </c>
      <c r="AS204" s="66" t="s">
        <v>30</v>
      </c>
      <c r="AT204" s="12">
        <f>+'Form20 '!M205</f>
        <v>0</v>
      </c>
      <c r="AU204" s="18">
        <v>13</v>
      </c>
      <c r="AV204" s="66" t="s">
        <v>30</v>
      </c>
      <c r="AW204" s="12">
        <f>+'Form20 '!N205</f>
        <v>1</v>
      </c>
      <c r="AX204" s="18">
        <v>14</v>
      </c>
      <c r="AY204" s="66" t="s">
        <v>30</v>
      </c>
      <c r="AZ204" s="12">
        <f>+'Form20 '!O205</f>
        <v>0</v>
      </c>
      <c r="BA204" s="75">
        <f t="shared" si="7"/>
        <v>644</v>
      </c>
    </row>
    <row r="205" spans="1:53" s="67" customFormat="1" ht="59.25" customHeight="1">
      <c r="A205" s="18">
        <v>333</v>
      </c>
      <c r="B205" s="59">
        <v>199</v>
      </c>
      <c r="C205" s="76" t="s">
        <v>276</v>
      </c>
      <c r="D205" s="61">
        <v>1074</v>
      </c>
      <c r="E205" s="61">
        <v>295</v>
      </c>
      <c r="F205" s="61">
        <v>370</v>
      </c>
      <c r="G205" s="55">
        <v>0</v>
      </c>
      <c r="H205" s="62">
        <f t="shared" si="6"/>
        <v>665</v>
      </c>
      <c r="I205" s="55">
        <v>35</v>
      </c>
      <c r="J205" s="29">
        <v>0</v>
      </c>
      <c r="K205" s="18">
        <v>1</v>
      </c>
      <c r="L205" s="63" t="s">
        <v>29</v>
      </c>
      <c r="M205" s="12">
        <f>+'Form20 '!B206</f>
        <v>418</v>
      </c>
      <c r="N205" s="18">
        <v>2</v>
      </c>
      <c r="O205" s="58" t="s">
        <v>24</v>
      </c>
      <c r="P205" s="12">
        <f>+'Form20 '!C206</f>
        <v>113</v>
      </c>
      <c r="Q205" s="18">
        <v>3</v>
      </c>
      <c r="R205" s="63" t="s">
        <v>28</v>
      </c>
      <c r="S205" s="12">
        <f>+'Form20 '!D206</f>
        <v>111</v>
      </c>
      <c r="T205" s="18">
        <v>4</v>
      </c>
      <c r="U205" s="64" t="s">
        <v>65</v>
      </c>
      <c r="V205" s="12">
        <f>+'Form20 '!E206</f>
        <v>0</v>
      </c>
      <c r="W205" s="18">
        <v>5</v>
      </c>
      <c r="X205" s="58" t="s">
        <v>66</v>
      </c>
      <c r="Y205" s="12">
        <f>+'Form20 '!F206</f>
        <v>2</v>
      </c>
      <c r="Z205" s="18">
        <v>6</v>
      </c>
      <c r="AA205" s="64" t="s">
        <v>67</v>
      </c>
      <c r="AB205" s="12">
        <f>+'Form20 '!G206</f>
        <v>3</v>
      </c>
      <c r="AC205" s="18">
        <v>7</v>
      </c>
      <c r="AD205" s="63" t="s">
        <v>68</v>
      </c>
      <c r="AE205" s="12">
        <f>+'Form20 '!H206</f>
        <v>0</v>
      </c>
      <c r="AF205" s="18">
        <v>8</v>
      </c>
      <c r="AG205" s="63" t="s">
        <v>69</v>
      </c>
      <c r="AH205" s="12">
        <f>+'Form20 '!I206</f>
        <v>5</v>
      </c>
      <c r="AI205" s="18">
        <v>9</v>
      </c>
      <c r="AJ205" s="65" t="s">
        <v>70</v>
      </c>
      <c r="AK205" s="12">
        <f>+'Form20 '!J206</f>
        <v>6</v>
      </c>
      <c r="AL205" s="18">
        <v>10</v>
      </c>
      <c r="AM205" s="66" t="s">
        <v>30</v>
      </c>
      <c r="AN205" s="12">
        <f>+'Form20 '!K206</f>
        <v>1</v>
      </c>
      <c r="AO205" s="18">
        <v>11</v>
      </c>
      <c r="AP205" s="66" t="s">
        <v>30</v>
      </c>
      <c r="AQ205" s="12">
        <f>+'Form20 '!L206</f>
        <v>1</v>
      </c>
      <c r="AR205" s="18">
        <v>12</v>
      </c>
      <c r="AS205" s="66" t="s">
        <v>30</v>
      </c>
      <c r="AT205" s="12">
        <f>+'Form20 '!M206</f>
        <v>0</v>
      </c>
      <c r="AU205" s="18">
        <v>13</v>
      </c>
      <c r="AV205" s="66" t="s">
        <v>30</v>
      </c>
      <c r="AW205" s="12">
        <f>+'Form20 '!N206</f>
        <v>1</v>
      </c>
      <c r="AX205" s="18">
        <v>14</v>
      </c>
      <c r="AY205" s="66" t="s">
        <v>30</v>
      </c>
      <c r="AZ205" s="12">
        <f>+'Form20 '!O206</f>
        <v>1</v>
      </c>
      <c r="BA205" s="75">
        <f t="shared" si="7"/>
        <v>662</v>
      </c>
    </row>
    <row r="206" spans="1:53" s="67" customFormat="1" ht="59.25" customHeight="1">
      <c r="A206" s="18">
        <v>333</v>
      </c>
      <c r="B206" s="59">
        <v>200</v>
      </c>
      <c r="C206" s="76" t="s">
        <v>277</v>
      </c>
      <c r="D206" s="61">
        <v>976</v>
      </c>
      <c r="E206" s="61">
        <v>224</v>
      </c>
      <c r="F206" s="61">
        <v>378</v>
      </c>
      <c r="G206" s="55">
        <v>0</v>
      </c>
      <c r="H206" s="62">
        <f t="shared" si="6"/>
        <v>602</v>
      </c>
      <c r="I206" s="55">
        <v>200</v>
      </c>
      <c r="J206" s="29">
        <v>0</v>
      </c>
      <c r="K206" s="18">
        <v>1</v>
      </c>
      <c r="L206" s="63" t="s">
        <v>29</v>
      </c>
      <c r="M206" s="12">
        <f>+'Form20 '!B207</f>
        <v>169</v>
      </c>
      <c r="N206" s="18">
        <v>2</v>
      </c>
      <c r="O206" s="58" t="s">
        <v>24</v>
      </c>
      <c r="P206" s="12">
        <f>+'Form20 '!C207</f>
        <v>6</v>
      </c>
      <c r="Q206" s="18">
        <v>3</v>
      </c>
      <c r="R206" s="63" t="s">
        <v>28</v>
      </c>
      <c r="S206" s="12">
        <f>+'Form20 '!D207</f>
        <v>408</v>
      </c>
      <c r="T206" s="18">
        <v>4</v>
      </c>
      <c r="U206" s="64" t="s">
        <v>65</v>
      </c>
      <c r="V206" s="12">
        <f>+'Form20 '!E207</f>
        <v>3</v>
      </c>
      <c r="W206" s="18">
        <v>5</v>
      </c>
      <c r="X206" s="58" t="s">
        <v>66</v>
      </c>
      <c r="Y206" s="12">
        <f>+'Form20 '!F207</f>
        <v>0</v>
      </c>
      <c r="Z206" s="18">
        <v>6</v>
      </c>
      <c r="AA206" s="64" t="s">
        <v>67</v>
      </c>
      <c r="AB206" s="12">
        <f>+'Form20 '!G207</f>
        <v>0</v>
      </c>
      <c r="AC206" s="18">
        <v>7</v>
      </c>
      <c r="AD206" s="63" t="s">
        <v>68</v>
      </c>
      <c r="AE206" s="12">
        <f>+'Form20 '!H207</f>
        <v>1</v>
      </c>
      <c r="AF206" s="18">
        <v>8</v>
      </c>
      <c r="AG206" s="63" t="s">
        <v>69</v>
      </c>
      <c r="AH206" s="12">
        <f>+'Form20 '!I207</f>
        <v>2</v>
      </c>
      <c r="AI206" s="18">
        <v>9</v>
      </c>
      <c r="AJ206" s="65" t="s">
        <v>70</v>
      </c>
      <c r="AK206" s="12">
        <f>+'Form20 '!J207</f>
        <v>2</v>
      </c>
      <c r="AL206" s="18">
        <v>10</v>
      </c>
      <c r="AM206" s="66" t="s">
        <v>30</v>
      </c>
      <c r="AN206" s="12">
        <f>+'Form20 '!K207</f>
        <v>2</v>
      </c>
      <c r="AO206" s="18">
        <v>11</v>
      </c>
      <c r="AP206" s="66" t="s">
        <v>30</v>
      </c>
      <c r="AQ206" s="12">
        <f>+'Form20 '!L207</f>
        <v>1</v>
      </c>
      <c r="AR206" s="18">
        <v>12</v>
      </c>
      <c r="AS206" s="66" t="s">
        <v>30</v>
      </c>
      <c r="AT206" s="12">
        <f>+'Form20 '!M207</f>
        <v>0</v>
      </c>
      <c r="AU206" s="18">
        <v>13</v>
      </c>
      <c r="AV206" s="66" t="s">
        <v>30</v>
      </c>
      <c r="AW206" s="12">
        <f>+'Form20 '!N207</f>
        <v>2</v>
      </c>
      <c r="AX206" s="18">
        <v>14</v>
      </c>
      <c r="AY206" s="66" t="s">
        <v>30</v>
      </c>
      <c r="AZ206" s="12">
        <f>+'Form20 '!O207</f>
        <v>1</v>
      </c>
      <c r="BA206" s="75">
        <f t="shared" si="7"/>
        <v>597</v>
      </c>
    </row>
    <row r="207" spans="1:53" s="67" customFormat="1" ht="59.25" customHeight="1">
      <c r="A207" s="18">
        <v>333</v>
      </c>
      <c r="B207" s="59">
        <v>201</v>
      </c>
      <c r="C207" s="76" t="s">
        <v>278</v>
      </c>
      <c r="D207" s="61">
        <v>1078</v>
      </c>
      <c r="E207" s="61">
        <v>353</v>
      </c>
      <c r="F207" s="61">
        <v>333</v>
      </c>
      <c r="G207" s="55">
        <v>0</v>
      </c>
      <c r="H207" s="62">
        <f t="shared" si="6"/>
        <v>686</v>
      </c>
      <c r="I207" s="55">
        <v>90</v>
      </c>
      <c r="J207" s="29">
        <v>0</v>
      </c>
      <c r="K207" s="18">
        <v>1</v>
      </c>
      <c r="L207" s="63" t="s">
        <v>29</v>
      </c>
      <c r="M207" s="12">
        <f>+'Form20 '!B208</f>
        <v>307</v>
      </c>
      <c r="N207" s="18">
        <v>2</v>
      </c>
      <c r="O207" s="58" t="s">
        <v>24</v>
      </c>
      <c r="P207" s="12">
        <f>+'Form20 '!C208</f>
        <v>29</v>
      </c>
      <c r="Q207" s="18">
        <v>3</v>
      </c>
      <c r="R207" s="63" t="s">
        <v>28</v>
      </c>
      <c r="S207" s="12">
        <f>+'Form20 '!D208</f>
        <v>331</v>
      </c>
      <c r="T207" s="18">
        <v>4</v>
      </c>
      <c r="U207" s="64" t="s">
        <v>65</v>
      </c>
      <c r="V207" s="12">
        <f>+'Form20 '!E208</f>
        <v>8</v>
      </c>
      <c r="W207" s="18">
        <v>5</v>
      </c>
      <c r="X207" s="58" t="s">
        <v>66</v>
      </c>
      <c r="Y207" s="12">
        <f>+'Form20 '!F208</f>
        <v>1</v>
      </c>
      <c r="Z207" s="18">
        <v>6</v>
      </c>
      <c r="AA207" s="64" t="s">
        <v>67</v>
      </c>
      <c r="AB207" s="12">
        <f>+'Form20 '!G208</f>
        <v>0</v>
      </c>
      <c r="AC207" s="18">
        <v>7</v>
      </c>
      <c r="AD207" s="63" t="s">
        <v>68</v>
      </c>
      <c r="AE207" s="12">
        <f>+'Form20 '!H208</f>
        <v>0</v>
      </c>
      <c r="AF207" s="18">
        <v>8</v>
      </c>
      <c r="AG207" s="63" t="s">
        <v>69</v>
      </c>
      <c r="AH207" s="12">
        <f>+'Form20 '!I208</f>
        <v>1</v>
      </c>
      <c r="AI207" s="18">
        <v>9</v>
      </c>
      <c r="AJ207" s="65" t="s">
        <v>70</v>
      </c>
      <c r="AK207" s="12">
        <f>+'Form20 '!J208</f>
        <v>2</v>
      </c>
      <c r="AL207" s="18">
        <v>10</v>
      </c>
      <c r="AM207" s="66" t="s">
        <v>30</v>
      </c>
      <c r="AN207" s="12">
        <f>+'Form20 '!K208</f>
        <v>0</v>
      </c>
      <c r="AO207" s="18">
        <v>11</v>
      </c>
      <c r="AP207" s="66" t="s">
        <v>30</v>
      </c>
      <c r="AQ207" s="12">
        <f>+'Form20 '!L208</f>
        <v>0</v>
      </c>
      <c r="AR207" s="18">
        <v>12</v>
      </c>
      <c r="AS207" s="66" t="s">
        <v>30</v>
      </c>
      <c r="AT207" s="12">
        <f>+'Form20 '!M208</f>
        <v>3</v>
      </c>
      <c r="AU207" s="18">
        <v>13</v>
      </c>
      <c r="AV207" s="66" t="s">
        <v>30</v>
      </c>
      <c r="AW207" s="12">
        <f>+'Form20 '!N208</f>
        <v>2</v>
      </c>
      <c r="AX207" s="18">
        <v>14</v>
      </c>
      <c r="AY207" s="66" t="s">
        <v>30</v>
      </c>
      <c r="AZ207" s="12">
        <f>+'Form20 '!O208</f>
        <v>0</v>
      </c>
      <c r="BA207" s="75">
        <f t="shared" si="7"/>
        <v>684</v>
      </c>
    </row>
    <row r="208" spans="1:53" s="67" customFormat="1" ht="59.25" customHeight="1">
      <c r="A208" s="18">
        <v>333</v>
      </c>
      <c r="B208" s="59">
        <v>202</v>
      </c>
      <c r="C208" s="76" t="s">
        <v>279</v>
      </c>
      <c r="D208" s="61">
        <v>629</v>
      </c>
      <c r="E208" s="61">
        <v>183</v>
      </c>
      <c r="F208" s="61">
        <v>209</v>
      </c>
      <c r="G208" s="55">
        <v>0</v>
      </c>
      <c r="H208" s="62">
        <f t="shared" si="6"/>
        <v>392</v>
      </c>
      <c r="I208" s="55">
        <v>54</v>
      </c>
      <c r="J208" s="29">
        <v>0</v>
      </c>
      <c r="K208" s="18">
        <v>1</v>
      </c>
      <c r="L208" s="63" t="s">
        <v>29</v>
      </c>
      <c r="M208" s="12">
        <f>+'Form20 '!B209</f>
        <v>173</v>
      </c>
      <c r="N208" s="18">
        <v>2</v>
      </c>
      <c r="O208" s="58" t="s">
        <v>24</v>
      </c>
      <c r="P208" s="12">
        <f>+'Form20 '!C209</f>
        <v>48</v>
      </c>
      <c r="Q208" s="18">
        <v>3</v>
      </c>
      <c r="R208" s="63" t="s">
        <v>28</v>
      </c>
      <c r="S208" s="12">
        <f>+'Form20 '!D209</f>
        <v>159</v>
      </c>
      <c r="T208" s="18">
        <v>4</v>
      </c>
      <c r="U208" s="64" t="s">
        <v>65</v>
      </c>
      <c r="V208" s="12">
        <f>+'Form20 '!E209</f>
        <v>0</v>
      </c>
      <c r="W208" s="18">
        <v>5</v>
      </c>
      <c r="X208" s="58" t="s">
        <v>66</v>
      </c>
      <c r="Y208" s="12">
        <f>+'Form20 '!F209</f>
        <v>1</v>
      </c>
      <c r="Z208" s="18">
        <v>6</v>
      </c>
      <c r="AA208" s="64" t="s">
        <v>67</v>
      </c>
      <c r="AB208" s="12">
        <f>+'Form20 '!G209</f>
        <v>1</v>
      </c>
      <c r="AC208" s="18">
        <v>7</v>
      </c>
      <c r="AD208" s="63" t="s">
        <v>68</v>
      </c>
      <c r="AE208" s="12">
        <f>+'Form20 '!H209</f>
        <v>0</v>
      </c>
      <c r="AF208" s="18">
        <v>8</v>
      </c>
      <c r="AG208" s="63" t="s">
        <v>69</v>
      </c>
      <c r="AH208" s="12">
        <f>+'Form20 '!I209</f>
        <v>2</v>
      </c>
      <c r="AI208" s="18">
        <v>9</v>
      </c>
      <c r="AJ208" s="65" t="s">
        <v>70</v>
      </c>
      <c r="AK208" s="12">
        <f>+'Form20 '!J209</f>
        <v>0</v>
      </c>
      <c r="AL208" s="18">
        <v>10</v>
      </c>
      <c r="AM208" s="66" t="s">
        <v>30</v>
      </c>
      <c r="AN208" s="12">
        <f>+'Form20 '!K209</f>
        <v>0</v>
      </c>
      <c r="AO208" s="18">
        <v>11</v>
      </c>
      <c r="AP208" s="66" t="s">
        <v>30</v>
      </c>
      <c r="AQ208" s="12">
        <f>+'Form20 '!L209</f>
        <v>1</v>
      </c>
      <c r="AR208" s="18">
        <v>12</v>
      </c>
      <c r="AS208" s="66" t="s">
        <v>30</v>
      </c>
      <c r="AT208" s="12">
        <f>+'Form20 '!M209</f>
        <v>1</v>
      </c>
      <c r="AU208" s="18">
        <v>13</v>
      </c>
      <c r="AV208" s="66" t="s">
        <v>30</v>
      </c>
      <c r="AW208" s="12">
        <f>+'Form20 '!N209</f>
        <v>1</v>
      </c>
      <c r="AX208" s="18">
        <v>14</v>
      </c>
      <c r="AY208" s="66" t="s">
        <v>30</v>
      </c>
      <c r="AZ208" s="12">
        <f>+'Form20 '!O209</f>
        <v>1</v>
      </c>
      <c r="BA208" s="75">
        <f t="shared" si="7"/>
        <v>388</v>
      </c>
    </row>
    <row r="209" spans="1:53" s="67" customFormat="1" ht="59.25" customHeight="1">
      <c r="A209" s="18">
        <v>333</v>
      </c>
      <c r="B209" s="59">
        <v>203</v>
      </c>
      <c r="C209" s="76" t="s">
        <v>280</v>
      </c>
      <c r="D209" s="61">
        <v>677</v>
      </c>
      <c r="E209" s="61">
        <v>182</v>
      </c>
      <c r="F209" s="61">
        <v>241</v>
      </c>
      <c r="G209" s="55">
        <v>0</v>
      </c>
      <c r="H209" s="62">
        <f t="shared" si="6"/>
        <v>423</v>
      </c>
      <c r="I209" s="55">
        <v>32</v>
      </c>
      <c r="J209" s="29">
        <v>0</v>
      </c>
      <c r="K209" s="18">
        <v>1</v>
      </c>
      <c r="L209" s="63" t="s">
        <v>29</v>
      </c>
      <c r="M209" s="12">
        <f>+'Form20 '!B210</f>
        <v>256</v>
      </c>
      <c r="N209" s="18">
        <v>2</v>
      </c>
      <c r="O209" s="58" t="s">
        <v>24</v>
      </c>
      <c r="P209" s="12">
        <f>+'Form20 '!C210</f>
        <v>30</v>
      </c>
      <c r="Q209" s="18">
        <v>3</v>
      </c>
      <c r="R209" s="63" t="s">
        <v>28</v>
      </c>
      <c r="S209" s="12">
        <f>+'Form20 '!D210</f>
        <v>118</v>
      </c>
      <c r="T209" s="18">
        <v>4</v>
      </c>
      <c r="U209" s="64" t="s">
        <v>65</v>
      </c>
      <c r="V209" s="12">
        <f>+'Form20 '!E210</f>
        <v>3</v>
      </c>
      <c r="W209" s="18">
        <v>5</v>
      </c>
      <c r="X209" s="58" t="s">
        <v>66</v>
      </c>
      <c r="Y209" s="12">
        <f>+'Form20 '!F210</f>
        <v>1</v>
      </c>
      <c r="Z209" s="18">
        <v>6</v>
      </c>
      <c r="AA209" s="64" t="s">
        <v>67</v>
      </c>
      <c r="AB209" s="12">
        <f>+'Form20 '!G210</f>
        <v>0</v>
      </c>
      <c r="AC209" s="18">
        <v>7</v>
      </c>
      <c r="AD209" s="63" t="s">
        <v>68</v>
      </c>
      <c r="AE209" s="12">
        <f>+'Form20 '!H210</f>
        <v>1</v>
      </c>
      <c r="AF209" s="18">
        <v>8</v>
      </c>
      <c r="AG209" s="63" t="s">
        <v>69</v>
      </c>
      <c r="AH209" s="12">
        <f>+'Form20 '!I210</f>
        <v>8</v>
      </c>
      <c r="AI209" s="18">
        <v>9</v>
      </c>
      <c r="AJ209" s="65" t="s">
        <v>70</v>
      </c>
      <c r="AK209" s="12">
        <f>+'Form20 '!J210</f>
        <v>2</v>
      </c>
      <c r="AL209" s="18">
        <v>10</v>
      </c>
      <c r="AM209" s="66" t="s">
        <v>30</v>
      </c>
      <c r="AN209" s="12">
        <f>+'Form20 '!K210</f>
        <v>0</v>
      </c>
      <c r="AO209" s="18">
        <v>11</v>
      </c>
      <c r="AP209" s="66" t="s">
        <v>30</v>
      </c>
      <c r="AQ209" s="12">
        <f>+'Form20 '!L210</f>
        <v>0</v>
      </c>
      <c r="AR209" s="18">
        <v>12</v>
      </c>
      <c r="AS209" s="66" t="s">
        <v>30</v>
      </c>
      <c r="AT209" s="12">
        <f>+'Form20 '!M210</f>
        <v>0</v>
      </c>
      <c r="AU209" s="18">
        <v>13</v>
      </c>
      <c r="AV209" s="66" t="s">
        <v>30</v>
      </c>
      <c r="AW209" s="12">
        <f>+'Form20 '!N210</f>
        <v>1</v>
      </c>
      <c r="AX209" s="18">
        <v>14</v>
      </c>
      <c r="AY209" s="66" t="s">
        <v>30</v>
      </c>
      <c r="AZ209" s="12">
        <f>+'Form20 '!O210</f>
        <v>2</v>
      </c>
      <c r="BA209" s="75">
        <f t="shared" si="7"/>
        <v>422</v>
      </c>
    </row>
    <row r="210" spans="1:53" s="67" customFormat="1" ht="59.25" customHeight="1">
      <c r="A210" s="18">
        <v>333</v>
      </c>
      <c r="B210" s="59">
        <v>204</v>
      </c>
      <c r="C210" s="76" t="s">
        <v>281</v>
      </c>
      <c r="D210" s="61">
        <v>1136</v>
      </c>
      <c r="E210" s="61">
        <v>337</v>
      </c>
      <c r="F210" s="61">
        <v>325</v>
      </c>
      <c r="G210" s="55">
        <v>0</v>
      </c>
      <c r="H210" s="62">
        <f t="shared" si="6"/>
        <v>662</v>
      </c>
      <c r="I210" s="55">
        <v>90</v>
      </c>
      <c r="J210" s="29">
        <v>0</v>
      </c>
      <c r="K210" s="18">
        <v>1</v>
      </c>
      <c r="L210" s="63" t="s">
        <v>29</v>
      </c>
      <c r="M210" s="12">
        <f>+'Form20 '!B211</f>
        <v>275</v>
      </c>
      <c r="N210" s="18">
        <v>2</v>
      </c>
      <c r="O210" s="58" t="s">
        <v>24</v>
      </c>
      <c r="P210" s="12">
        <f>+'Form20 '!C211</f>
        <v>50</v>
      </c>
      <c r="Q210" s="18">
        <v>3</v>
      </c>
      <c r="R210" s="63" t="s">
        <v>28</v>
      </c>
      <c r="S210" s="12">
        <f>+'Form20 '!D211</f>
        <v>320</v>
      </c>
      <c r="T210" s="18">
        <v>4</v>
      </c>
      <c r="U210" s="64" t="s">
        <v>65</v>
      </c>
      <c r="V210" s="12">
        <f>+'Form20 '!E211</f>
        <v>3</v>
      </c>
      <c r="W210" s="18">
        <v>5</v>
      </c>
      <c r="X210" s="58" t="s">
        <v>66</v>
      </c>
      <c r="Y210" s="12">
        <f>+'Form20 '!F211</f>
        <v>0</v>
      </c>
      <c r="Z210" s="18">
        <v>6</v>
      </c>
      <c r="AA210" s="64" t="s">
        <v>67</v>
      </c>
      <c r="AB210" s="12">
        <f>+'Form20 '!G211</f>
        <v>0</v>
      </c>
      <c r="AC210" s="18">
        <v>7</v>
      </c>
      <c r="AD210" s="63" t="s">
        <v>68</v>
      </c>
      <c r="AE210" s="12">
        <f>+'Form20 '!H211</f>
        <v>0</v>
      </c>
      <c r="AF210" s="18">
        <v>8</v>
      </c>
      <c r="AG210" s="63" t="s">
        <v>69</v>
      </c>
      <c r="AH210" s="12">
        <f>+'Form20 '!I211</f>
        <v>0</v>
      </c>
      <c r="AI210" s="18">
        <v>9</v>
      </c>
      <c r="AJ210" s="65" t="s">
        <v>70</v>
      </c>
      <c r="AK210" s="12">
        <f>+'Form20 '!J211</f>
        <v>5</v>
      </c>
      <c r="AL210" s="18">
        <v>10</v>
      </c>
      <c r="AM210" s="66" t="s">
        <v>30</v>
      </c>
      <c r="AN210" s="12">
        <f>+'Form20 '!K211</f>
        <v>2</v>
      </c>
      <c r="AO210" s="18">
        <v>11</v>
      </c>
      <c r="AP210" s="66" t="s">
        <v>30</v>
      </c>
      <c r="AQ210" s="12">
        <f>+'Form20 '!L211</f>
        <v>1</v>
      </c>
      <c r="AR210" s="18">
        <v>12</v>
      </c>
      <c r="AS210" s="66" t="s">
        <v>30</v>
      </c>
      <c r="AT210" s="12">
        <f>+'Form20 '!M211</f>
        <v>1</v>
      </c>
      <c r="AU210" s="18">
        <v>13</v>
      </c>
      <c r="AV210" s="66" t="s">
        <v>30</v>
      </c>
      <c r="AW210" s="12">
        <f>+'Form20 '!N211</f>
        <v>1</v>
      </c>
      <c r="AX210" s="18">
        <v>14</v>
      </c>
      <c r="AY210" s="66" t="s">
        <v>30</v>
      </c>
      <c r="AZ210" s="12">
        <f>+'Form20 '!O211</f>
        <v>1</v>
      </c>
      <c r="BA210" s="75">
        <f t="shared" si="7"/>
        <v>659</v>
      </c>
    </row>
    <row r="211" spans="1:53" s="67" customFormat="1" ht="59.25" customHeight="1">
      <c r="A211" s="18">
        <v>333</v>
      </c>
      <c r="B211" s="59">
        <v>205</v>
      </c>
      <c r="C211" s="76" t="s">
        <v>282</v>
      </c>
      <c r="D211" s="61">
        <v>967</v>
      </c>
      <c r="E211" s="61">
        <v>217</v>
      </c>
      <c r="F211" s="61">
        <v>281</v>
      </c>
      <c r="G211" s="55">
        <v>0</v>
      </c>
      <c r="H211" s="62">
        <f t="shared" si="6"/>
        <v>498</v>
      </c>
      <c r="I211" s="55">
        <v>50</v>
      </c>
      <c r="J211" s="29">
        <v>0</v>
      </c>
      <c r="K211" s="18">
        <v>1</v>
      </c>
      <c r="L211" s="63" t="s">
        <v>29</v>
      </c>
      <c r="M211" s="12">
        <f>+'Form20 '!B212</f>
        <v>184</v>
      </c>
      <c r="N211" s="18">
        <v>2</v>
      </c>
      <c r="O211" s="58" t="s">
        <v>24</v>
      </c>
      <c r="P211" s="12">
        <f>+'Form20 '!C212</f>
        <v>14</v>
      </c>
      <c r="Q211" s="18">
        <v>3</v>
      </c>
      <c r="R211" s="63" t="s">
        <v>28</v>
      </c>
      <c r="S211" s="12">
        <f>+'Form20 '!D212</f>
        <v>271</v>
      </c>
      <c r="T211" s="18">
        <v>4</v>
      </c>
      <c r="U211" s="64" t="s">
        <v>65</v>
      </c>
      <c r="V211" s="12">
        <f>+'Form20 '!E212</f>
        <v>4</v>
      </c>
      <c r="W211" s="18">
        <v>5</v>
      </c>
      <c r="X211" s="58" t="s">
        <v>66</v>
      </c>
      <c r="Y211" s="12">
        <f>+'Form20 '!F212</f>
        <v>0</v>
      </c>
      <c r="Z211" s="18">
        <v>6</v>
      </c>
      <c r="AA211" s="64" t="s">
        <v>67</v>
      </c>
      <c r="AB211" s="12">
        <f>+'Form20 '!G212</f>
        <v>0</v>
      </c>
      <c r="AC211" s="18">
        <v>7</v>
      </c>
      <c r="AD211" s="63" t="s">
        <v>68</v>
      </c>
      <c r="AE211" s="12">
        <f>+'Form20 '!H212</f>
        <v>0</v>
      </c>
      <c r="AF211" s="18">
        <v>8</v>
      </c>
      <c r="AG211" s="63" t="s">
        <v>69</v>
      </c>
      <c r="AH211" s="12">
        <f>+'Form20 '!I212</f>
        <v>0</v>
      </c>
      <c r="AI211" s="18">
        <v>9</v>
      </c>
      <c r="AJ211" s="65" t="s">
        <v>70</v>
      </c>
      <c r="AK211" s="12">
        <f>+'Form20 '!J212</f>
        <v>23</v>
      </c>
      <c r="AL211" s="18">
        <v>10</v>
      </c>
      <c r="AM211" s="66" t="s">
        <v>30</v>
      </c>
      <c r="AN211" s="12">
        <f>+'Form20 '!K212</f>
        <v>0</v>
      </c>
      <c r="AO211" s="18">
        <v>11</v>
      </c>
      <c r="AP211" s="66" t="s">
        <v>30</v>
      </c>
      <c r="AQ211" s="12">
        <f>+'Form20 '!L212</f>
        <v>0</v>
      </c>
      <c r="AR211" s="18">
        <v>12</v>
      </c>
      <c r="AS211" s="66" t="s">
        <v>30</v>
      </c>
      <c r="AT211" s="12">
        <f>+'Form20 '!M212</f>
        <v>2</v>
      </c>
      <c r="AU211" s="18">
        <v>13</v>
      </c>
      <c r="AV211" s="66" t="s">
        <v>30</v>
      </c>
      <c r="AW211" s="12">
        <f>+'Form20 '!N212</f>
        <v>0</v>
      </c>
      <c r="AX211" s="18">
        <v>14</v>
      </c>
      <c r="AY211" s="66" t="s">
        <v>30</v>
      </c>
      <c r="AZ211" s="12">
        <f>+'Form20 '!O212</f>
        <v>0</v>
      </c>
      <c r="BA211" s="75">
        <f t="shared" si="7"/>
        <v>498</v>
      </c>
    </row>
    <row r="212" spans="1:53" s="67" customFormat="1" ht="59.25" customHeight="1">
      <c r="A212" s="18">
        <v>333</v>
      </c>
      <c r="B212" s="59">
        <v>206</v>
      </c>
      <c r="C212" s="76" t="s">
        <v>283</v>
      </c>
      <c r="D212" s="61">
        <v>639</v>
      </c>
      <c r="E212" s="61">
        <v>178</v>
      </c>
      <c r="F212" s="61">
        <v>203</v>
      </c>
      <c r="G212" s="55">
        <v>0</v>
      </c>
      <c r="H212" s="62">
        <f t="shared" si="6"/>
        <v>381</v>
      </c>
      <c r="I212" s="55">
        <v>180</v>
      </c>
      <c r="J212" s="29">
        <v>0</v>
      </c>
      <c r="K212" s="18">
        <v>1</v>
      </c>
      <c r="L212" s="63" t="s">
        <v>29</v>
      </c>
      <c r="M212" s="12">
        <f>+'Form20 '!B213</f>
        <v>174</v>
      </c>
      <c r="N212" s="18">
        <v>2</v>
      </c>
      <c r="O212" s="58" t="s">
        <v>24</v>
      </c>
      <c r="P212" s="12">
        <f>+'Form20 '!C213</f>
        <v>8</v>
      </c>
      <c r="Q212" s="18">
        <v>3</v>
      </c>
      <c r="R212" s="63" t="s">
        <v>28</v>
      </c>
      <c r="S212" s="12">
        <f>+'Form20 '!D213</f>
        <v>167</v>
      </c>
      <c r="T212" s="18">
        <v>4</v>
      </c>
      <c r="U212" s="64" t="s">
        <v>65</v>
      </c>
      <c r="V212" s="12">
        <f>+'Form20 '!E213</f>
        <v>0</v>
      </c>
      <c r="W212" s="18">
        <v>5</v>
      </c>
      <c r="X212" s="58" t="s">
        <v>66</v>
      </c>
      <c r="Y212" s="12">
        <f>+'Form20 '!F213</f>
        <v>0</v>
      </c>
      <c r="Z212" s="18">
        <v>6</v>
      </c>
      <c r="AA212" s="64" t="s">
        <v>67</v>
      </c>
      <c r="AB212" s="12">
        <f>+'Form20 '!G213</f>
        <v>0</v>
      </c>
      <c r="AC212" s="18">
        <v>7</v>
      </c>
      <c r="AD212" s="63" t="s">
        <v>68</v>
      </c>
      <c r="AE212" s="12">
        <f>+'Form20 '!H213</f>
        <v>0</v>
      </c>
      <c r="AF212" s="18">
        <v>8</v>
      </c>
      <c r="AG212" s="63" t="s">
        <v>69</v>
      </c>
      <c r="AH212" s="12">
        <f>+'Form20 '!I213</f>
        <v>0</v>
      </c>
      <c r="AI212" s="18">
        <v>9</v>
      </c>
      <c r="AJ212" s="65" t="s">
        <v>70</v>
      </c>
      <c r="AK212" s="12">
        <f>+'Form20 '!J213</f>
        <v>27</v>
      </c>
      <c r="AL212" s="18">
        <v>10</v>
      </c>
      <c r="AM212" s="66" t="s">
        <v>30</v>
      </c>
      <c r="AN212" s="12">
        <f>+'Form20 '!K213</f>
        <v>0</v>
      </c>
      <c r="AO212" s="18">
        <v>11</v>
      </c>
      <c r="AP212" s="66" t="s">
        <v>30</v>
      </c>
      <c r="AQ212" s="12">
        <f>+'Form20 '!L213</f>
        <v>0</v>
      </c>
      <c r="AR212" s="18">
        <v>12</v>
      </c>
      <c r="AS212" s="66" t="s">
        <v>30</v>
      </c>
      <c r="AT212" s="12">
        <f>+'Form20 '!M213</f>
        <v>1</v>
      </c>
      <c r="AU212" s="18">
        <v>13</v>
      </c>
      <c r="AV212" s="66" t="s">
        <v>30</v>
      </c>
      <c r="AW212" s="12">
        <f>+'Form20 '!N213</f>
        <v>1</v>
      </c>
      <c r="AX212" s="18">
        <v>14</v>
      </c>
      <c r="AY212" s="66" t="s">
        <v>30</v>
      </c>
      <c r="AZ212" s="12">
        <f>+'Form20 '!O213</f>
        <v>1</v>
      </c>
      <c r="BA212" s="75">
        <f t="shared" si="7"/>
        <v>379</v>
      </c>
    </row>
    <row r="213" spans="1:53" s="67" customFormat="1" ht="59.25" customHeight="1">
      <c r="A213" s="18">
        <v>333</v>
      </c>
      <c r="B213" s="59">
        <v>207</v>
      </c>
      <c r="C213" s="76" t="s">
        <v>284</v>
      </c>
      <c r="D213" s="61">
        <v>538</v>
      </c>
      <c r="E213" s="61">
        <v>163</v>
      </c>
      <c r="F213" s="61">
        <v>208</v>
      </c>
      <c r="G213" s="55">
        <v>0</v>
      </c>
      <c r="H213" s="62">
        <f t="shared" si="6"/>
        <v>371</v>
      </c>
      <c r="I213" s="55">
        <v>34</v>
      </c>
      <c r="J213" s="29">
        <v>0</v>
      </c>
      <c r="K213" s="18">
        <v>1</v>
      </c>
      <c r="L213" s="63" t="s">
        <v>29</v>
      </c>
      <c r="M213" s="12">
        <f>+'Form20 '!B214</f>
        <v>174</v>
      </c>
      <c r="N213" s="18">
        <v>2</v>
      </c>
      <c r="O213" s="58" t="s">
        <v>24</v>
      </c>
      <c r="P213" s="12">
        <f>+'Form20 '!C214</f>
        <v>12</v>
      </c>
      <c r="Q213" s="18">
        <v>3</v>
      </c>
      <c r="R213" s="63" t="s">
        <v>28</v>
      </c>
      <c r="S213" s="12">
        <f>+'Form20 '!D214</f>
        <v>182</v>
      </c>
      <c r="T213" s="18">
        <v>4</v>
      </c>
      <c r="U213" s="64" t="s">
        <v>65</v>
      </c>
      <c r="V213" s="12">
        <f>+'Form20 '!E214</f>
        <v>1</v>
      </c>
      <c r="W213" s="18">
        <v>5</v>
      </c>
      <c r="X213" s="58" t="s">
        <v>66</v>
      </c>
      <c r="Y213" s="12">
        <f>+'Form20 '!F214</f>
        <v>0</v>
      </c>
      <c r="Z213" s="18">
        <v>6</v>
      </c>
      <c r="AA213" s="64" t="s">
        <v>67</v>
      </c>
      <c r="AB213" s="12">
        <f>+'Form20 '!G214</f>
        <v>0</v>
      </c>
      <c r="AC213" s="18">
        <v>7</v>
      </c>
      <c r="AD213" s="63" t="s">
        <v>68</v>
      </c>
      <c r="AE213" s="12">
        <f>+'Form20 '!H214</f>
        <v>0</v>
      </c>
      <c r="AF213" s="18">
        <v>8</v>
      </c>
      <c r="AG213" s="63" t="s">
        <v>69</v>
      </c>
      <c r="AH213" s="12">
        <f>+'Form20 '!I214</f>
        <v>0</v>
      </c>
      <c r="AI213" s="18">
        <v>9</v>
      </c>
      <c r="AJ213" s="65" t="s">
        <v>70</v>
      </c>
      <c r="AK213" s="12">
        <f>+'Form20 '!J214</f>
        <v>1</v>
      </c>
      <c r="AL213" s="18">
        <v>10</v>
      </c>
      <c r="AM213" s="66" t="s">
        <v>30</v>
      </c>
      <c r="AN213" s="12">
        <f>+'Form20 '!K214</f>
        <v>0</v>
      </c>
      <c r="AO213" s="18">
        <v>11</v>
      </c>
      <c r="AP213" s="66" t="s">
        <v>30</v>
      </c>
      <c r="AQ213" s="12">
        <f>+'Form20 '!L214</f>
        <v>0</v>
      </c>
      <c r="AR213" s="18">
        <v>12</v>
      </c>
      <c r="AS213" s="66" t="s">
        <v>30</v>
      </c>
      <c r="AT213" s="12">
        <f>+'Form20 '!M214</f>
        <v>1</v>
      </c>
      <c r="AU213" s="18">
        <v>13</v>
      </c>
      <c r="AV213" s="66" t="s">
        <v>30</v>
      </c>
      <c r="AW213" s="12">
        <f>+'Form20 '!N214</f>
        <v>0</v>
      </c>
      <c r="AX213" s="18">
        <v>14</v>
      </c>
      <c r="AY213" s="66" t="s">
        <v>30</v>
      </c>
      <c r="AZ213" s="12">
        <f>+'Form20 '!O214</f>
        <v>0</v>
      </c>
      <c r="BA213" s="75">
        <f t="shared" si="7"/>
        <v>371</v>
      </c>
    </row>
    <row r="214" spans="1:53" s="67" customFormat="1" ht="59.25" customHeight="1">
      <c r="A214" s="18">
        <v>333</v>
      </c>
      <c r="B214" s="59">
        <v>208</v>
      </c>
      <c r="C214" s="76" t="s">
        <v>285</v>
      </c>
      <c r="D214" s="61">
        <v>1096</v>
      </c>
      <c r="E214" s="61">
        <v>249</v>
      </c>
      <c r="F214" s="61">
        <v>364</v>
      </c>
      <c r="G214" s="55">
        <v>0</v>
      </c>
      <c r="H214" s="62">
        <f t="shared" si="6"/>
        <v>613</v>
      </c>
      <c r="I214" s="55">
        <v>40</v>
      </c>
      <c r="J214" s="29">
        <v>0</v>
      </c>
      <c r="K214" s="18">
        <v>1</v>
      </c>
      <c r="L214" s="63" t="s">
        <v>29</v>
      </c>
      <c r="M214" s="12">
        <f>+'Form20 '!B215</f>
        <v>235</v>
      </c>
      <c r="N214" s="18">
        <v>2</v>
      </c>
      <c r="O214" s="58" t="s">
        <v>24</v>
      </c>
      <c r="P214" s="12">
        <f>+'Form20 '!C215</f>
        <v>4</v>
      </c>
      <c r="Q214" s="18">
        <v>3</v>
      </c>
      <c r="R214" s="63" t="s">
        <v>28</v>
      </c>
      <c r="S214" s="12">
        <f>+'Form20 '!D215</f>
        <v>346</v>
      </c>
      <c r="T214" s="18">
        <v>4</v>
      </c>
      <c r="U214" s="64" t="s">
        <v>65</v>
      </c>
      <c r="V214" s="12">
        <f>+'Form20 '!E215</f>
        <v>3</v>
      </c>
      <c r="W214" s="18">
        <v>5</v>
      </c>
      <c r="X214" s="58" t="s">
        <v>66</v>
      </c>
      <c r="Y214" s="12">
        <f>+'Form20 '!F215</f>
        <v>0</v>
      </c>
      <c r="Z214" s="18">
        <v>6</v>
      </c>
      <c r="AA214" s="64" t="s">
        <v>67</v>
      </c>
      <c r="AB214" s="12">
        <f>+'Form20 '!G215</f>
        <v>0</v>
      </c>
      <c r="AC214" s="18">
        <v>7</v>
      </c>
      <c r="AD214" s="63" t="s">
        <v>68</v>
      </c>
      <c r="AE214" s="12">
        <f>+'Form20 '!H215</f>
        <v>1</v>
      </c>
      <c r="AF214" s="18">
        <v>8</v>
      </c>
      <c r="AG214" s="63" t="s">
        <v>69</v>
      </c>
      <c r="AH214" s="12">
        <f>+'Form20 '!I215</f>
        <v>0</v>
      </c>
      <c r="AI214" s="18">
        <v>9</v>
      </c>
      <c r="AJ214" s="65" t="s">
        <v>70</v>
      </c>
      <c r="AK214" s="12">
        <f>+'Form20 '!J215</f>
        <v>15</v>
      </c>
      <c r="AL214" s="18">
        <v>10</v>
      </c>
      <c r="AM214" s="66" t="s">
        <v>30</v>
      </c>
      <c r="AN214" s="12">
        <f>+'Form20 '!K215</f>
        <v>0</v>
      </c>
      <c r="AO214" s="18">
        <v>11</v>
      </c>
      <c r="AP214" s="66" t="s">
        <v>30</v>
      </c>
      <c r="AQ214" s="12">
        <f>+'Form20 '!L215</f>
        <v>2</v>
      </c>
      <c r="AR214" s="18">
        <v>12</v>
      </c>
      <c r="AS214" s="66" t="s">
        <v>30</v>
      </c>
      <c r="AT214" s="12">
        <f>+'Form20 '!M215</f>
        <v>1</v>
      </c>
      <c r="AU214" s="18">
        <v>13</v>
      </c>
      <c r="AV214" s="66" t="s">
        <v>30</v>
      </c>
      <c r="AW214" s="12">
        <f>+'Form20 '!N215</f>
        <v>2</v>
      </c>
      <c r="AX214" s="18">
        <v>14</v>
      </c>
      <c r="AY214" s="66" t="s">
        <v>30</v>
      </c>
      <c r="AZ214" s="12">
        <f>+'Form20 '!O215</f>
        <v>1</v>
      </c>
      <c r="BA214" s="75">
        <f t="shared" si="7"/>
        <v>610</v>
      </c>
    </row>
    <row r="215" spans="1:53" s="67" customFormat="1" ht="59.25" customHeight="1">
      <c r="A215" s="18">
        <v>333</v>
      </c>
      <c r="B215" s="59">
        <v>209</v>
      </c>
      <c r="C215" s="76" t="s">
        <v>286</v>
      </c>
      <c r="D215" s="61">
        <v>491</v>
      </c>
      <c r="E215" s="61">
        <v>139</v>
      </c>
      <c r="F215" s="61">
        <v>196</v>
      </c>
      <c r="G215" s="55">
        <v>0</v>
      </c>
      <c r="H215" s="62">
        <f t="shared" si="6"/>
        <v>335</v>
      </c>
      <c r="I215" s="55">
        <v>12</v>
      </c>
      <c r="J215" s="29">
        <v>0</v>
      </c>
      <c r="K215" s="18">
        <v>1</v>
      </c>
      <c r="L215" s="63" t="s">
        <v>29</v>
      </c>
      <c r="M215" s="12">
        <f>+'Form20 '!B216</f>
        <v>303</v>
      </c>
      <c r="N215" s="18">
        <v>2</v>
      </c>
      <c r="O215" s="58" t="s">
        <v>24</v>
      </c>
      <c r="P215" s="12">
        <f>+'Form20 '!C216</f>
        <v>3</v>
      </c>
      <c r="Q215" s="18">
        <v>3</v>
      </c>
      <c r="R215" s="63" t="s">
        <v>28</v>
      </c>
      <c r="S215" s="12">
        <f>+'Form20 '!D216</f>
        <v>25</v>
      </c>
      <c r="T215" s="18">
        <v>4</v>
      </c>
      <c r="U215" s="64" t="s">
        <v>65</v>
      </c>
      <c r="V215" s="12">
        <f>+'Form20 '!E216</f>
        <v>2</v>
      </c>
      <c r="W215" s="18">
        <v>5</v>
      </c>
      <c r="X215" s="58" t="s">
        <v>66</v>
      </c>
      <c r="Y215" s="12">
        <f>+'Form20 '!F216</f>
        <v>0</v>
      </c>
      <c r="Z215" s="18">
        <v>6</v>
      </c>
      <c r="AA215" s="64" t="s">
        <v>67</v>
      </c>
      <c r="AB215" s="12">
        <f>+'Form20 '!G216</f>
        <v>0</v>
      </c>
      <c r="AC215" s="18">
        <v>7</v>
      </c>
      <c r="AD215" s="63" t="s">
        <v>68</v>
      </c>
      <c r="AE215" s="12">
        <f>+'Form20 '!H216</f>
        <v>1</v>
      </c>
      <c r="AF215" s="18">
        <v>8</v>
      </c>
      <c r="AG215" s="63" t="s">
        <v>69</v>
      </c>
      <c r="AH215" s="12">
        <f>+'Form20 '!I216</f>
        <v>1</v>
      </c>
      <c r="AI215" s="18">
        <v>9</v>
      </c>
      <c r="AJ215" s="65" t="s">
        <v>70</v>
      </c>
      <c r="AK215" s="12">
        <f>+'Form20 '!J216</f>
        <v>0</v>
      </c>
      <c r="AL215" s="18">
        <v>10</v>
      </c>
      <c r="AM215" s="66" t="s">
        <v>30</v>
      </c>
      <c r="AN215" s="12">
        <f>+'Form20 '!K216</f>
        <v>0</v>
      </c>
      <c r="AO215" s="18">
        <v>11</v>
      </c>
      <c r="AP215" s="66" t="s">
        <v>30</v>
      </c>
      <c r="AQ215" s="12">
        <f>+'Form20 '!L216</f>
        <v>0</v>
      </c>
      <c r="AR215" s="18">
        <v>12</v>
      </c>
      <c r="AS215" s="66" t="s">
        <v>30</v>
      </c>
      <c r="AT215" s="12">
        <f>+'Form20 '!M216</f>
        <v>0</v>
      </c>
      <c r="AU215" s="18">
        <v>13</v>
      </c>
      <c r="AV215" s="66" t="s">
        <v>30</v>
      </c>
      <c r="AW215" s="12">
        <f>+'Form20 '!N216</f>
        <v>0</v>
      </c>
      <c r="AX215" s="18">
        <v>14</v>
      </c>
      <c r="AY215" s="66" t="s">
        <v>30</v>
      </c>
      <c r="AZ215" s="12">
        <f>+'Form20 '!O216</f>
        <v>0</v>
      </c>
      <c r="BA215" s="75">
        <f t="shared" si="7"/>
        <v>335</v>
      </c>
    </row>
    <row r="216" spans="1:53" s="67" customFormat="1" ht="59.25" customHeight="1">
      <c r="A216" s="18">
        <v>333</v>
      </c>
      <c r="B216" s="59">
        <v>210</v>
      </c>
      <c r="C216" s="76" t="s">
        <v>287</v>
      </c>
      <c r="D216" s="61">
        <v>712</v>
      </c>
      <c r="E216" s="61">
        <v>172</v>
      </c>
      <c r="F216" s="61">
        <v>262</v>
      </c>
      <c r="G216" s="55">
        <v>0</v>
      </c>
      <c r="H216" s="62">
        <f t="shared" si="6"/>
        <v>434</v>
      </c>
      <c r="I216" s="55">
        <v>29</v>
      </c>
      <c r="J216" s="29">
        <v>0</v>
      </c>
      <c r="K216" s="18">
        <v>1</v>
      </c>
      <c r="L216" s="63" t="s">
        <v>29</v>
      </c>
      <c r="M216" s="12">
        <f>+'Form20 '!B217</f>
        <v>210</v>
      </c>
      <c r="N216" s="18">
        <v>2</v>
      </c>
      <c r="O216" s="58" t="s">
        <v>24</v>
      </c>
      <c r="P216" s="12">
        <f>+'Form20 '!C217</f>
        <v>6</v>
      </c>
      <c r="Q216" s="18">
        <v>3</v>
      </c>
      <c r="R216" s="63" t="s">
        <v>28</v>
      </c>
      <c r="S216" s="12">
        <f>+'Form20 '!D217</f>
        <v>206</v>
      </c>
      <c r="T216" s="18">
        <v>4</v>
      </c>
      <c r="U216" s="64" t="s">
        <v>65</v>
      </c>
      <c r="V216" s="12">
        <f>+'Form20 '!E217</f>
        <v>1</v>
      </c>
      <c r="W216" s="18">
        <v>5</v>
      </c>
      <c r="X216" s="58" t="s">
        <v>66</v>
      </c>
      <c r="Y216" s="12">
        <f>+'Form20 '!F217</f>
        <v>0</v>
      </c>
      <c r="Z216" s="18">
        <v>6</v>
      </c>
      <c r="AA216" s="64" t="s">
        <v>67</v>
      </c>
      <c r="AB216" s="12">
        <f>+'Form20 '!G217</f>
        <v>0</v>
      </c>
      <c r="AC216" s="18">
        <v>7</v>
      </c>
      <c r="AD216" s="63" t="s">
        <v>68</v>
      </c>
      <c r="AE216" s="12">
        <f>+'Form20 '!H217</f>
        <v>1</v>
      </c>
      <c r="AF216" s="18">
        <v>8</v>
      </c>
      <c r="AG216" s="63" t="s">
        <v>69</v>
      </c>
      <c r="AH216" s="12">
        <f>+'Form20 '!I217</f>
        <v>0</v>
      </c>
      <c r="AI216" s="18">
        <v>9</v>
      </c>
      <c r="AJ216" s="65" t="s">
        <v>70</v>
      </c>
      <c r="AK216" s="12">
        <f>+'Form20 '!J217</f>
        <v>1</v>
      </c>
      <c r="AL216" s="18">
        <v>10</v>
      </c>
      <c r="AM216" s="66" t="s">
        <v>30</v>
      </c>
      <c r="AN216" s="12">
        <f>+'Form20 '!K217</f>
        <v>0</v>
      </c>
      <c r="AO216" s="18">
        <v>11</v>
      </c>
      <c r="AP216" s="66" t="s">
        <v>30</v>
      </c>
      <c r="AQ216" s="12">
        <f>+'Form20 '!L217</f>
        <v>1</v>
      </c>
      <c r="AR216" s="18">
        <v>12</v>
      </c>
      <c r="AS216" s="66" t="s">
        <v>30</v>
      </c>
      <c r="AT216" s="12">
        <f>+'Form20 '!M217</f>
        <v>1</v>
      </c>
      <c r="AU216" s="18">
        <v>13</v>
      </c>
      <c r="AV216" s="66" t="s">
        <v>30</v>
      </c>
      <c r="AW216" s="12">
        <f>+'Form20 '!N217</f>
        <v>1</v>
      </c>
      <c r="AX216" s="18">
        <v>14</v>
      </c>
      <c r="AY216" s="66" t="s">
        <v>30</v>
      </c>
      <c r="AZ216" s="12">
        <f>+'Form20 '!O217</f>
        <v>4</v>
      </c>
      <c r="BA216" s="75">
        <f t="shared" si="7"/>
        <v>432</v>
      </c>
    </row>
    <row r="217" spans="1:53" s="67" customFormat="1" ht="59.25" customHeight="1">
      <c r="A217" s="18">
        <v>333</v>
      </c>
      <c r="B217" s="59">
        <v>211</v>
      </c>
      <c r="C217" s="76" t="s">
        <v>288</v>
      </c>
      <c r="D217" s="61">
        <v>678</v>
      </c>
      <c r="E217" s="61">
        <v>178</v>
      </c>
      <c r="F217" s="61">
        <v>235</v>
      </c>
      <c r="G217" s="55">
        <v>0</v>
      </c>
      <c r="H217" s="62">
        <f t="shared" si="6"/>
        <v>413</v>
      </c>
      <c r="I217" s="55">
        <v>41</v>
      </c>
      <c r="J217" s="29">
        <v>0</v>
      </c>
      <c r="K217" s="18">
        <v>1</v>
      </c>
      <c r="L217" s="63" t="s">
        <v>29</v>
      </c>
      <c r="M217" s="12">
        <f>+'Form20 '!B218</f>
        <v>105</v>
      </c>
      <c r="N217" s="18">
        <v>2</v>
      </c>
      <c r="O217" s="58" t="s">
        <v>24</v>
      </c>
      <c r="P217" s="12">
        <f>+'Form20 '!C218</f>
        <v>11</v>
      </c>
      <c r="Q217" s="18">
        <v>3</v>
      </c>
      <c r="R217" s="63" t="s">
        <v>28</v>
      </c>
      <c r="S217" s="12">
        <f>+'Form20 '!D218</f>
        <v>285</v>
      </c>
      <c r="T217" s="18">
        <v>4</v>
      </c>
      <c r="U217" s="64" t="s">
        <v>65</v>
      </c>
      <c r="V217" s="12">
        <f>+'Form20 '!E218</f>
        <v>1</v>
      </c>
      <c r="W217" s="18">
        <v>5</v>
      </c>
      <c r="X217" s="58" t="s">
        <v>66</v>
      </c>
      <c r="Y217" s="12">
        <f>+'Form20 '!F218</f>
        <v>0</v>
      </c>
      <c r="Z217" s="18">
        <v>6</v>
      </c>
      <c r="AA217" s="64" t="s">
        <v>67</v>
      </c>
      <c r="AB217" s="12">
        <f>+'Form20 '!G218</f>
        <v>1</v>
      </c>
      <c r="AC217" s="18">
        <v>7</v>
      </c>
      <c r="AD217" s="63" t="s">
        <v>68</v>
      </c>
      <c r="AE217" s="12">
        <f>+'Form20 '!H218</f>
        <v>0</v>
      </c>
      <c r="AF217" s="18">
        <v>8</v>
      </c>
      <c r="AG217" s="63" t="s">
        <v>69</v>
      </c>
      <c r="AH217" s="12">
        <f>+'Form20 '!I218</f>
        <v>0</v>
      </c>
      <c r="AI217" s="18">
        <v>9</v>
      </c>
      <c r="AJ217" s="65" t="s">
        <v>70</v>
      </c>
      <c r="AK217" s="12">
        <f>+'Form20 '!J218</f>
        <v>5</v>
      </c>
      <c r="AL217" s="18">
        <v>10</v>
      </c>
      <c r="AM217" s="66" t="s">
        <v>30</v>
      </c>
      <c r="AN217" s="12">
        <f>+'Form20 '!K218</f>
        <v>1</v>
      </c>
      <c r="AO217" s="18">
        <v>11</v>
      </c>
      <c r="AP217" s="66" t="s">
        <v>30</v>
      </c>
      <c r="AQ217" s="12">
        <f>+'Form20 '!L218</f>
        <v>0</v>
      </c>
      <c r="AR217" s="18">
        <v>12</v>
      </c>
      <c r="AS217" s="66" t="s">
        <v>30</v>
      </c>
      <c r="AT217" s="12">
        <f>+'Form20 '!M218</f>
        <v>0</v>
      </c>
      <c r="AU217" s="18">
        <v>13</v>
      </c>
      <c r="AV217" s="66" t="s">
        <v>30</v>
      </c>
      <c r="AW217" s="12">
        <f>+'Form20 '!N218</f>
        <v>1</v>
      </c>
      <c r="AX217" s="18">
        <v>14</v>
      </c>
      <c r="AY217" s="66" t="s">
        <v>30</v>
      </c>
      <c r="AZ217" s="12">
        <f>+'Form20 '!O218</f>
        <v>0</v>
      </c>
      <c r="BA217" s="75">
        <f t="shared" si="7"/>
        <v>410</v>
      </c>
    </row>
    <row r="218" spans="1:53" s="67" customFormat="1" ht="59.25" customHeight="1">
      <c r="A218" s="18">
        <v>333</v>
      </c>
      <c r="B218" s="59">
        <v>212</v>
      </c>
      <c r="C218" s="76" t="s">
        <v>289</v>
      </c>
      <c r="D218" s="61">
        <v>844</v>
      </c>
      <c r="E218" s="61">
        <v>208</v>
      </c>
      <c r="F218" s="61">
        <v>262</v>
      </c>
      <c r="G218" s="55">
        <v>0</v>
      </c>
      <c r="H218" s="62">
        <f t="shared" si="6"/>
        <v>470</v>
      </c>
      <c r="I218" s="55">
        <v>37</v>
      </c>
      <c r="J218" s="29">
        <v>0</v>
      </c>
      <c r="K218" s="18">
        <v>1</v>
      </c>
      <c r="L218" s="63" t="s">
        <v>29</v>
      </c>
      <c r="M218" s="12">
        <f>+'Form20 '!B219</f>
        <v>190</v>
      </c>
      <c r="N218" s="18">
        <v>2</v>
      </c>
      <c r="O218" s="58" t="s">
        <v>24</v>
      </c>
      <c r="P218" s="12">
        <f>+'Form20 '!C219</f>
        <v>50</v>
      </c>
      <c r="Q218" s="18">
        <v>3</v>
      </c>
      <c r="R218" s="63" t="s">
        <v>28</v>
      </c>
      <c r="S218" s="12">
        <f>+'Form20 '!D219</f>
        <v>213</v>
      </c>
      <c r="T218" s="18">
        <v>4</v>
      </c>
      <c r="U218" s="64" t="s">
        <v>65</v>
      </c>
      <c r="V218" s="12">
        <f>+'Form20 '!E219</f>
        <v>3</v>
      </c>
      <c r="W218" s="18">
        <v>5</v>
      </c>
      <c r="X218" s="58" t="s">
        <v>66</v>
      </c>
      <c r="Y218" s="12">
        <f>+'Form20 '!F219</f>
        <v>0</v>
      </c>
      <c r="Z218" s="18">
        <v>6</v>
      </c>
      <c r="AA218" s="64" t="s">
        <v>67</v>
      </c>
      <c r="AB218" s="12">
        <f>+'Form20 '!G219</f>
        <v>0</v>
      </c>
      <c r="AC218" s="18">
        <v>7</v>
      </c>
      <c r="AD218" s="63" t="s">
        <v>68</v>
      </c>
      <c r="AE218" s="12">
        <f>+'Form20 '!H219</f>
        <v>1</v>
      </c>
      <c r="AF218" s="18">
        <v>8</v>
      </c>
      <c r="AG218" s="63" t="s">
        <v>69</v>
      </c>
      <c r="AH218" s="12">
        <f>+'Form20 '!I219</f>
        <v>0</v>
      </c>
      <c r="AI218" s="18">
        <v>9</v>
      </c>
      <c r="AJ218" s="65" t="s">
        <v>70</v>
      </c>
      <c r="AK218" s="12">
        <f>+'Form20 '!J219</f>
        <v>7</v>
      </c>
      <c r="AL218" s="18">
        <v>10</v>
      </c>
      <c r="AM218" s="66" t="s">
        <v>30</v>
      </c>
      <c r="AN218" s="12">
        <f>+'Form20 '!K219</f>
        <v>0</v>
      </c>
      <c r="AO218" s="18">
        <v>11</v>
      </c>
      <c r="AP218" s="66" t="s">
        <v>30</v>
      </c>
      <c r="AQ218" s="12">
        <f>+'Form20 '!L219</f>
        <v>0</v>
      </c>
      <c r="AR218" s="18">
        <v>12</v>
      </c>
      <c r="AS218" s="66" t="s">
        <v>30</v>
      </c>
      <c r="AT218" s="12">
        <f>+'Form20 '!M219</f>
        <v>0</v>
      </c>
      <c r="AU218" s="18">
        <v>13</v>
      </c>
      <c r="AV218" s="66" t="s">
        <v>30</v>
      </c>
      <c r="AW218" s="12">
        <f>+'Form20 '!N219</f>
        <v>1</v>
      </c>
      <c r="AX218" s="18">
        <v>14</v>
      </c>
      <c r="AY218" s="66" t="s">
        <v>30</v>
      </c>
      <c r="AZ218" s="12">
        <f>+'Form20 '!O219</f>
        <v>1</v>
      </c>
      <c r="BA218" s="75">
        <f t="shared" si="7"/>
        <v>466</v>
      </c>
    </row>
    <row r="219" spans="1:53" s="67" customFormat="1" ht="59.25" customHeight="1">
      <c r="A219" s="18">
        <v>333</v>
      </c>
      <c r="B219" s="59">
        <v>213</v>
      </c>
      <c r="C219" s="76" t="s">
        <v>290</v>
      </c>
      <c r="D219" s="61">
        <v>774</v>
      </c>
      <c r="E219" s="61">
        <v>228</v>
      </c>
      <c r="F219" s="61">
        <v>272</v>
      </c>
      <c r="G219" s="55">
        <v>0</v>
      </c>
      <c r="H219" s="62">
        <f t="shared" si="6"/>
        <v>500</v>
      </c>
      <c r="I219" s="55">
        <v>14</v>
      </c>
      <c r="J219" s="29">
        <v>0</v>
      </c>
      <c r="K219" s="18">
        <v>1</v>
      </c>
      <c r="L219" s="63" t="s">
        <v>29</v>
      </c>
      <c r="M219" s="12">
        <f>+'Form20 '!B220</f>
        <v>213</v>
      </c>
      <c r="N219" s="18">
        <v>2</v>
      </c>
      <c r="O219" s="58" t="s">
        <v>24</v>
      </c>
      <c r="P219" s="12">
        <f>+'Form20 '!C220</f>
        <v>16</v>
      </c>
      <c r="Q219" s="18">
        <v>3</v>
      </c>
      <c r="R219" s="63" t="s">
        <v>28</v>
      </c>
      <c r="S219" s="12">
        <f>+'Form20 '!D220</f>
        <v>241</v>
      </c>
      <c r="T219" s="18">
        <v>4</v>
      </c>
      <c r="U219" s="64" t="s">
        <v>65</v>
      </c>
      <c r="V219" s="12">
        <f>+'Form20 '!E220</f>
        <v>1</v>
      </c>
      <c r="W219" s="18">
        <v>5</v>
      </c>
      <c r="X219" s="58" t="s">
        <v>66</v>
      </c>
      <c r="Y219" s="12">
        <f>+'Form20 '!F220</f>
        <v>0</v>
      </c>
      <c r="Z219" s="18">
        <v>6</v>
      </c>
      <c r="AA219" s="64" t="s">
        <v>67</v>
      </c>
      <c r="AB219" s="12">
        <f>+'Form20 '!G220</f>
        <v>0</v>
      </c>
      <c r="AC219" s="18">
        <v>7</v>
      </c>
      <c r="AD219" s="63" t="s">
        <v>68</v>
      </c>
      <c r="AE219" s="12">
        <f>+'Form20 '!H220</f>
        <v>1</v>
      </c>
      <c r="AF219" s="18">
        <v>8</v>
      </c>
      <c r="AG219" s="63" t="s">
        <v>69</v>
      </c>
      <c r="AH219" s="12">
        <f>+'Form20 '!I220</f>
        <v>2</v>
      </c>
      <c r="AI219" s="18">
        <v>9</v>
      </c>
      <c r="AJ219" s="65" t="s">
        <v>70</v>
      </c>
      <c r="AK219" s="12">
        <f>+'Form20 '!J220</f>
        <v>7</v>
      </c>
      <c r="AL219" s="18">
        <v>10</v>
      </c>
      <c r="AM219" s="66" t="s">
        <v>30</v>
      </c>
      <c r="AN219" s="12">
        <f>+'Form20 '!K220</f>
        <v>2</v>
      </c>
      <c r="AO219" s="18">
        <v>11</v>
      </c>
      <c r="AP219" s="66" t="s">
        <v>30</v>
      </c>
      <c r="AQ219" s="12">
        <f>+'Form20 '!L220</f>
        <v>2</v>
      </c>
      <c r="AR219" s="18">
        <v>12</v>
      </c>
      <c r="AS219" s="66" t="s">
        <v>30</v>
      </c>
      <c r="AT219" s="12">
        <f>+'Form20 '!M220</f>
        <v>6</v>
      </c>
      <c r="AU219" s="18">
        <v>13</v>
      </c>
      <c r="AV219" s="66" t="s">
        <v>30</v>
      </c>
      <c r="AW219" s="12">
        <f>+'Form20 '!N220</f>
        <v>4</v>
      </c>
      <c r="AX219" s="18">
        <v>14</v>
      </c>
      <c r="AY219" s="66" t="s">
        <v>30</v>
      </c>
      <c r="AZ219" s="12">
        <f>+'Form20 '!O220</f>
        <v>0</v>
      </c>
      <c r="BA219" s="75">
        <f t="shared" si="7"/>
        <v>495</v>
      </c>
    </row>
    <row r="220" spans="1:53" s="67" customFormat="1" ht="59.25" customHeight="1">
      <c r="A220" s="18">
        <v>333</v>
      </c>
      <c r="B220" s="59">
        <v>214</v>
      </c>
      <c r="C220" s="76" t="s">
        <v>291</v>
      </c>
      <c r="D220" s="61">
        <v>784</v>
      </c>
      <c r="E220" s="61">
        <v>176</v>
      </c>
      <c r="F220" s="61">
        <v>277</v>
      </c>
      <c r="G220" s="55">
        <v>0</v>
      </c>
      <c r="H220" s="62">
        <f t="shared" si="6"/>
        <v>453</v>
      </c>
      <c r="I220" s="55">
        <v>42</v>
      </c>
      <c r="J220" s="29">
        <v>0</v>
      </c>
      <c r="K220" s="18">
        <v>1</v>
      </c>
      <c r="L220" s="63" t="s">
        <v>29</v>
      </c>
      <c r="M220" s="12">
        <f>+'Form20 '!B221</f>
        <v>218</v>
      </c>
      <c r="N220" s="18">
        <v>2</v>
      </c>
      <c r="O220" s="58" t="s">
        <v>24</v>
      </c>
      <c r="P220" s="12">
        <f>+'Form20 '!C221</f>
        <v>33</v>
      </c>
      <c r="Q220" s="18">
        <v>3</v>
      </c>
      <c r="R220" s="63" t="s">
        <v>28</v>
      </c>
      <c r="S220" s="12">
        <f>+'Form20 '!D221</f>
        <v>190</v>
      </c>
      <c r="T220" s="18">
        <v>4</v>
      </c>
      <c r="U220" s="64" t="s">
        <v>65</v>
      </c>
      <c r="V220" s="12">
        <f>+'Form20 '!E221</f>
        <v>2</v>
      </c>
      <c r="W220" s="18">
        <v>5</v>
      </c>
      <c r="X220" s="58" t="s">
        <v>66</v>
      </c>
      <c r="Y220" s="12">
        <f>+'Form20 '!F221</f>
        <v>0</v>
      </c>
      <c r="Z220" s="18">
        <v>6</v>
      </c>
      <c r="AA220" s="64" t="s">
        <v>67</v>
      </c>
      <c r="AB220" s="12">
        <f>+'Form20 '!G221</f>
        <v>0</v>
      </c>
      <c r="AC220" s="18">
        <v>7</v>
      </c>
      <c r="AD220" s="63" t="s">
        <v>68</v>
      </c>
      <c r="AE220" s="12">
        <f>+'Form20 '!H221</f>
        <v>1</v>
      </c>
      <c r="AF220" s="18">
        <v>8</v>
      </c>
      <c r="AG220" s="63" t="s">
        <v>69</v>
      </c>
      <c r="AH220" s="12">
        <f>+'Form20 '!I221</f>
        <v>0</v>
      </c>
      <c r="AI220" s="18">
        <v>9</v>
      </c>
      <c r="AJ220" s="65" t="s">
        <v>70</v>
      </c>
      <c r="AK220" s="12">
        <f>+'Form20 '!J221</f>
        <v>2</v>
      </c>
      <c r="AL220" s="18">
        <v>10</v>
      </c>
      <c r="AM220" s="66" t="s">
        <v>30</v>
      </c>
      <c r="AN220" s="12">
        <f>+'Form20 '!K221</f>
        <v>0</v>
      </c>
      <c r="AO220" s="18">
        <v>11</v>
      </c>
      <c r="AP220" s="66" t="s">
        <v>30</v>
      </c>
      <c r="AQ220" s="12">
        <f>+'Form20 '!L221</f>
        <v>1</v>
      </c>
      <c r="AR220" s="18">
        <v>12</v>
      </c>
      <c r="AS220" s="66" t="s">
        <v>30</v>
      </c>
      <c r="AT220" s="12">
        <f>+'Form20 '!M221</f>
        <v>1</v>
      </c>
      <c r="AU220" s="18">
        <v>13</v>
      </c>
      <c r="AV220" s="66" t="s">
        <v>30</v>
      </c>
      <c r="AW220" s="12">
        <f>+'Form20 '!N221</f>
        <v>2</v>
      </c>
      <c r="AX220" s="18">
        <v>14</v>
      </c>
      <c r="AY220" s="66" t="s">
        <v>30</v>
      </c>
      <c r="AZ220" s="12">
        <f>+'Form20 '!O221</f>
        <v>1</v>
      </c>
      <c r="BA220" s="75">
        <f t="shared" si="7"/>
        <v>451</v>
      </c>
    </row>
    <row r="221" spans="1:53" s="67" customFormat="1" ht="59.25" customHeight="1">
      <c r="A221" s="18">
        <v>333</v>
      </c>
      <c r="B221" s="59">
        <v>215</v>
      </c>
      <c r="C221" s="76" t="s">
        <v>292</v>
      </c>
      <c r="D221" s="61">
        <v>881</v>
      </c>
      <c r="E221" s="61">
        <v>210</v>
      </c>
      <c r="F221" s="61">
        <v>308</v>
      </c>
      <c r="G221" s="55">
        <v>0</v>
      </c>
      <c r="H221" s="62">
        <f t="shared" si="6"/>
        <v>518</v>
      </c>
      <c r="I221" s="55">
        <v>56</v>
      </c>
      <c r="J221" s="29">
        <v>0</v>
      </c>
      <c r="K221" s="18">
        <v>1</v>
      </c>
      <c r="L221" s="63" t="s">
        <v>29</v>
      </c>
      <c r="M221" s="12">
        <f>+'Form20 '!B222</f>
        <v>244</v>
      </c>
      <c r="N221" s="18">
        <v>2</v>
      </c>
      <c r="O221" s="58" t="s">
        <v>24</v>
      </c>
      <c r="P221" s="12">
        <f>+'Form20 '!C222</f>
        <v>51</v>
      </c>
      <c r="Q221" s="18">
        <v>3</v>
      </c>
      <c r="R221" s="63" t="s">
        <v>28</v>
      </c>
      <c r="S221" s="12">
        <f>+'Form20 '!D222</f>
        <v>219</v>
      </c>
      <c r="T221" s="18">
        <v>4</v>
      </c>
      <c r="U221" s="64" t="s">
        <v>65</v>
      </c>
      <c r="V221" s="12">
        <f>+'Form20 '!E222</f>
        <v>0</v>
      </c>
      <c r="W221" s="18">
        <v>5</v>
      </c>
      <c r="X221" s="58" t="s">
        <v>66</v>
      </c>
      <c r="Y221" s="12">
        <f>+'Form20 '!F222</f>
        <v>0</v>
      </c>
      <c r="Z221" s="18">
        <v>6</v>
      </c>
      <c r="AA221" s="64" t="s">
        <v>67</v>
      </c>
      <c r="AB221" s="12">
        <f>+'Form20 '!G222</f>
        <v>0</v>
      </c>
      <c r="AC221" s="18">
        <v>7</v>
      </c>
      <c r="AD221" s="63" t="s">
        <v>68</v>
      </c>
      <c r="AE221" s="12">
        <f>+'Form20 '!H222</f>
        <v>0</v>
      </c>
      <c r="AF221" s="18">
        <v>8</v>
      </c>
      <c r="AG221" s="63" t="s">
        <v>69</v>
      </c>
      <c r="AH221" s="12">
        <f>+'Form20 '!I222</f>
        <v>1</v>
      </c>
      <c r="AI221" s="18">
        <v>9</v>
      </c>
      <c r="AJ221" s="65" t="s">
        <v>70</v>
      </c>
      <c r="AK221" s="12">
        <f>+'Form20 '!J222</f>
        <v>1</v>
      </c>
      <c r="AL221" s="18">
        <v>10</v>
      </c>
      <c r="AM221" s="66" t="s">
        <v>30</v>
      </c>
      <c r="AN221" s="12">
        <f>+'Form20 '!K222</f>
        <v>0</v>
      </c>
      <c r="AO221" s="18">
        <v>11</v>
      </c>
      <c r="AP221" s="66" t="s">
        <v>30</v>
      </c>
      <c r="AQ221" s="12">
        <f>+'Form20 '!L222</f>
        <v>0</v>
      </c>
      <c r="AR221" s="18">
        <v>12</v>
      </c>
      <c r="AS221" s="66" t="s">
        <v>30</v>
      </c>
      <c r="AT221" s="12">
        <f>+'Form20 '!M222</f>
        <v>0</v>
      </c>
      <c r="AU221" s="18">
        <v>13</v>
      </c>
      <c r="AV221" s="66" t="s">
        <v>30</v>
      </c>
      <c r="AW221" s="12">
        <f>+'Form20 '!N222</f>
        <v>0</v>
      </c>
      <c r="AX221" s="18">
        <v>14</v>
      </c>
      <c r="AY221" s="66" t="s">
        <v>30</v>
      </c>
      <c r="AZ221" s="12">
        <f>+'Form20 '!O222</f>
        <v>1</v>
      </c>
      <c r="BA221" s="75">
        <f t="shared" si="7"/>
        <v>517</v>
      </c>
    </row>
    <row r="222" spans="1:53" s="67" customFormat="1" ht="59.25" customHeight="1">
      <c r="A222" s="18">
        <v>333</v>
      </c>
      <c r="B222" s="59">
        <v>216</v>
      </c>
      <c r="C222" s="76" t="s">
        <v>293</v>
      </c>
      <c r="D222" s="61">
        <v>597</v>
      </c>
      <c r="E222" s="61">
        <v>130</v>
      </c>
      <c r="F222" s="61">
        <v>184</v>
      </c>
      <c r="G222" s="55">
        <v>0</v>
      </c>
      <c r="H222" s="62">
        <f t="shared" si="6"/>
        <v>314</v>
      </c>
      <c r="I222" s="55">
        <v>55</v>
      </c>
      <c r="J222" s="29">
        <v>0</v>
      </c>
      <c r="K222" s="18">
        <v>1</v>
      </c>
      <c r="L222" s="63" t="s">
        <v>29</v>
      </c>
      <c r="M222" s="12">
        <f>+'Form20 '!B223</f>
        <v>93</v>
      </c>
      <c r="N222" s="18">
        <v>2</v>
      </c>
      <c r="O222" s="58" t="s">
        <v>24</v>
      </c>
      <c r="P222" s="12">
        <f>+'Form20 '!C223</f>
        <v>5</v>
      </c>
      <c r="Q222" s="18">
        <v>3</v>
      </c>
      <c r="R222" s="63" t="s">
        <v>28</v>
      </c>
      <c r="S222" s="12">
        <f>+'Form20 '!D223</f>
        <v>183</v>
      </c>
      <c r="T222" s="18">
        <v>4</v>
      </c>
      <c r="U222" s="64" t="s">
        <v>65</v>
      </c>
      <c r="V222" s="12">
        <f>+'Form20 '!E223</f>
        <v>3</v>
      </c>
      <c r="W222" s="18">
        <v>5</v>
      </c>
      <c r="X222" s="58" t="s">
        <v>66</v>
      </c>
      <c r="Y222" s="12">
        <f>+'Form20 '!F223</f>
        <v>0</v>
      </c>
      <c r="Z222" s="18">
        <v>6</v>
      </c>
      <c r="AA222" s="64" t="s">
        <v>67</v>
      </c>
      <c r="AB222" s="12">
        <f>+'Form20 '!G223</f>
        <v>0</v>
      </c>
      <c r="AC222" s="18">
        <v>7</v>
      </c>
      <c r="AD222" s="63" t="s">
        <v>68</v>
      </c>
      <c r="AE222" s="12">
        <f>+'Form20 '!H223</f>
        <v>1</v>
      </c>
      <c r="AF222" s="18">
        <v>8</v>
      </c>
      <c r="AG222" s="63" t="s">
        <v>69</v>
      </c>
      <c r="AH222" s="12">
        <f>+'Form20 '!I223</f>
        <v>0</v>
      </c>
      <c r="AI222" s="18">
        <v>9</v>
      </c>
      <c r="AJ222" s="65" t="s">
        <v>70</v>
      </c>
      <c r="AK222" s="12">
        <f>+'Form20 '!J223</f>
        <v>19</v>
      </c>
      <c r="AL222" s="18">
        <v>10</v>
      </c>
      <c r="AM222" s="66" t="s">
        <v>30</v>
      </c>
      <c r="AN222" s="12">
        <f>+'Form20 '!K223</f>
        <v>1</v>
      </c>
      <c r="AO222" s="18">
        <v>11</v>
      </c>
      <c r="AP222" s="66" t="s">
        <v>30</v>
      </c>
      <c r="AQ222" s="12">
        <f>+'Form20 '!L223</f>
        <v>1</v>
      </c>
      <c r="AR222" s="18">
        <v>12</v>
      </c>
      <c r="AS222" s="66" t="s">
        <v>30</v>
      </c>
      <c r="AT222" s="12">
        <f>+'Form20 '!M223</f>
        <v>2</v>
      </c>
      <c r="AU222" s="18">
        <v>13</v>
      </c>
      <c r="AV222" s="66" t="s">
        <v>30</v>
      </c>
      <c r="AW222" s="12">
        <f>+'Form20 '!N223</f>
        <v>2</v>
      </c>
      <c r="AX222" s="18">
        <v>14</v>
      </c>
      <c r="AY222" s="66" t="s">
        <v>30</v>
      </c>
      <c r="AZ222" s="12">
        <f>+'Form20 '!O223</f>
        <v>2</v>
      </c>
      <c r="BA222" s="75">
        <f t="shared" si="7"/>
        <v>312</v>
      </c>
    </row>
    <row r="223" spans="1:53" s="67" customFormat="1" ht="59.25" customHeight="1">
      <c r="A223" s="18">
        <v>333</v>
      </c>
      <c r="B223" s="59">
        <v>217</v>
      </c>
      <c r="C223" s="76" t="s">
        <v>294</v>
      </c>
      <c r="D223" s="61">
        <v>627</v>
      </c>
      <c r="E223" s="61">
        <v>136</v>
      </c>
      <c r="F223" s="61">
        <v>227</v>
      </c>
      <c r="G223" s="55">
        <v>0</v>
      </c>
      <c r="H223" s="62">
        <f t="shared" si="6"/>
        <v>363</v>
      </c>
      <c r="I223" s="55">
        <v>50</v>
      </c>
      <c r="J223" s="29">
        <v>0</v>
      </c>
      <c r="K223" s="18">
        <v>1</v>
      </c>
      <c r="L223" s="63" t="s">
        <v>29</v>
      </c>
      <c r="M223" s="12">
        <f>+'Form20 '!B224</f>
        <v>76</v>
      </c>
      <c r="N223" s="18">
        <v>2</v>
      </c>
      <c r="O223" s="58" t="s">
        <v>24</v>
      </c>
      <c r="P223" s="12">
        <f>+'Form20 '!C224</f>
        <v>2</v>
      </c>
      <c r="Q223" s="18">
        <v>3</v>
      </c>
      <c r="R223" s="63" t="s">
        <v>28</v>
      </c>
      <c r="S223" s="12">
        <f>+'Form20 '!D224</f>
        <v>244</v>
      </c>
      <c r="T223" s="18">
        <v>4</v>
      </c>
      <c r="U223" s="64" t="s">
        <v>65</v>
      </c>
      <c r="V223" s="12">
        <f>+'Form20 '!E224</f>
        <v>1</v>
      </c>
      <c r="W223" s="18">
        <v>5</v>
      </c>
      <c r="X223" s="58" t="s">
        <v>66</v>
      </c>
      <c r="Y223" s="12">
        <f>+'Form20 '!F224</f>
        <v>0</v>
      </c>
      <c r="Z223" s="18">
        <v>6</v>
      </c>
      <c r="AA223" s="64" t="s">
        <v>67</v>
      </c>
      <c r="AB223" s="12">
        <f>+'Form20 '!G224</f>
        <v>0</v>
      </c>
      <c r="AC223" s="18">
        <v>7</v>
      </c>
      <c r="AD223" s="63" t="s">
        <v>68</v>
      </c>
      <c r="AE223" s="12">
        <f>+'Form20 '!H224</f>
        <v>0</v>
      </c>
      <c r="AF223" s="18">
        <v>8</v>
      </c>
      <c r="AG223" s="63" t="s">
        <v>69</v>
      </c>
      <c r="AH223" s="12">
        <f>+'Form20 '!I224</f>
        <v>0</v>
      </c>
      <c r="AI223" s="18">
        <v>9</v>
      </c>
      <c r="AJ223" s="65" t="s">
        <v>70</v>
      </c>
      <c r="AK223" s="12">
        <f>+'Form20 '!J224</f>
        <v>35</v>
      </c>
      <c r="AL223" s="18">
        <v>10</v>
      </c>
      <c r="AM223" s="66" t="s">
        <v>30</v>
      </c>
      <c r="AN223" s="12">
        <f>+'Form20 '!K224</f>
        <v>0</v>
      </c>
      <c r="AO223" s="18">
        <v>11</v>
      </c>
      <c r="AP223" s="66" t="s">
        <v>30</v>
      </c>
      <c r="AQ223" s="12">
        <f>+'Form20 '!L224</f>
        <v>0</v>
      </c>
      <c r="AR223" s="18">
        <v>12</v>
      </c>
      <c r="AS223" s="66" t="s">
        <v>30</v>
      </c>
      <c r="AT223" s="12">
        <f>+'Form20 '!M224</f>
        <v>0</v>
      </c>
      <c r="AU223" s="18">
        <v>13</v>
      </c>
      <c r="AV223" s="66" t="s">
        <v>30</v>
      </c>
      <c r="AW223" s="12">
        <f>+'Form20 '!N224</f>
        <v>1</v>
      </c>
      <c r="AX223" s="18">
        <v>14</v>
      </c>
      <c r="AY223" s="66" t="s">
        <v>30</v>
      </c>
      <c r="AZ223" s="12">
        <f>+'Form20 '!O224</f>
        <v>1</v>
      </c>
      <c r="BA223" s="75">
        <f t="shared" si="7"/>
        <v>360</v>
      </c>
    </row>
    <row r="224" spans="1:53" s="67" customFormat="1" ht="59.25" customHeight="1">
      <c r="A224" s="18">
        <v>333</v>
      </c>
      <c r="B224" s="59">
        <v>218</v>
      </c>
      <c r="C224" s="76" t="s">
        <v>295</v>
      </c>
      <c r="D224" s="61">
        <v>1131</v>
      </c>
      <c r="E224" s="61">
        <v>300</v>
      </c>
      <c r="F224" s="61">
        <v>353</v>
      </c>
      <c r="G224" s="55">
        <v>0</v>
      </c>
      <c r="H224" s="62">
        <f t="shared" si="6"/>
        <v>653</v>
      </c>
      <c r="I224" s="55">
        <v>82</v>
      </c>
      <c r="J224" s="29">
        <v>0</v>
      </c>
      <c r="K224" s="18">
        <v>1</v>
      </c>
      <c r="L224" s="63" t="s">
        <v>29</v>
      </c>
      <c r="M224" s="12">
        <f>+'Form20 '!B225</f>
        <v>285</v>
      </c>
      <c r="N224" s="18">
        <v>2</v>
      </c>
      <c r="O224" s="58" t="s">
        <v>24</v>
      </c>
      <c r="P224" s="12">
        <f>+'Form20 '!C225</f>
        <v>202</v>
      </c>
      <c r="Q224" s="18">
        <v>3</v>
      </c>
      <c r="R224" s="63" t="s">
        <v>28</v>
      </c>
      <c r="S224" s="12">
        <f>+'Form20 '!D225</f>
        <v>124</v>
      </c>
      <c r="T224" s="18">
        <v>4</v>
      </c>
      <c r="U224" s="64" t="s">
        <v>65</v>
      </c>
      <c r="V224" s="12">
        <f>+'Form20 '!E225</f>
        <v>6</v>
      </c>
      <c r="W224" s="18">
        <v>5</v>
      </c>
      <c r="X224" s="58" t="s">
        <v>66</v>
      </c>
      <c r="Y224" s="12">
        <f>+'Form20 '!F225</f>
        <v>0</v>
      </c>
      <c r="Z224" s="18">
        <v>6</v>
      </c>
      <c r="AA224" s="64" t="s">
        <v>67</v>
      </c>
      <c r="AB224" s="12">
        <f>+'Form20 '!G225</f>
        <v>1</v>
      </c>
      <c r="AC224" s="18">
        <v>7</v>
      </c>
      <c r="AD224" s="63" t="s">
        <v>68</v>
      </c>
      <c r="AE224" s="12">
        <f>+'Form20 '!H225</f>
        <v>1</v>
      </c>
      <c r="AF224" s="18">
        <v>8</v>
      </c>
      <c r="AG224" s="63" t="s">
        <v>69</v>
      </c>
      <c r="AH224" s="12">
        <f>+'Form20 '!I225</f>
        <v>1</v>
      </c>
      <c r="AI224" s="18">
        <v>9</v>
      </c>
      <c r="AJ224" s="65" t="s">
        <v>70</v>
      </c>
      <c r="AK224" s="12">
        <f>+'Form20 '!J225</f>
        <v>6</v>
      </c>
      <c r="AL224" s="18">
        <v>10</v>
      </c>
      <c r="AM224" s="66" t="s">
        <v>30</v>
      </c>
      <c r="AN224" s="12">
        <f>+'Form20 '!K225</f>
        <v>2</v>
      </c>
      <c r="AO224" s="18">
        <v>11</v>
      </c>
      <c r="AP224" s="66" t="s">
        <v>30</v>
      </c>
      <c r="AQ224" s="12">
        <f>+'Form20 '!L225</f>
        <v>4</v>
      </c>
      <c r="AR224" s="18">
        <v>12</v>
      </c>
      <c r="AS224" s="66" t="s">
        <v>30</v>
      </c>
      <c r="AT224" s="12">
        <f>+'Form20 '!M225</f>
        <v>5</v>
      </c>
      <c r="AU224" s="18">
        <v>13</v>
      </c>
      <c r="AV224" s="66" t="s">
        <v>30</v>
      </c>
      <c r="AW224" s="12">
        <f>+'Form20 '!N225</f>
        <v>4</v>
      </c>
      <c r="AX224" s="18">
        <v>14</v>
      </c>
      <c r="AY224" s="66" t="s">
        <v>30</v>
      </c>
      <c r="AZ224" s="12">
        <f>+'Form20 '!O225</f>
        <v>2</v>
      </c>
      <c r="BA224" s="75">
        <f t="shared" si="7"/>
        <v>643</v>
      </c>
    </row>
    <row r="225" spans="1:53" s="67" customFormat="1" ht="59.25" customHeight="1">
      <c r="A225" s="18">
        <v>333</v>
      </c>
      <c r="B225" s="59">
        <v>219</v>
      </c>
      <c r="C225" s="76" t="s">
        <v>296</v>
      </c>
      <c r="D225" s="61">
        <v>1067</v>
      </c>
      <c r="E225" s="61">
        <v>296</v>
      </c>
      <c r="F225" s="61">
        <v>280</v>
      </c>
      <c r="G225" s="55">
        <v>0</v>
      </c>
      <c r="H225" s="62">
        <f t="shared" si="6"/>
        <v>576</v>
      </c>
      <c r="I225" s="55">
        <v>102</v>
      </c>
      <c r="J225" s="29">
        <v>0</v>
      </c>
      <c r="K225" s="18">
        <v>1</v>
      </c>
      <c r="L225" s="63" t="s">
        <v>29</v>
      </c>
      <c r="M225" s="12">
        <f>+'Form20 '!B226</f>
        <v>397</v>
      </c>
      <c r="N225" s="18">
        <v>2</v>
      </c>
      <c r="O225" s="58" t="s">
        <v>24</v>
      </c>
      <c r="P225" s="12">
        <f>+'Form20 '!C226</f>
        <v>65</v>
      </c>
      <c r="Q225" s="18">
        <v>3</v>
      </c>
      <c r="R225" s="63" t="s">
        <v>28</v>
      </c>
      <c r="S225" s="12">
        <f>+'Form20 '!D226</f>
        <v>89</v>
      </c>
      <c r="T225" s="18">
        <v>4</v>
      </c>
      <c r="U225" s="64" t="s">
        <v>65</v>
      </c>
      <c r="V225" s="12">
        <f>+'Form20 '!E226</f>
        <v>2</v>
      </c>
      <c r="W225" s="18">
        <v>5</v>
      </c>
      <c r="X225" s="58" t="s">
        <v>66</v>
      </c>
      <c r="Y225" s="12">
        <f>+'Form20 '!F226</f>
        <v>2</v>
      </c>
      <c r="Z225" s="18">
        <v>6</v>
      </c>
      <c r="AA225" s="64" t="s">
        <v>67</v>
      </c>
      <c r="AB225" s="12">
        <f>+'Form20 '!G226</f>
        <v>0</v>
      </c>
      <c r="AC225" s="18">
        <v>7</v>
      </c>
      <c r="AD225" s="63" t="s">
        <v>68</v>
      </c>
      <c r="AE225" s="12">
        <f>+'Form20 '!H226</f>
        <v>0</v>
      </c>
      <c r="AF225" s="18">
        <v>8</v>
      </c>
      <c r="AG225" s="63" t="s">
        <v>69</v>
      </c>
      <c r="AH225" s="12">
        <f>+'Form20 '!I226</f>
        <v>4</v>
      </c>
      <c r="AI225" s="18">
        <v>9</v>
      </c>
      <c r="AJ225" s="65" t="s">
        <v>70</v>
      </c>
      <c r="AK225" s="12">
        <f>+'Form20 '!J226</f>
        <v>6</v>
      </c>
      <c r="AL225" s="18">
        <v>10</v>
      </c>
      <c r="AM225" s="66" t="s">
        <v>30</v>
      </c>
      <c r="AN225" s="12">
        <f>+'Form20 '!K226</f>
        <v>0</v>
      </c>
      <c r="AO225" s="18">
        <v>11</v>
      </c>
      <c r="AP225" s="66" t="s">
        <v>30</v>
      </c>
      <c r="AQ225" s="12">
        <f>+'Form20 '!L226</f>
        <v>0</v>
      </c>
      <c r="AR225" s="18">
        <v>12</v>
      </c>
      <c r="AS225" s="66" t="s">
        <v>30</v>
      </c>
      <c r="AT225" s="12">
        <f>+'Form20 '!M226</f>
        <v>2</v>
      </c>
      <c r="AU225" s="18">
        <v>13</v>
      </c>
      <c r="AV225" s="66" t="s">
        <v>30</v>
      </c>
      <c r="AW225" s="12">
        <f>+'Form20 '!N226</f>
        <v>1</v>
      </c>
      <c r="AX225" s="18">
        <v>14</v>
      </c>
      <c r="AY225" s="66" t="s">
        <v>30</v>
      </c>
      <c r="AZ225" s="12">
        <f>+'Form20 '!O226</f>
        <v>6</v>
      </c>
      <c r="BA225" s="75">
        <f t="shared" si="7"/>
        <v>574</v>
      </c>
    </row>
    <row r="226" spans="1:53" s="67" customFormat="1" ht="59.25" customHeight="1">
      <c r="A226" s="18">
        <v>333</v>
      </c>
      <c r="B226" s="59">
        <v>220</v>
      </c>
      <c r="C226" s="76" t="s">
        <v>297</v>
      </c>
      <c r="D226" s="61">
        <v>895</v>
      </c>
      <c r="E226" s="61">
        <v>213</v>
      </c>
      <c r="F226" s="61">
        <v>247</v>
      </c>
      <c r="G226" s="55">
        <v>0</v>
      </c>
      <c r="H226" s="62">
        <f t="shared" si="6"/>
        <v>460</v>
      </c>
      <c r="I226" s="55">
        <v>48</v>
      </c>
      <c r="J226" s="29">
        <v>0</v>
      </c>
      <c r="K226" s="18">
        <v>1</v>
      </c>
      <c r="L226" s="63" t="s">
        <v>29</v>
      </c>
      <c r="M226" s="12">
        <f>+'Form20 '!B227</f>
        <v>195</v>
      </c>
      <c r="N226" s="18">
        <v>2</v>
      </c>
      <c r="O226" s="58" t="s">
        <v>24</v>
      </c>
      <c r="P226" s="12">
        <f>+'Form20 '!C227</f>
        <v>4</v>
      </c>
      <c r="Q226" s="18">
        <v>3</v>
      </c>
      <c r="R226" s="63" t="s">
        <v>28</v>
      </c>
      <c r="S226" s="12">
        <f>+'Form20 '!D227</f>
        <v>223</v>
      </c>
      <c r="T226" s="18">
        <v>4</v>
      </c>
      <c r="U226" s="64" t="s">
        <v>65</v>
      </c>
      <c r="V226" s="12">
        <f>+'Form20 '!E227</f>
        <v>5</v>
      </c>
      <c r="W226" s="18">
        <v>5</v>
      </c>
      <c r="X226" s="58" t="s">
        <v>66</v>
      </c>
      <c r="Y226" s="12">
        <f>+'Form20 '!F227</f>
        <v>0</v>
      </c>
      <c r="Z226" s="18">
        <v>6</v>
      </c>
      <c r="AA226" s="64" t="s">
        <v>67</v>
      </c>
      <c r="AB226" s="12">
        <f>+'Form20 '!G227</f>
        <v>2</v>
      </c>
      <c r="AC226" s="18">
        <v>7</v>
      </c>
      <c r="AD226" s="63" t="s">
        <v>68</v>
      </c>
      <c r="AE226" s="12">
        <f>+'Form20 '!H227</f>
        <v>0</v>
      </c>
      <c r="AF226" s="18">
        <v>8</v>
      </c>
      <c r="AG226" s="63" t="s">
        <v>69</v>
      </c>
      <c r="AH226" s="12">
        <f>+'Form20 '!I227</f>
        <v>1</v>
      </c>
      <c r="AI226" s="18">
        <v>9</v>
      </c>
      <c r="AJ226" s="65" t="s">
        <v>70</v>
      </c>
      <c r="AK226" s="12">
        <f>+'Form20 '!J227</f>
        <v>21</v>
      </c>
      <c r="AL226" s="18">
        <v>10</v>
      </c>
      <c r="AM226" s="66" t="s">
        <v>30</v>
      </c>
      <c r="AN226" s="12">
        <f>+'Form20 '!K227</f>
        <v>1</v>
      </c>
      <c r="AO226" s="18">
        <v>11</v>
      </c>
      <c r="AP226" s="66" t="s">
        <v>30</v>
      </c>
      <c r="AQ226" s="12">
        <f>+'Form20 '!L227</f>
        <v>0</v>
      </c>
      <c r="AR226" s="18">
        <v>12</v>
      </c>
      <c r="AS226" s="66" t="s">
        <v>30</v>
      </c>
      <c r="AT226" s="12">
        <f>+'Form20 '!M227</f>
        <v>1</v>
      </c>
      <c r="AU226" s="18">
        <v>13</v>
      </c>
      <c r="AV226" s="66" t="s">
        <v>30</v>
      </c>
      <c r="AW226" s="12">
        <f>+'Form20 '!N227</f>
        <v>2</v>
      </c>
      <c r="AX226" s="18">
        <v>14</v>
      </c>
      <c r="AY226" s="66" t="s">
        <v>30</v>
      </c>
      <c r="AZ226" s="12">
        <f>+'Form20 '!O227</f>
        <v>2</v>
      </c>
      <c r="BA226" s="75">
        <f t="shared" si="7"/>
        <v>457</v>
      </c>
    </row>
    <row r="227" spans="1:53" s="67" customFormat="1" ht="59.25" customHeight="1">
      <c r="A227" s="18">
        <v>333</v>
      </c>
      <c r="B227" s="59">
        <v>221</v>
      </c>
      <c r="C227" s="76" t="s">
        <v>298</v>
      </c>
      <c r="D227" s="61">
        <v>1118</v>
      </c>
      <c r="E227" s="61">
        <v>238</v>
      </c>
      <c r="F227" s="61">
        <v>272</v>
      </c>
      <c r="G227" s="55">
        <v>0</v>
      </c>
      <c r="H227" s="62">
        <f t="shared" si="6"/>
        <v>510</v>
      </c>
      <c r="I227" s="55">
        <v>54</v>
      </c>
      <c r="J227" s="29">
        <v>0</v>
      </c>
      <c r="K227" s="18">
        <v>1</v>
      </c>
      <c r="L227" s="63" t="s">
        <v>29</v>
      </c>
      <c r="M227" s="12">
        <f>+'Form20 '!B228</f>
        <v>191</v>
      </c>
      <c r="N227" s="18">
        <v>2</v>
      </c>
      <c r="O227" s="58" t="s">
        <v>24</v>
      </c>
      <c r="P227" s="12">
        <f>+'Form20 '!C228</f>
        <v>125</v>
      </c>
      <c r="Q227" s="18">
        <v>3</v>
      </c>
      <c r="R227" s="63" t="s">
        <v>28</v>
      </c>
      <c r="S227" s="12">
        <f>+'Form20 '!D228</f>
        <v>160</v>
      </c>
      <c r="T227" s="18">
        <v>4</v>
      </c>
      <c r="U227" s="64" t="s">
        <v>65</v>
      </c>
      <c r="V227" s="12">
        <f>+'Form20 '!E228</f>
        <v>4</v>
      </c>
      <c r="W227" s="18">
        <v>5</v>
      </c>
      <c r="X227" s="58" t="s">
        <v>66</v>
      </c>
      <c r="Y227" s="12">
        <f>+'Form20 '!F228</f>
        <v>0</v>
      </c>
      <c r="Z227" s="18">
        <v>6</v>
      </c>
      <c r="AA227" s="64" t="s">
        <v>67</v>
      </c>
      <c r="AB227" s="12">
        <f>+'Form20 '!G228</f>
        <v>1</v>
      </c>
      <c r="AC227" s="18">
        <v>7</v>
      </c>
      <c r="AD227" s="63" t="s">
        <v>68</v>
      </c>
      <c r="AE227" s="12">
        <f>+'Form20 '!H228</f>
        <v>0</v>
      </c>
      <c r="AF227" s="18">
        <v>8</v>
      </c>
      <c r="AG227" s="63" t="s">
        <v>69</v>
      </c>
      <c r="AH227" s="12">
        <f>+'Form20 '!I228</f>
        <v>2</v>
      </c>
      <c r="AI227" s="18">
        <v>9</v>
      </c>
      <c r="AJ227" s="65" t="s">
        <v>70</v>
      </c>
      <c r="AK227" s="12">
        <f>+'Form20 '!J228</f>
        <v>11</v>
      </c>
      <c r="AL227" s="18">
        <v>10</v>
      </c>
      <c r="AM227" s="66" t="s">
        <v>30</v>
      </c>
      <c r="AN227" s="12">
        <f>+'Form20 '!K228</f>
        <v>2</v>
      </c>
      <c r="AO227" s="18">
        <v>11</v>
      </c>
      <c r="AP227" s="66" t="s">
        <v>30</v>
      </c>
      <c r="AQ227" s="12">
        <f>+'Form20 '!L228</f>
        <v>1</v>
      </c>
      <c r="AR227" s="18">
        <v>12</v>
      </c>
      <c r="AS227" s="66" t="s">
        <v>30</v>
      </c>
      <c r="AT227" s="12">
        <f>+'Form20 '!M228</f>
        <v>3</v>
      </c>
      <c r="AU227" s="18">
        <v>13</v>
      </c>
      <c r="AV227" s="66" t="s">
        <v>30</v>
      </c>
      <c r="AW227" s="12">
        <f>+'Form20 '!N228</f>
        <v>5</v>
      </c>
      <c r="AX227" s="18">
        <v>14</v>
      </c>
      <c r="AY227" s="66" t="s">
        <v>30</v>
      </c>
      <c r="AZ227" s="12">
        <f>+'Form20 '!O228</f>
        <v>1</v>
      </c>
      <c r="BA227" s="75">
        <f t="shared" si="7"/>
        <v>506</v>
      </c>
    </row>
    <row r="228" spans="1:53" s="67" customFormat="1" ht="59.25" customHeight="1">
      <c r="A228" s="18">
        <v>333</v>
      </c>
      <c r="B228" s="59">
        <v>222</v>
      </c>
      <c r="C228" s="76" t="s">
        <v>299</v>
      </c>
      <c r="D228" s="61">
        <v>1116</v>
      </c>
      <c r="E228" s="61">
        <v>286</v>
      </c>
      <c r="F228" s="61">
        <v>338</v>
      </c>
      <c r="G228" s="55">
        <v>0</v>
      </c>
      <c r="H228" s="62">
        <f t="shared" si="6"/>
        <v>624</v>
      </c>
      <c r="I228" s="55">
        <v>84</v>
      </c>
      <c r="J228" s="29">
        <v>0</v>
      </c>
      <c r="K228" s="18">
        <v>1</v>
      </c>
      <c r="L228" s="63" t="s">
        <v>29</v>
      </c>
      <c r="M228" s="12">
        <f>+'Form20 '!B229</f>
        <v>394</v>
      </c>
      <c r="N228" s="18">
        <v>2</v>
      </c>
      <c r="O228" s="58" t="s">
        <v>24</v>
      </c>
      <c r="P228" s="12">
        <f>+'Form20 '!C229</f>
        <v>107</v>
      </c>
      <c r="Q228" s="18">
        <v>3</v>
      </c>
      <c r="R228" s="63" t="s">
        <v>28</v>
      </c>
      <c r="S228" s="12">
        <f>+'Form20 '!D229</f>
        <v>97</v>
      </c>
      <c r="T228" s="18">
        <v>4</v>
      </c>
      <c r="U228" s="64" t="s">
        <v>65</v>
      </c>
      <c r="V228" s="12">
        <f>+'Form20 '!E229</f>
        <v>1</v>
      </c>
      <c r="W228" s="18">
        <v>5</v>
      </c>
      <c r="X228" s="58" t="s">
        <v>66</v>
      </c>
      <c r="Y228" s="12">
        <f>+'Form20 '!F229</f>
        <v>0</v>
      </c>
      <c r="Z228" s="18">
        <v>6</v>
      </c>
      <c r="AA228" s="64" t="s">
        <v>67</v>
      </c>
      <c r="AB228" s="12">
        <f>+'Form20 '!G229</f>
        <v>1</v>
      </c>
      <c r="AC228" s="18">
        <v>7</v>
      </c>
      <c r="AD228" s="63" t="s">
        <v>68</v>
      </c>
      <c r="AE228" s="12">
        <f>+'Form20 '!H229</f>
        <v>0</v>
      </c>
      <c r="AF228" s="18">
        <v>8</v>
      </c>
      <c r="AG228" s="63" t="s">
        <v>69</v>
      </c>
      <c r="AH228" s="12">
        <f>+'Form20 '!I229</f>
        <v>2</v>
      </c>
      <c r="AI228" s="18">
        <v>9</v>
      </c>
      <c r="AJ228" s="65" t="s">
        <v>70</v>
      </c>
      <c r="AK228" s="12">
        <f>+'Form20 '!J229</f>
        <v>6</v>
      </c>
      <c r="AL228" s="18">
        <v>10</v>
      </c>
      <c r="AM228" s="66" t="s">
        <v>30</v>
      </c>
      <c r="AN228" s="12">
        <f>+'Form20 '!K229</f>
        <v>1</v>
      </c>
      <c r="AO228" s="18">
        <v>11</v>
      </c>
      <c r="AP228" s="66" t="s">
        <v>30</v>
      </c>
      <c r="AQ228" s="12">
        <f>+'Form20 '!L229</f>
        <v>0</v>
      </c>
      <c r="AR228" s="18">
        <v>12</v>
      </c>
      <c r="AS228" s="66" t="s">
        <v>30</v>
      </c>
      <c r="AT228" s="12">
        <f>+'Form20 '!M229</f>
        <v>3</v>
      </c>
      <c r="AU228" s="18">
        <v>13</v>
      </c>
      <c r="AV228" s="66" t="s">
        <v>30</v>
      </c>
      <c r="AW228" s="12">
        <f>+'Form20 '!N229</f>
        <v>4</v>
      </c>
      <c r="AX228" s="18">
        <v>14</v>
      </c>
      <c r="AY228" s="66" t="s">
        <v>30</v>
      </c>
      <c r="AZ228" s="12">
        <f>+'Form20 '!O229</f>
        <v>6</v>
      </c>
      <c r="BA228" s="75">
        <f t="shared" si="7"/>
        <v>622</v>
      </c>
    </row>
    <row r="229" spans="1:53" s="67" customFormat="1" ht="59.25" customHeight="1">
      <c r="A229" s="18">
        <v>333</v>
      </c>
      <c r="B229" s="59">
        <v>223</v>
      </c>
      <c r="C229" s="76" t="s">
        <v>300</v>
      </c>
      <c r="D229" s="61">
        <v>938</v>
      </c>
      <c r="E229" s="61">
        <v>310</v>
      </c>
      <c r="F229" s="61">
        <v>348</v>
      </c>
      <c r="G229" s="55">
        <v>0</v>
      </c>
      <c r="H229" s="62">
        <f t="shared" si="6"/>
        <v>658</v>
      </c>
      <c r="I229" s="55">
        <v>63</v>
      </c>
      <c r="J229" s="29">
        <v>0</v>
      </c>
      <c r="K229" s="18">
        <v>1</v>
      </c>
      <c r="L229" s="63" t="s">
        <v>29</v>
      </c>
      <c r="M229" s="12">
        <f>+'Form20 '!B230</f>
        <v>345</v>
      </c>
      <c r="N229" s="18">
        <v>2</v>
      </c>
      <c r="O229" s="58" t="s">
        <v>24</v>
      </c>
      <c r="P229" s="12">
        <f>+'Form20 '!C230</f>
        <v>81</v>
      </c>
      <c r="Q229" s="18">
        <v>3</v>
      </c>
      <c r="R229" s="63" t="s">
        <v>28</v>
      </c>
      <c r="S229" s="12">
        <f>+'Form20 '!D230</f>
        <v>212</v>
      </c>
      <c r="T229" s="18">
        <v>4</v>
      </c>
      <c r="U229" s="64" t="s">
        <v>65</v>
      </c>
      <c r="V229" s="12">
        <f>+'Form20 '!E230</f>
        <v>0</v>
      </c>
      <c r="W229" s="18">
        <v>5</v>
      </c>
      <c r="X229" s="58" t="s">
        <v>66</v>
      </c>
      <c r="Y229" s="12">
        <f>+'Form20 '!F230</f>
        <v>0</v>
      </c>
      <c r="Z229" s="18">
        <v>6</v>
      </c>
      <c r="AA229" s="64" t="s">
        <v>67</v>
      </c>
      <c r="AB229" s="12">
        <f>+'Form20 '!G230</f>
        <v>1</v>
      </c>
      <c r="AC229" s="18">
        <v>7</v>
      </c>
      <c r="AD229" s="63" t="s">
        <v>68</v>
      </c>
      <c r="AE229" s="12">
        <f>+'Form20 '!H230</f>
        <v>0</v>
      </c>
      <c r="AF229" s="18">
        <v>8</v>
      </c>
      <c r="AG229" s="63" t="s">
        <v>69</v>
      </c>
      <c r="AH229" s="12">
        <f>+'Form20 '!I230</f>
        <v>0</v>
      </c>
      <c r="AI229" s="18">
        <v>9</v>
      </c>
      <c r="AJ229" s="65" t="s">
        <v>70</v>
      </c>
      <c r="AK229" s="12">
        <f>+'Form20 '!J230</f>
        <v>7</v>
      </c>
      <c r="AL229" s="18">
        <v>10</v>
      </c>
      <c r="AM229" s="66" t="s">
        <v>30</v>
      </c>
      <c r="AN229" s="12">
        <f>+'Form20 '!K230</f>
        <v>1</v>
      </c>
      <c r="AO229" s="18">
        <v>11</v>
      </c>
      <c r="AP229" s="66" t="s">
        <v>30</v>
      </c>
      <c r="AQ229" s="12">
        <f>+'Form20 '!L230</f>
        <v>1</v>
      </c>
      <c r="AR229" s="18">
        <v>12</v>
      </c>
      <c r="AS229" s="66" t="s">
        <v>30</v>
      </c>
      <c r="AT229" s="12">
        <f>+'Form20 '!M230</f>
        <v>2</v>
      </c>
      <c r="AU229" s="18">
        <v>13</v>
      </c>
      <c r="AV229" s="66" t="s">
        <v>30</v>
      </c>
      <c r="AW229" s="12">
        <f>+'Form20 '!N230</f>
        <v>3</v>
      </c>
      <c r="AX229" s="18">
        <v>14</v>
      </c>
      <c r="AY229" s="66" t="s">
        <v>30</v>
      </c>
      <c r="AZ229" s="12">
        <f>+'Form20 '!O230</f>
        <v>4</v>
      </c>
      <c r="BA229" s="75">
        <f t="shared" si="7"/>
        <v>657</v>
      </c>
    </row>
    <row r="230" spans="1:53" s="67" customFormat="1" ht="59.25" customHeight="1">
      <c r="A230" s="18">
        <v>333</v>
      </c>
      <c r="B230" s="59">
        <v>224</v>
      </c>
      <c r="C230" s="76" t="s">
        <v>301</v>
      </c>
      <c r="D230" s="61">
        <v>962</v>
      </c>
      <c r="E230" s="61">
        <v>245</v>
      </c>
      <c r="F230" s="61">
        <v>249</v>
      </c>
      <c r="G230" s="55">
        <v>0</v>
      </c>
      <c r="H230" s="62">
        <f t="shared" si="6"/>
        <v>494</v>
      </c>
      <c r="I230" s="55">
        <v>42</v>
      </c>
      <c r="J230" s="29">
        <v>0</v>
      </c>
      <c r="K230" s="18">
        <v>1</v>
      </c>
      <c r="L230" s="63" t="s">
        <v>29</v>
      </c>
      <c r="M230" s="12">
        <f>+'Form20 '!B231</f>
        <v>283</v>
      </c>
      <c r="N230" s="18">
        <v>2</v>
      </c>
      <c r="O230" s="58" t="s">
        <v>24</v>
      </c>
      <c r="P230" s="12">
        <f>+'Form20 '!C231</f>
        <v>35</v>
      </c>
      <c r="Q230" s="18">
        <v>3</v>
      </c>
      <c r="R230" s="63" t="s">
        <v>28</v>
      </c>
      <c r="S230" s="12">
        <f>+'Form20 '!D231</f>
        <v>166</v>
      </c>
      <c r="T230" s="18">
        <v>4</v>
      </c>
      <c r="U230" s="64" t="s">
        <v>65</v>
      </c>
      <c r="V230" s="12">
        <f>+'Form20 '!E231</f>
        <v>2</v>
      </c>
      <c r="W230" s="18">
        <v>5</v>
      </c>
      <c r="X230" s="58" t="s">
        <v>66</v>
      </c>
      <c r="Y230" s="12">
        <f>+'Form20 '!F231</f>
        <v>0</v>
      </c>
      <c r="Z230" s="18">
        <v>6</v>
      </c>
      <c r="AA230" s="64" t="s">
        <v>67</v>
      </c>
      <c r="AB230" s="12">
        <f>+'Form20 '!G231</f>
        <v>0</v>
      </c>
      <c r="AC230" s="18">
        <v>7</v>
      </c>
      <c r="AD230" s="63" t="s">
        <v>68</v>
      </c>
      <c r="AE230" s="12">
        <f>+'Form20 '!H231</f>
        <v>0</v>
      </c>
      <c r="AF230" s="18">
        <v>8</v>
      </c>
      <c r="AG230" s="63" t="s">
        <v>69</v>
      </c>
      <c r="AH230" s="12">
        <f>+'Form20 '!I231</f>
        <v>1</v>
      </c>
      <c r="AI230" s="18">
        <v>9</v>
      </c>
      <c r="AJ230" s="65" t="s">
        <v>70</v>
      </c>
      <c r="AK230" s="12">
        <f>+'Form20 '!J231</f>
        <v>3</v>
      </c>
      <c r="AL230" s="18">
        <v>10</v>
      </c>
      <c r="AM230" s="66" t="s">
        <v>30</v>
      </c>
      <c r="AN230" s="12">
        <f>+'Form20 '!K231</f>
        <v>0</v>
      </c>
      <c r="AO230" s="18">
        <v>11</v>
      </c>
      <c r="AP230" s="66" t="s">
        <v>30</v>
      </c>
      <c r="AQ230" s="12">
        <f>+'Form20 '!L231</f>
        <v>0</v>
      </c>
      <c r="AR230" s="18">
        <v>12</v>
      </c>
      <c r="AS230" s="66" t="s">
        <v>30</v>
      </c>
      <c r="AT230" s="12">
        <f>+'Form20 '!M231</f>
        <v>0</v>
      </c>
      <c r="AU230" s="18">
        <v>13</v>
      </c>
      <c r="AV230" s="66" t="s">
        <v>30</v>
      </c>
      <c r="AW230" s="12">
        <f>+'Form20 '!N231</f>
        <v>0</v>
      </c>
      <c r="AX230" s="18">
        <v>14</v>
      </c>
      <c r="AY230" s="66" t="s">
        <v>30</v>
      </c>
      <c r="AZ230" s="12">
        <f>+'Form20 '!O231</f>
        <v>0</v>
      </c>
      <c r="BA230" s="75">
        <f t="shared" si="7"/>
        <v>490</v>
      </c>
    </row>
    <row r="231" spans="1:53" s="67" customFormat="1" ht="59.25" customHeight="1">
      <c r="A231" s="18">
        <v>333</v>
      </c>
      <c r="B231" s="59">
        <v>225</v>
      </c>
      <c r="C231" s="76" t="s">
        <v>302</v>
      </c>
      <c r="D231" s="61">
        <v>666</v>
      </c>
      <c r="E231" s="61">
        <v>185</v>
      </c>
      <c r="F231" s="61">
        <v>218</v>
      </c>
      <c r="G231" s="55">
        <v>0</v>
      </c>
      <c r="H231" s="62">
        <f t="shared" si="6"/>
        <v>403</v>
      </c>
      <c r="I231" s="55">
        <v>36</v>
      </c>
      <c r="J231" s="29">
        <v>0</v>
      </c>
      <c r="K231" s="18">
        <v>1</v>
      </c>
      <c r="L231" s="63" t="s">
        <v>29</v>
      </c>
      <c r="M231" s="12">
        <f>+'Form20 '!B232</f>
        <v>125</v>
      </c>
      <c r="N231" s="18">
        <v>2</v>
      </c>
      <c r="O231" s="58" t="s">
        <v>24</v>
      </c>
      <c r="P231" s="12">
        <f>+'Form20 '!C232</f>
        <v>18</v>
      </c>
      <c r="Q231" s="18">
        <v>3</v>
      </c>
      <c r="R231" s="63" t="s">
        <v>28</v>
      </c>
      <c r="S231" s="12">
        <f>+'Form20 '!D232</f>
        <v>234</v>
      </c>
      <c r="T231" s="18">
        <v>4</v>
      </c>
      <c r="U231" s="64" t="s">
        <v>65</v>
      </c>
      <c r="V231" s="12">
        <f>+'Form20 '!E232</f>
        <v>1</v>
      </c>
      <c r="W231" s="18">
        <v>5</v>
      </c>
      <c r="X231" s="58" t="s">
        <v>66</v>
      </c>
      <c r="Y231" s="12">
        <f>+'Form20 '!F232</f>
        <v>0</v>
      </c>
      <c r="Z231" s="18">
        <v>6</v>
      </c>
      <c r="AA231" s="64" t="s">
        <v>67</v>
      </c>
      <c r="AB231" s="12">
        <f>+'Form20 '!G232</f>
        <v>0</v>
      </c>
      <c r="AC231" s="18">
        <v>7</v>
      </c>
      <c r="AD231" s="63" t="s">
        <v>68</v>
      </c>
      <c r="AE231" s="12">
        <f>+'Form20 '!H232</f>
        <v>1</v>
      </c>
      <c r="AF231" s="18">
        <v>8</v>
      </c>
      <c r="AG231" s="63" t="s">
        <v>69</v>
      </c>
      <c r="AH231" s="12">
        <f>+'Form20 '!I232</f>
        <v>0</v>
      </c>
      <c r="AI231" s="18">
        <v>9</v>
      </c>
      <c r="AJ231" s="65" t="s">
        <v>70</v>
      </c>
      <c r="AK231" s="12">
        <f>+'Form20 '!J232</f>
        <v>17</v>
      </c>
      <c r="AL231" s="18">
        <v>10</v>
      </c>
      <c r="AM231" s="66" t="s">
        <v>30</v>
      </c>
      <c r="AN231" s="12">
        <f>+'Form20 '!K232</f>
        <v>0</v>
      </c>
      <c r="AO231" s="18">
        <v>11</v>
      </c>
      <c r="AP231" s="66" t="s">
        <v>30</v>
      </c>
      <c r="AQ231" s="12">
        <f>+'Form20 '!L232</f>
        <v>2</v>
      </c>
      <c r="AR231" s="18">
        <v>12</v>
      </c>
      <c r="AS231" s="66" t="s">
        <v>30</v>
      </c>
      <c r="AT231" s="12">
        <f>+'Form20 '!M232</f>
        <v>1</v>
      </c>
      <c r="AU231" s="18">
        <v>13</v>
      </c>
      <c r="AV231" s="66" t="s">
        <v>30</v>
      </c>
      <c r="AW231" s="12">
        <f>+'Form20 '!N232</f>
        <v>1</v>
      </c>
      <c r="AX231" s="18">
        <v>14</v>
      </c>
      <c r="AY231" s="66" t="s">
        <v>30</v>
      </c>
      <c r="AZ231" s="12">
        <f>+'Form20 '!O232</f>
        <v>0</v>
      </c>
      <c r="BA231" s="75">
        <f t="shared" si="7"/>
        <v>400</v>
      </c>
    </row>
    <row r="232" spans="1:53" s="67" customFormat="1" ht="59.25" customHeight="1">
      <c r="A232" s="18">
        <v>333</v>
      </c>
      <c r="B232" s="59">
        <v>226</v>
      </c>
      <c r="C232" s="76" t="s">
        <v>303</v>
      </c>
      <c r="D232" s="61">
        <v>763</v>
      </c>
      <c r="E232" s="61">
        <v>224</v>
      </c>
      <c r="F232" s="61">
        <v>288</v>
      </c>
      <c r="G232" s="55">
        <v>0</v>
      </c>
      <c r="H232" s="62">
        <f t="shared" si="6"/>
        <v>512</v>
      </c>
      <c r="I232" s="55">
        <v>27</v>
      </c>
      <c r="J232" s="29">
        <v>0</v>
      </c>
      <c r="K232" s="18">
        <v>1</v>
      </c>
      <c r="L232" s="63" t="s">
        <v>29</v>
      </c>
      <c r="M232" s="12">
        <f>+'Form20 '!B233</f>
        <v>319</v>
      </c>
      <c r="N232" s="18">
        <v>2</v>
      </c>
      <c r="O232" s="58" t="s">
        <v>24</v>
      </c>
      <c r="P232" s="12">
        <f>+'Form20 '!C233</f>
        <v>51</v>
      </c>
      <c r="Q232" s="18">
        <v>3</v>
      </c>
      <c r="R232" s="63" t="s">
        <v>28</v>
      </c>
      <c r="S232" s="12">
        <f>+'Form20 '!D233</f>
        <v>129</v>
      </c>
      <c r="T232" s="18">
        <v>4</v>
      </c>
      <c r="U232" s="64" t="s">
        <v>65</v>
      </c>
      <c r="V232" s="12">
        <f>+'Form20 '!E233</f>
        <v>4</v>
      </c>
      <c r="W232" s="18">
        <v>5</v>
      </c>
      <c r="X232" s="58" t="s">
        <v>66</v>
      </c>
      <c r="Y232" s="12">
        <f>+'Form20 '!F233</f>
        <v>0</v>
      </c>
      <c r="Z232" s="18">
        <v>6</v>
      </c>
      <c r="AA232" s="64" t="s">
        <v>67</v>
      </c>
      <c r="AB232" s="12">
        <f>+'Form20 '!G233</f>
        <v>0</v>
      </c>
      <c r="AC232" s="18">
        <v>7</v>
      </c>
      <c r="AD232" s="63" t="s">
        <v>68</v>
      </c>
      <c r="AE232" s="12">
        <f>+'Form20 '!H233</f>
        <v>1</v>
      </c>
      <c r="AF232" s="18">
        <v>8</v>
      </c>
      <c r="AG232" s="63" t="s">
        <v>69</v>
      </c>
      <c r="AH232" s="12">
        <f>+'Form20 '!I233</f>
        <v>0</v>
      </c>
      <c r="AI232" s="18">
        <v>9</v>
      </c>
      <c r="AJ232" s="65" t="s">
        <v>70</v>
      </c>
      <c r="AK232" s="12">
        <f>+'Form20 '!J233</f>
        <v>1</v>
      </c>
      <c r="AL232" s="18">
        <v>10</v>
      </c>
      <c r="AM232" s="66" t="s">
        <v>30</v>
      </c>
      <c r="AN232" s="12">
        <f>+'Form20 '!K233</f>
        <v>0</v>
      </c>
      <c r="AO232" s="18">
        <v>11</v>
      </c>
      <c r="AP232" s="66" t="s">
        <v>30</v>
      </c>
      <c r="AQ232" s="12">
        <f>+'Form20 '!L233</f>
        <v>0</v>
      </c>
      <c r="AR232" s="18">
        <v>12</v>
      </c>
      <c r="AS232" s="66" t="s">
        <v>30</v>
      </c>
      <c r="AT232" s="12">
        <f>+'Form20 '!M233</f>
        <v>2</v>
      </c>
      <c r="AU232" s="18">
        <v>13</v>
      </c>
      <c r="AV232" s="66" t="s">
        <v>30</v>
      </c>
      <c r="AW232" s="12">
        <f>+'Form20 '!N233</f>
        <v>0</v>
      </c>
      <c r="AX232" s="18">
        <v>14</v>
      </c>
      <c r="AY232" s="66" t="s">
        <v>30</v>
      </c>
      <c r="AZ232" s="12">
        <f>+'Form20 '!O233</f>
        <v>1</v>
      </c>
      <c r="BA232" s="75">
        <f t="shared" si="7"/>
        <v>508</v>
      </c>
    </row>
    <row r="233" spans="1:53" s="67" customFormat="1" ht="59.25" customHeight="1">
      <c r="A233" s="18">
        <v>333</v>
      </c>
      <c r="B233" s="59">
        <v>227</v>
      </c>
      <c r="C233" s="76" t="s">
        <v>304</v>
      </c>
      <c r="D233" s="61">
        <v>590</v>
      </c>
      <c r="E233" s="61">
        <v>188</v>
      </c>
      <c r="F233" s="61">
        <v>222</v>
      </c>
      <c r="G233" s="55">
        <v>0</v>
      </c>
      <c r="H233" s="62">
        <f t="shared" si="6"/>
        <v>410</v>
      </c>
      <c r="I233" s="55">
        <v>14</v>
      </c>
      <c r="J233" s="29">
        <v>0</v>
      </c>
      <c r="K233" s="18">
        <v>1</v>
      </c>
      <c r="L233" s="63" t="s">
        <v>29</v>
      </c>
      <c r="M233" s="12">
        <f>+'Form20 '!B234</f>
        <v>185</v>
      </c>
      <c r="N233" s="18">
        <v>2</v>
      </c>
      <c r="O233" s="58" t="s">
        <v>24</v>
      </c>
      <c r="P233" s="12">
        <f>+'Form20 '!C234</f>
        <v>5</v>
      </c>
      <c r="Q233" s="18">
        <v>3</v>
      </c>
      <c r="R233" s="63" t="s">
        <v>28</v>
      </c>
      <c r="S233" s="12">
        <f>+'Form20 '!D234</f>
        <v>213</v>
      </c>
      <c r="T233" s="18">
        <v>4</v>
      </c>
      <c r="U233" s="64" t="s">
        <v>65</v>
      </c>
      <c r="V233" s="12">
        <f>+'Form20 '!E234</f>
        <v>1</v>
      </c>
      <c r="W233" s="18">
        <v>5</v>
      </c>
      <c r="X233" s="58" t="s">
        <v>66</v>
      </c>
      <c r="Y233" s="12">
        <f>+'Form20 '!F234</f>
        <v>0</v>
      </c>
      <c r="Z233" s="18">
        <v>6</v>
      </c>
      <c r="AA233" s="64" t="s">
        <v>67</v>
      </c>
      <c r="AB233" s="12">
        <f>+'Form20 '!G234</f>
        <v>0</v>
      </c>
      <c r="AC233" s="18">
        <v>7</v>
      </c>
      <c r="AD233" s="63" t="s">
        <v>68</v>
      </c>
      <c r="AE233" s="12">
        <f>+'Form20 '!H234</f>
        <v>0</v>
      </c>
      <c r="AF233" s="18">
        <v>8</v>
      </c>
      <c r="AG233" s="63" t="s">
        <v>69</v>
      </c>
      <c r="AH233" s="12">
        <f>+'Form20 '!I234</f>
        <v>0</v>
      </c>
      <c r="AI233" s="18">
        <v>9</v>
      </c>
      <c r="AJ233" s="65" t="s">
        <v>70</v>
      </c>
      <c r="AK233" s="12">
        <f>+'Form20 '!J234</f>
        <v>3</v>
      </c>
      <c r="AL233" s="18">
        <v>10</v>
      </c>
      <c r="AM233" s="66" t="s">
        <v>30</v>
      </c>
      <c r="AN233" s="12">
        <f>+'Form20 '!K234</f>
        <v>0</v>
      </c>
      <c r="AO233" s="18">
        <v>11</v>
      </c>
      <c r="AP233" s="66" t="s">
        <v>30</v>
      </c>
      <c r="AQ233" s="12">
        <f>+'Form20 '!L234</f>
        <v>1</v>
      </c>
      <c r="AR233" s="18">
        <v>12</v>
      </c>
      <c r="AS233" s="66" t="s">
        <v>30</v>
      </c>
      <c r="AT233" s="12">
        <f>+'Form20 '!M234</f>
        <v>0</v>
      </c>
      <c r="AU233" s="18">
        <v>13</v>
      </c>
      <c r="AV233" s="66" t="s">
        <v>30</v>
      </c>
      <c r="AW233" s="12">
        <f>+'Form20 '!N234</f>
        <v>1</v>
      </c>
      <c r="AX233" s="18">
        <v>14</v>
      </c>
      <c r="AY233" s="66" t="s">
        <v>30</v>
      </c>
      <c r="AZ233" s="12">
        <f>+'Form20 '!O234</f>
        <v>1</v>
      </c>
      <c r="BA233" s="75">
        <f t="shared" si="7"/>
        <v>410</v>
      </c>
    </row>
    <row r="234" spans="1:53" s="67" customFormat="1" ht="59.25" customHeight="1">
      <c r="A234" s="18">
        <v>333</v>
      </c>
      <c r="B234" s="59">
        <v>228</v>
      </c>
      <c r="C234" s="76" t="s">
        <v>305</v>
      </c>
      <c r="D234" s="61">
        <v>609</v>
      </c>
      <c r="E234" s="61">
        <v>187</v>
      </c>
      <c r="F234" s="61">
        <v>226</v>
      </c>
      <c r="G234" s="55">
        <v>0</v>
      </c>
      <c r="H234" s="62">
        <f t="shared" si="6"/>
        <v>413</v>
      </c>
      <c r="I234" s="55">
        <v>14</v>
      </c>
      <c r="J234" s="29">
        <v>0</v>
      </c>
      <c r="K234" s="18">
        <v>1</v>
      </c>
      <c r="L234" s="63" t="s">
        <v>29</v>
      </c>
      <c r="M234" s="12">
        <f>+'Form20 '!B235</f>
        <v>179</v>
      </c>
      <c r="N234" s="18">
        <v>2</v>
      </c>
      <c r="O234" s="58" t="s">
        <v>24</v>
      </c>
      <c r="P234" s="12">
        <f>+'Form20 '!C235</f>
        <v>93</v>
      </c>
      <c r="Q234" s="18">
        <v>3</v>
      </c>
      <c r="R234" s="63" t="s">
        <v>28</v>
      </c>
      <c r="S234" s="12">
        <f>+'Form20 '!D235</f>
        <v>130</v>
      </c>
      <c r="T234" s="18">
        <v>4</v>
      </c>
      <c r="U234" s="64" t="s">
        <v>65</v>
      </c>
      <c r="V234" s="12">
        <f>+'Form20 '!E235</f>
        <v>1</v>
      </c>
      <c r="W234" s="18">
        <v>5</v>
      </c>
      <c r="X234" s="58" t="s">
        <v>66</v>
      </c>
      <c r="Y234" s="12">
        <f>+'Form20 '!F235</f>
        <v>0</v>
      </c>
      <c r="Z234" s="18">
        <v>6</v>
      </c>
      <c r="AA234" s="64" t="s">
        <v>67</v>
      </c>
      <c r="AB234" s="12">
        <f>+'Form20 '!G235</f>
        <v>1</v>
      </c>
      <c r="AC234" s="18">
        <v>7</v>
      </c>
      <c r="AD234" s="63" t="s">
        <v>68</v>
      </c>
      <c r="AE234" s="12">
        <f>+'Form20 '!H235</f>
        <v>0</v>
      </c>
      <c r="AF234" s="18">
        <v>8</v>
      </c>
      <c r="AG234" s="63" t="s">
        <v>69</v>
      </c>
      <c r="AH234" s="12">
        <f>+'Form20 '!I235</f>
        <v>0</v>
      </c>
      <c r="AI234" s="18">
        <v>9</v>
      </c>
      <c r="AJ234" s="65" t="s">
        <v>70</v>
      </c>
      <c r="AK234" s="12">
        <f>+'Form20 '!J235</f>
        <v>3</v>
      </c>
      <c r="AL234" s="18">
        <v>10</v>
      </c>
      <c r="AM234" s="66" t="s">
        <v>30</v>
      </c>
      <c r="AN234" s="12">
        <f>+'Form20 '!K235</f>
        <v>0</v>
      </c>
      <c r="AO234" s="18">
        <v>11</v>
      </c>
      <c r="AP234" s="66" t="s">
        <v>30</v>
      </c>
      <c r="AQ234" s="12">
        <f>+'Form20 '!L235</f>
        <v>1</v>
      </c>
      <c r="AR234" s="18">
        <v>12</v>
      </c>
      <c r="AS234" s="66" t="s">
        <v>30</v>
      </c>
      <c r="AT234" s="12">
        <f>+'Form20 '!M235</f>
        <v>1</v>
      </c>
      <c r="AU234" s="18">
        <v>13</v>
      </c>
      <c r="AV234" s="66" t="s">
        <v>30</v>
      </c>
      <c r="AW234" s="12">
        <f>+'Form20 '!N235</f>
        <v>1</v>
      </c>
      <c r="AX234" s="18">
        <v>14</v>
      </c>
      <c r="AY234" s="66" t="s">
        <v>30</v>
      </c>
      <c r="AZ234" s="12">
        <f>+'Form20 '!O235</f>
        <v>0</v>
      </c>
      <c r="BA234" s="75">
        <f t="shared" si="7"/>
        <v>410</v>
      </c>
    </row>
    <row r="235" spans="1:53" s="67" customFormat="1" ht="59.25" customHeight="1">
      <c r="A235" s="18">
        <v>333</v>
      </c>
      <c r="B235" s="59">
        <v>229</v>
      </c>
      <c r="C235" s="76" t="s">
        <v>306</v>
      </c>
      <c r="D235" s="61">
        <v>984</v>
      </c>
      <c r="E235" s="61">
        <v>274</v>
      </c>
      <c r="F235" s="61">
        <v>353</v>
      </c>
      <c r="G235" s="55">
        <v>0</v>
      </c>
      <c r="H235" s="62">
        <f t="shared" si="6"/>
        <v>627</v>
      </c>
      <c r="I235" s="55">
        <v>30</v>
      </c>
      <c r="J235" s="29">
        <v>0</v>
      </c>
      <c r="K235" s="18">
        <v>1</v>
      </c>
      <c r="L235" s="63" t="s">
        <v>29</v>
      </c>
      <c r="M235" s="12">
        <f>+'Form20 '!B236</f>
        <v>307</v>
      </c>
      <c r="N235" s="18">
        <v>2</v>
      </c>
      <c r="O235" s="58" t="s">
        <v>24</v>
      </c>
      <c r="P235" s="12">
        <f>+'Form20 '!C236</f>
        <v>63</v>
      </c>
      <c r="Q235" s="18">
        <v>3</v>
      </c>
      <c r="R235" s="63" t="s">
        <v>28</v>
      </c>
      <c r="S235" s="12">
        <f>+'Form20 '!D236</f>
        <v>243</v>
      </c>
      <c r="T235" s="18">
        <v>4</v>
      </c>
      <c r="U235" s="64" t="s">
        <v>65</v>
      </c>
      <c r="V235" s="12">
        <f>+'Form20 '!E236</f>
        <v>3</v>
      </c>
      <c r="W235" s="18">
        <v>5</v>
      </c>
      <c r="X235" s="58" t="s">
        <v>66</v>
      </c>
      <c r="Y235" s="12">
        <f>+'Form20 '!F236</f>
        <v>1</v>
      </c>
      <c r="Z235" s="18">
        <v>6</v>
      </c>
      <c r="AA235" s="64" t="s">
        <v>67</v>
      </c>
      <c r="AB235" s="12">
        <f>+'Form20 '!G236</f>
        <v>0</v>
      </c>
      <c r="AC235" s="18">
        <v>7</v>
      </c>
      <c r="AD235" s="63" t="s">
        <v>68</v>
      </c>
      <c r="AE235" s="12">
        <f>+'Form20 '!H236</f>
        <v>1</v>
      </c>
      <c r="AF235" s="18">
        <v>8</v>
      </c>
      <c r="AG235" s="63" t="s">
        <v>69</v>
      </c>
      <c r="AH235" s="12">
        <f>+'Form20 '!I236</f>
        <v>0</v>
      </c>
      <c r="AI235" s="18">
        <v>9</v>
      </c>
      <c r="AJ235" s="65" t="s">
        <v>70</v>
      </c>
      <c r="AK235" s="12">
        <f>+'Form20 '!J236</f>
        <v>0</v>
      </c>
      <c r="AL235" s="18">
        <v>10</v>
      </c>
      <c r="AM235" s="66" t="s">
        <v>30</v>
      </c>
      <c r="AN235" s="12">
        <f>+'Form20 '!K236</f>
        <v>1</v>
      </c>
      <c r="AO235" s="18">
        <v>11</v>
      </c>
      <c r="AP235" s="66" t="s">
        <v>30</v>
      </c>
      <c r="AQ235" s="12">
        <f>+'Form20 '!L236</f>
        <v>0</v>
      </c>
      <c r="AR235" s="18">
        <v>12</v>
      </c>
      <c r="AS235" s="66" t="s">
        <v>30</v>
      </c>
      <c r="AT235" s="12">
        <f>+'Form20 '!M236</f>
        <v>2</v>
      </c>
      <c r="AU235" s="18">
        <v>13</v>
      </c>
      <c r="AV235" s="66" t="s">
        <v>30</v>
      </c>
      <c r="AW235" s="12">
        <f>+'Form20 '!N236</f>
        <v>1</v>
      </c>
      <c r="AX235" s="18">
        <v>14</v>
      </c>
      <c r="AY235" s="66" t="s">
        <v>30</v>
      </c>
      <c r="AZ235" s="12">
        <f>+'Form20 '!O236</f>
        <v>0</v>
      </c>
      <c r="BA235" s="75">
        <f t="shared" si="7"/>
        <v>622</v>
      </c>
    </row>
    <row r="236" spans="1:53" s="67" customFormat="1" ht="59.25" customHeight="1">
      <c r="A236" s="18">
        <v>333</v>
      </c>
      <c r="B236" s="59">
        <v>230</v>
      </c>
      <c r="C236" s="76" t="s">
        <v>307</v>
      </c>
      <c r="D236" s="61">
        <v>856</v>
      </c>
      <c r="E236" s="61">
        <v>272</v>
      </c>
      <c r="F236" s="61">
        <v>338</v>
      </c>
      <c r="G236" s="55">
        <v>0</v>
      </c>
      <c r="H236" s="62">
        <f t="shared" si="6"/>
        <v>610</v>
      </c>
      <c r="I236" s="55">
        <v>55</v>
      </c>
      <c r="J236" s="29">
        <v>0</v>
      </c>
      <c r="K236" s="18">
        <v>1</v>
      </c>
      <c r="L236" s="63" t="s">
        <v>29</v>
      </c>
      <c r="M236" s="12">
        <f>+'Form20 '!B237</f>
        <v>185</v>
      </c>
      <c r="N236" s="18">
        <v>2</v>
      </c>
      <c r="O236" s="58" t="s">
        <v>24</v>
      </c>
      <c r="P236" s="12">
        <f>+'Form20 '!C237</f>
        <v>3</v>
      </c>
      <c r="Q236" s="18">
        <v>3</v>
      </c>
      <c r="R236" s="63" t="s">
        <v>28</v>
      </c>
      <c r="S236" s="12">
        <f>+'Form20 '!D237</f>
        <v>384</v>
      </c>
      <c r="T236" s="18">
        <v>4</v>
      </c>
      <c r="U236" s="64" t="s">
        <v>65</v>
      </c>
      <c r="V236" s="12">
        <f>+'Form20 '!E237</f>
        <v>3</v>
      </c>
      <c r="W236" s="18">
        <v>5</v>
      </c>
      <c r="X236" s="58" t="s">
        <v>66</v>
      </c>
      <c r="Y236" s="12">
        <f>+'Form20 '!F237</f>
        <v>0</v>
      </c>
      <c r="Z236" s="18">
        <v>6</v>
      </c>
      <c r="AA236" s="64" t="s">
        <v>67</v>
      </c>
      <c r="AB236" s="12">
        <f>+'Form20 '!G237</f>
        <v>0</v>
      </c>
      <c r="AC236" s="18">
        <v>7</v>
      </c>
      <c r="AD236" s="63" t="s">
        <v>68</v>
      </c>
      <c r="AE236" s="12">
        <f>+'Form20 '!H237</f>
        <v>1</v>
      </c>
      <c r="AF236" s="18">
        <v>8</v>
      </c>
      <c r="AG236" s="63" t="s">
        <v>69</v>
      </c>
      <c r="AH236" s="12">
        <f>+'Form20 '!I237</f>
        <v>1</v>
      </c>
      <c r="AI236" s="18">
        <v>9</v>
      </c>
      <c r="AJ236" s="65" t="s">
        <v>70</v>
      </c>
      <c r="AK236" s="12">
        <f>+'Form20 '!J237</f>
        <v>13</v>
      </c>
      <c r="AL236" s="18">
        <v>10</v>
      </c>
      <c r="AM236" s="66" t="s">
        <v>30</v>
      </c>
      <c r="AN236" s="12">
        <f>+'Form20 '!K237</f>
        <v>10</v>
      </c>
      <c r="AO236" s="18">
        <v>11</v>
      </c>
      <c r="AP236" s="66" t="s">
        <v>30</v>
      </c>
      <c r="AQ236" s="12">
        <f>+'Form20 '!L237</f>
        <v>0</v>
      </c>
      <c r="AR236" s="18">
        <v>12</v>
      </c>
      <c r="AS236" s="66" t="s">
        <v>30</v>
      </c>
      <c r="AT236" s="12">
        <f>+'Form20 '!M237</f>
        <v>3</v>
      </c>
      <c r="AU236" s="18">
        <v>13</v>
      </c>
      <c r="AV236" s="66" t="s">
        <v>30</v>
      </c>
      <c r="AW236" s="12">
        <f>+'Form20 '!N237</f>
        <v>2</v>
      </c>
      <c r="AX236" s="18">
        <v>14</v>
      </c>
      <c r="AY236" s="66" t="s">
        <v>30</v>
      </c>
      <c r="AZ236" s="12">
        <f>+'Form20 '!O237</f>
        <v>1</v>
      </c>
      <c r="BA236" s="75">
        <f t="shared" si="7"/>
        <v>606</v>
      </c>
    </row>
    <row r="237" spans="1:53" s="67" customFormat="1" ht="59.25" customHeight="1">
      <c r="A237" s="18">
        <v>333</v>
      </c>
      <c r="B237" s="59">
        <v>231</v>
      </c>
      <c r="C237" s="76" t="s">
        <v>308</v>
      </c>
      <c r="D237" s="61">
        <v>640</v>
      </c>
      <c r="E237" s="61">
        <v>169</v>
      </c>
      <c r="F237" s="61">
        <v>220</v>
      </c>
      <c r="G237" s="55">
        <v>0</v>
      </c>
      <c r="H237" s="62">
        <f t="shared" si="6"/>
        <v>389</v>
      </c>
      <c r="I237" s="55">
        <v>29</v>
      </c>
      <c r="J237" s="29">
        <v>0</v>
      </c>
      <c r="K237" s="18">
        <v>1</v>
      </c>
      <c r="L237" s="63" t="s">
        <v>29</v>
      </c>
      <c r="M237" s="12">
        <f>+'Form20 '!B238</f>
        <v>148</v>
      </c>
      <c r="N237" s="18">
        <v>2</v>
      </c>
      <c r="O237" s="58" t="s">
        <v>24</v>
      </c>
      <c r="P237" s="12">
        <f>+'Form20 '!C238</f>
        <v>7</v>
      </c>
      <c r="Q237" s="18">
        <v>3</v>
      </c>
      <c r="R237" s="63" t="s">
        <v>28</v>
      </c>
      <c r="S237" s="12">
        <f>+'Form20 '!D238</f>
        <v>216</v>
      </c>
      <c r="T237" s="18">
        <v>4</v>
      </c>
      <c r="U237" s="64" t="s">
        <v>65</v>
      </c>
      <c r="V237" s="12">
        <f>+'Form20 '!E238</f>
        <v>2</v>
      </c>
      <c r="W237" s="18">
        <v>5</v>
      </c>
      <c r="X237" s="58" t="s">
        <v>66</v>
      </c>
      <c r="Y237" s="12">
        <f>+'Form20 '!F238</f>
        <v>0</v>
      </c>
      <c r="Z237" s="18">
        <v>6</v>
      </c>
      <c r="AA237" s="64" t="s">
        <v>67</v>
      </c>
      <c r="AB237" s="12">
        <f>+'Form20 '!G238</f>
        <v>2</v>
      </c>
      <c r="AC237" s="18">
        <v>7</v>
      </c>
      <c r="AD237" s="63" t="s">
        <v>68</v>
      </c>
      <c r="AE237" s="12">
        <f>+'Form20 '!H238</f>
        <v>1</v>
      </c>
      <c r="AF237" s="18">
        <v>8</v>
      </c>
      <c r="AG237" s="63" t="s">
        <v>69</v>
      </c>
      <c r="AH237" s="12">
        <f>+'Form20 '!I238</f>
        <v>0</v>
      </c>
      <c r="AI237" s="18">
        <v>9</v>
      </c>
      <c r="AJ237" s="65" t="s">
        <v>70</v>
      </c>
      <c r="AK237" s="12">
        <f>+'Form20 '!J238</f>
        <v>10</v>
      </c>
      <c r="AL237" s="18">
        <v>10</v>
      </c>
      <c r="AM237" s="66" t="s">
        <v>30</v>
      </c>
      <c r="AN237" s="12">
        <f>+'Form20 '!K238</f>
        <v>1</v>
      </c>
      <c r="AO237" s="18">
        <v>11</v>
      </c>
      <c r="AP237" s="66" t="s">
        <v>30</v>
      </c>
      <c r="AQ237" s="12">
        <f>+'Form20 '!L238</f>
        <v>0</v>
      </c>
      <c r="AR237" s="18">
        <v>12</v>
      </c>
      <c r="AS237" s="66" t="s">
        <v>30</v>
      </c>
      <c r="AT237" s="12">
        <f>+'Form20 '!M238</f>
        <v>1</v>
      </c>
      <c r="AU237" s="18">
        <v>13</v>
      </c>
      <c r="AV237" s="66" t="s">
        <v>30</v>
      </c>
      <c r="AW237" s="12">
        <f>+'Form20 '!N238</f>
        <v>0</v>
      </c>
      <c r="AX237" s="18">
        <v>14</v>
      </c>
      <c r="AY237" s="66" t="s">
        <v>30</v>
      </c>
      <c r="AZ237" s="12">
        <f>+'Form20 '!O238</f>
        <v>0</v>
      </c>
      <c r="BA237" s="75">
        <f t="shared" si="7"/>
        <v>388</v>
      </c>
    </row>
    <row r="238" spans="1:53" s="67" customFormat="1" ht="59.25" customHeight="1">
      <c r="A238" s="18">
        <v>333</v>
      </c>
      <c r="B238" s="59">
        <v>232</v>
      </c>
      <c r="C238" s="76" t="s">
        <v>308</v>
      </c>
      <c r="D238" s="61">
        <v>637</v>
      </c>
      <c r="E238" s="61">
        <v>188</v>
      </c>
      <c r="F238" s="61">
        <v>228</v>
      </c>
      <c r="G238" s="55">
        <v>0</v>
      </c>
      <c r="H238" s="62">
        <f t="shared" si="6"/>
        <v>416</v>
      </c>
      <c r="I238" s="55">
        <v>47</v>
      </c>
      <c r="J238" s="29">
        <v>0</v>
      </c>
      <c r="K238" s="18">
        <v>1</v>
      </c>
      <c r="L238" s="63" t="s">
        <v>29</v>
      </c>
      <c r="M238" s="12">
        <f>+'Form20 '!B239</f>
        <v>120</v>
      </c>
      <c r="N238" s="18">
        <v>2</v>
      </c>
      <c r="O238" s="58" t="s">
        <v>24</v>
      </c>
      <c r="P238" s="12">
        <f>+'Form20 '!C239</f>
        <v>55</v>
      </c>
      <c r="Q238" s="18">
        <v>3</v>
      </c>
      <c r="R238" s="63" t="s">
        <v>28</v>
      </c>
      <c r="S238" s="12">
        <f>+'Form20 '!D239</f>
        <v>214</v>
      </c>
      <c r="T238" s="18">
        <v>4</v>
      </c>
      <c r="U238" s="64" t="s">
        <v>65</v>
      </c>
      <c r="V238" s="12">
        <f>+'Form20 '!E239</f>
        <v>3</v>
      </c>
      <c r="W238" s="18">
        <v>5</v>
      </c>
      <c r="X238" s="58" t="s">
        <v>66</v>
      </c>
      <c r="Y238" s="12">
        <f>+'Form20 '!F239</f>
        <v>0</v>
      </c>
      <c r="Z238" s="18">
        <v>6</v>
      </c>
      <c r="AA238" s="64" t="s">
        <v>67</v>
      </c>
      <c r="AB238" s="12">
        <f>+'Form20 '!G239</f>
        <v>0</v>
      </c>
      <c r="AC238" s="18">
        <v>7</v>
      </c>
      <c r="AD238" s="63" t="s">
        <v>68</v>
      </c>
      <c r="AE238" s="12">
        <f>+'Form20 '!H239</f>
        <v>0</v>
      </c>
      <c r="AF238" s="18">
        <v>8</v>
      </c>
      <c r="AG238" s="63" t="s">
        <v>69</v>
      </c>
      <c r="AH238" s="12">
        <f>+'Form20 '!I239</f>
        <v>1</v>
      </c>
      <c r="AI238" s="18">
        <v>9</v>
      </c>
      <c r="AJ238" s="65" t="s">
        <v>70</v>
      </c>
      <c r="AK238" s="12">
        <f>+'Form20 '!J239</f>
        <v>13</v>
      </c>
      <c r="AL238" s="18">
        <v>10</v>
      </c>
      <c r="AM238" s="66" t="s">
        <v>30</v>
      </c>
      <c r="AN238" s="12">
        <f>+'Form20 '!K239</f>
        <v>0</v>
      </c>
      <c r="AO238" s="18">
        <v>11</v>
      </c>
      <c r="AP238" s="66" t="s">
        <v>30</v>
      </c>
      <c r="AQ238" s="12">
        <f>+'Form20 '!L239</f>
        <v>2</v>
      </c>
      <c r="AR238" s="18">
        <v>12</v>
      </c>
      <c r="AS238" s="66" t="s">
        <v>30</v>
      </c>
      <c r="AT238" s="12">
        <f>+'Form20 '!M239</f>
        <v>2</v>
      </c>
      <c r="AU238" s="18">
        <v>13</v>
      </c>
      <c r="AV238" s="66" t="s">
        <v>30</v>
      </c>
      <c r="AW238" s="12">
        <f>+'Form20 '!N239</f>
        <v>0</v>
      </c>
      <c r="AX238" s="18">
        <v>14</v>
      </c>
      <c r="AY238" s="66" t="s">
        <v>30</v>
      </c>
      <c r="AZ238" s="12">
        <f>+'Form20 '!O239</f>
        <v>1</v>
      </c>
      <c r="BA238" s="75">
        <f t="shared" si="7"/>
        <v>411</v>
      </c>
    </row>
    <row r="239" spans="1:53" s="67" customFormat="1" ht="59.25" customHeight="1">
      <c r="A239" s="18">
        <v>333</v>
      </c>
      <c r="B239" s="59">
        <v>233</v>
      </c>
      <c r="C239" s="76" t="s">
        <v>309</v>
      </c>
      <c r="D239" s="61">
        <v>1034</v>
      </c>
      <c r="E239" s="61">
        <v>211</v>
      </c>
      <c r="F239" s="61">
        <v>270</v>
      </c>
      <c r="G239" s="55">
        <v>0</v>
      </c>
      <c r="H239" s="62">
        <f t="shared" si="6"/>
        <v>481</v>
      </c>
      <c r="I239" s="55">
        <v>354</v>
      </c>
      <c r="J239" s="29">
        <v>0</v>
      </c>
      <c r="K239" s="18">
        <v>1</v>
      </c>
      <c r="L239" s="63" t="s">
        <v>29</v>
      </c>
      <c r="M239" s="12">
        <f>+'Form20 '!B240</f>
        <v>137</v>
      </c>
      <c r="N239" s="18">
        <v>2</v>
      </c>
      <c r="O239" s="58" t="s">
        <v>24</v>
      </c>
      <c r="P239" s="12">
        <f>+'Form20 '!C240</f>
        <v>16</v>
      </c>
      <c r="Q239" s="18">
        <v>3</v>
      </c>
      <c r="R239" s="63" t="s">
        <v>28</v>
      </c>
      <c r="S239" s="12">
        <f>+'Form20 '!D240</f>
        <v>301</v>
      </c>
      <c r="T239" s="18">
        <v>4</v>
      </c>
      <c r="U239" s="64" t="s">
        <v>65</v>
      </c>
      <c r="V239" s="12">
        <f>+'Form20 '!E240</f>
        <v>6</v>
      </c>
      <c r="W239" s="18">
        <v>5</v>
      </c>
      <c r="X239" s="58" t="s">
        <v>66</v>
      </c>
      <c r="Y239" s="12">
        <f>+'Form20 '!F240</f>
        <v>0</v>
      </c>
      <c r="Z239" s="18">
        <v>6</v>
      </c>
      <c r="AA239" s="64" t="s">
        <v>67</v>
      </c>
      <c r="AB239" s="12">
        <f>+'Form20 '!G240</f>
        <v>0</v>
      </c>
      <c r="AC239" s="18">
        <v>7</v>
      </c>
      <c r="AD239" s="63" t="s">
        <v>68</v>
      </c>
      <c r="AE239" s="12">
        <f>+'Form20 '!H240</f>
        <v>2</v>
      </c>
      <c r="AF239" s="18">
        <v>8</v>
      </c>
      <c r="AG239" s="63" t="s">
        <v>69</v>
      </c>
      <c r="AH239" s="12">
        <f>+'Form20 '!I240</f>
        <v>0</v>
      </c>
      <c r="AI239" s="18">
        <v>9</v>
      </c>
      <c r="AJ239" s="65" t="s">
        <v>70</v>
      </c>
      <c r="AK239" s="12">
        <f>+'Form20 '!J240</f>
        <v>12</v>
      </c>
      <c r="AL239" s="18">
        <v>10</v>
      </c>
      <c r="AM239" s="66" t="s">
        <v>30</v>
      </c>
      <c r="AN239" s="12">
        <f>+'Form20 '!K240</f>
        <v>0</v>
      </c>
      <c r="AO239" s="18">
        <v>11</v>
      </c>
      <c r="AP239" s="66" t="s">
        <v>30</v>
      </c>
      <c r="AQ239" s="12">
        <f>+'Form20 '!L240</f>
        <v>1</v>
      </c>
      <c r="AR239" s="18">
        <v>12</v>
      </c>
      <c r="AS239" s="66" t="s">
        <v>30</v>
      </c>
      <c r="AT239" s="12">
        <f>+'Form20 '!M240</f>
        <v>2</v>
      </c>
      <c r="AU239" s="18">
        <v>13</v>
      </c>
      <c r="AV239" s="66" t="s">
        <v>30</v>
      </c>
      <c r="AW239" s="12">
        <f>+'Form20 '!N240</f>
        <v>0</v>
      </c>
      <c r="AX239" s="18">
        <v>14</v>
      </c>
      <c r="AY239" s="66" t="s">
        <v>30</v>
      </c>
      <c r="AZ239" s="12">
        <f>+'Form20 '!O240</f>
        <v>1</v>
      </c>
      <c r="BA239" s="75">
        <f t="shared" si="7"/>
        <v>478</v>
      </c>
    </row>
    <row r="240" spans="1:53" s="67" customFormat="1" ht="59.25" customHeight="1">
      <c r="A240" s="18">
        <v>333</v>
      </c>
      <c r="B240" s="59">
        <v>234</v>
      </c>
      <c r="C240" s="76" t="s">
        <v>310</v>
      </c>
      <c r="D240" s="61">
        <v>876</v>
      </c>
      <c r="E240" s="61">
        <v>279</v>
      </c>
      <c r="F240" s="61">
        <v>287</v>
      </c>
      <c r="G240" s="55">
        <v>0</v>
      </c>
      <c r="H240" s="62">
        <f t="shared" si="6"/>
        <v>566</v>
      </c>
      <c r="I240" s="55">
        <v>168</v>
      </c>
      <c r="J240" s="29">
        <v>0</v>
      </c>
      <c r="K240" s="18">
        <v>1</v>
      </c>
      <c r="L240" s="63" t="s">
        <v>29</v>
      </c>
      <c r="M240" s="12">
        <f>+'Form20 '!B241</f>
        <v>236</v>
      </c>
      <c r="N240" s="18">
        <v>2</v>
      </c>
      <c r="O240" s="58" t="s">
        <v>24</v>
      </c>
      <c r="P240" s="12">
        <f>+'Form20 '!C241</f>
        <v>72</v>
      </c>
      <c r="Q240" s="18">
        <v>3</v>
      </c>
      <c r="R240" s="63" t="s">
        <v>28</v>
      </c>
      <c r="S240" s="12">
        <f>+'Form20 '!D241</f>
        <v>238</v>
      </c>
      <c r="T240" s="18">
        <v>4</v>
      </c>
      <c r="U240" s="64" t="s">
        <v>65</v>
      </c>
      <c r="V240" s="12">
        <f>+'Form20 '!E241</f>
        <v>4</v>
      </c>
      <c r="W240" s="18">
        <v>5</v>
      </c>
      <c r="X240" s="58" t="s">
        <v>66</v>
      </c>
      <c r="Y240" s="12">
        <f>+'Form20 '!F241</f>
        <v>1</v>
      </c>
      <c r="Z240" s="18">
        <v>6</v>
      </c>
      <c r="AA240" s="64" t="s">
        <v>67</v>
      </c>
      <c r="AB240" s="12">
        <f>+'Form20 '!G241</f>
        <v>0</v>
      </c>
      <c r="AC240" s="18">
        <v>7</v>
      </c>
      <c r="AD240" s="63" t="s">
        <v>68</v>
      </c>
      <c r="AE240" s="12">
        <f>+'Form20 '!H241</f>
        <v>1</v>
      </c>
      <c r="AF240" s="18">
        <v>8</v>
      </c>
      <c r="AG240" s="63" t="s">
        <v>69</v>
      </c>
      <c r="AH240" s="12">
        <f>+'Form20 '!I241</f>
        <v>1</v>
      </c>
      <c r="AI240" s="18">
        <v>9</v>
      </c>
      <c r="AJ240" s="65" t="s">
        <v>70</v>
      </c>
      <c r="AK240" s="12">
        <f>+'Form20 '!J241</f>
        <v>10</v>
      </c>
      <c r="AL240" s="18">
        <v>10</v>
      </c>
      <c r="AM240" s="66" t="s">
        <v>30</v>
      </c>
      <c r="AN240" s="12">
        <f>+'Form20 '!K241</f>
        <v>0</v>
      </c>
      <c r="AO240" s="18">
        <v>11</v>
      </c>
      <c r="AP240" s="66" t="s">
        <v>30</v>
      </c>
      <c r="AQ240" s="12">
        <f>+'Form20 '!L241</f>
        <v>0</v>
      </c>
      <c r="AR240" s="18">
        <v>12</v>
      </c>
      <c r="AS240" s="66" t="s">
        <v>30</v>
      </c>
      <c r="AT240" s="12">
        <f>+'Form20 '!M241</f>
        <v>1</v>
      </c>
      <c r="AU240" s="18">
        <v>13</v>
      </c>
      <c r="AV240" s="66" t="s">
        <v>30</v>
      </c>
      <c r="AW240" s="12">
        <f>+'Form20 '!N241</f>
        <v>0</v>
      </c>
      <c r="AX240" s="18">
        <v>14</v>
      </c>
      <c r="AY240" s="66" t="s">
        <v>30</v>
      </c>
      <c r="AZ240" s="12">
        <f>+'Form20 '!O241</f>
        <v>1</v>
      </c>
      <c r="BA240" s="75">
        <f t="shared" si="7"/>
        <v>565</v>
      </c>
    </row>
    <row r="241" spans="1:53" s="67" customFormat="1" ht="59.25" customHeight="1">
      <c r="A241" s="18">
        <v>333</v>
      </c>
      <c r="B241" s="59">
        <v>235</v>
      </c>
      <c r="C241" s="76" t="s">
        <v>311</v>
      </c>
      <c r="D241" s="61">
        <v>787</v>
      </c>
      <c r="E241" s="61">
        <v>173</v>
      </c>
      <c r="F241" s="61">
        <v>266</v>
      </c>
      <c r="G241" s="55">
        <v>0</v>
      </c>
      <c r="H241" s="62">
        <f t="shared" si="6"/>
        <v>439</v>
      </c>
      <c r="I241" s="55">
        <v>109</v>
      </c>
      <c r="J241" s="29">
        <v>0</v>
      </c>
      <c r="K241" s="18">
        <v>1</v>
      </c>
      <c r="L241" s="63" t="s">
        <v>29</v>
      </c>
      <c r="M241" s="12">
        <f>+'Form20 '!B242</f>
        <v>106</v>
      </c>
      <c r="N241" s="18">
        <v>2</v>
      </c>
      <c r="O241" s="58" t="s">
        <v>24</v>
      </c>
      <c r="P241" s="12">
        <f>+'Form20 '!C242</f>
        <v>92</v>
      </c>
      <c r="Q241" s="18">
        <v>3</v>
      </c>
      <c r="R241" s="63" t="s">
        <v>28</v>
      </c>
      <c r="S241" s="12">
        <f>+'Form20 '!D242</f>
        <v>201</v>
      </c>
      <c r="T241" s="18">
        <v>4</v>
      </c>
      <c r="U241" s="64" t="s">
        <v>65</v>
      </c>
      <c r="V241" s="12">
        <f>+'Form20 '!E242</f>
        <v>2</v>
      </c>
      <c r="W241" s="18">
        <v>5</v>
      </c>
      <c r="X241" s="58" t="s">
        <v>66</v>
      </c>
      <c r="Y241" s="12">
        <f>+'Form20 '!F242</f>
        <v>1</v>
      </c>
      <c r="Z241" s="18">
        <v>6</v>
      </c>
      <c r="AA241" s="64" t="s">
        <v>67</v>
      </c>
      <c r="AB241" s="12">
        <f>+'Form20 '!G242</f>
        <v>0</v>
      </c>
      <c r="AC241" s="18">
        <v>7</v>
      </c>
      <c r="AD241" s="63" t="s">
        <v>68</v>
      </c>
      <c r="AE241" s="12">
        <f>+'Form20 '!H242</f>
        <v>0</v>
      </c>
      <c r="AF241" s="18">
        <v>8</v>
      </c>
      <c r="AG241" s="63" t="s">
        <v>69</v>
      </c>
      <c r="AH241" s="12">
        <f>+'Form20 '!I242</f>
        <v>0</v>
      </c>
      <c r="AI241" s="18">
        <v>9</v>
      </c>
      <c r="AJ241" s="65" t="s">
        <v>70</v>
      </c>
      <c r="AK241" s="12">
        <f>+'Form20 '!J242</f>
        <v>33</v>
      </c>
      <c r="AL241" s="18">
        <v>10</v>
      </c>
      <c r="AM241" s="66" t="s">
        <v>30</v>
      </c>
      <c r="AN241" s="12">
        <f>+'Form20 '!K242</f>
        <v>0</v>
      </c>
      <c r="AO241" s="18">
        <v>11</v>
      </c>
      <c r="AP241" s="66" t="s">
        <v>30</v>
      </c>
      <c r="AQ241" s="12">
        <f>+'Form20 '!L242</f>
        <v>0</v>
      </c>
      <c r="AR241" s="18">
        <v>12</v>
      </c>
      <c r="AS241" s="66" t="s">
        <v>30</v>
      </c>
      <c r="AT241" s="12">
        <f>+'Form20 '!M242</f>
        <v>1</v>
      </c>
      <c r="AU241" s="18">
        <v>13</v>
      </c>
      <c r="AV241" s="66" t="s">
        <v>30</v>
      </c>
      <c r="AW241" s="12">
        <f>+'Form20 '!N242</f>
        <v>1</v>
      </c>
      <c r="AX241" s="18">
        <v>14</v>
      </c>
      <c r="AY241" s="66" t="s">
        <v>30</v>
      </c>
      <c r="AZ241" s="12">
        <f>+'Form20 '!O242</f>
        <v>2</v>
      </c>
      <c r="BA241" s="75">
        <f t="shared" si="7"/>
        <v>439</v>
      </c>
    </row>
    <row r="242" spans="1:53" s="67" customFormat="1" ht="59.25" customHeight="1">
      <c r="A242" s="18">
        <v>333</v>
      </c>
      <c r="B242" s="59">
        <v>236</v>
      </c>
      <c r="C242" s="76" t="s">
        <v>312</v>
      </c>
      <c r="D242" s="61">
        <v>607</v>
      </c>
      <c r="E242" s="61">
        <v>197</v>
      </c>
      <c r="F242" s="61">
        <v>201</v>
      </c>
      <c r="G242" s="55">
        <v>0</v>
      </c>
      <c r="H242" s="62">
        <f t="shared" si="6"/>
        <v>398</v>
      </c>
      <c r="I242" s="55">
        <v>90</v>
      </c>
      <c r="J242" s="29">
        <v>0</v>
      </c>
      <c r="K242" s="18">
        <v>1</v>
      </c>
      <c r="L242" s="63" t="s">
        <v>29</v>
      </c>
      <c r="M242" s="12">
        <f>+'Form20 '!B243</f>
        <v>87</v>
      </c>
      <c r="N242" s="18">
        <v>2</v>
      </c>
      <c r="O242" s="58" t="s">
        <v>24</v>
      </c>
      <c r="P242" s="12">
        <f>+'Form20 '!C243</f>
        <v>18</v>
      </c>
      <c r="Q242" s="18">
        <v>3</v>
      </c>
      <c r="R242" s="63" t="s">
        <v>28</v>
      </c>
      <c r="S242" s="12">
        <f>+'Form20 '!D243</f>
        <v>259</v>
      </c>
      <c r="T242" s="18">
        <v>4</v>
      </c>
      <c r="U242" s="64" t="s">
        <v>65</v>
      </c>
      <c r="V242" s="12">
        <f>+'Form20 '!E243</f>
        <v>2</v>
      </c>
      <c r="W242" s="18">
        <v>5</v>
      </c>
      <c r="X242" s="58" t="s">
        <v>66</v>
      </c>
      <c r="Y242" s="12">
        <f>+'Form20 '!F243</f>
        <v>0</v>
      </c>
      <c r="Z242" s="18">
        <v>6</v>
      </c>
      <c r="AA242" s="64" t="s">
        <v>67</v>
      </c>
      <c r="AB242" s="12">
        <f>+'Form20 '!G243</f>
        <v>0</v>
      </c>
      <c r="AC242" s="18">
        <v>7</v>
      </c>
      <c r="AD242" s="63" t="s">
        <v>68</v>
      </c>
      <c r="AE242" s="12">
        <f>+'Form20 '!H243</f>
        <v>1</v>
      </c>
      <c r="AF242" s="18">
        <v>8</v>
      </c>
      <c r="AG242" s="63" t="s">
        <v>69</v>
      </c>
      <c r="AH242" s="12">
        <f>+'Form20 '!I243</f>
        <v>1</v>
      </c>
      <c r="AI242" s="18">
        <v>9</v>
      </c>
      <c r="AJ242" s="65" t="s">
        <v>70</v>
      </c>
      <c r="AK242" s="12">
        <f>+'Form20 '!J243</f>
        <v>29</v>
      </c>
      <c r="AL242" s="18">
        <v>10</v>
      </c>
      <c r="AM242" s="66" t="s">
        <v>30</v>
      </c>
      <c r="AN242" s="12">
        <f>+'Form20 '!K243</f>
        <v>0</v>
      </c>
      <c r="AO242" s="18">
        <v>11</v>
      </c>
      <c r="AP242" s="66" t="s">
        <v>30</v>
      </c>
      <c r="AQ242" s="12">
        <f>+'Form20 '!L243</f>
        <v>0</v>
      </c>
      <c r="AR242" s="18">
        <v>12</v>
      </c>
      <c r="AS242" s="66" t="s">
        <v>30</v>
      </c>
      <c r="AT242" s="12">
        <f>+'Form20 '!M243</f>
        <v>0</v>
      </c>
      <c r="AU242" s="18">
        <v>13</v>
      </c>
      <c r="AV242" s="66" t="s">
        <v>30</v>
      </c>
      <c r="AW242" s="12">
        <f>+'Form20 '!N243</f>
        <v>1</v>
      </c>
      <c r="AX242" s="18">
        <v>14</v>
      </c>
      <c r="AY242" s="66" t="s">
        <v>30</v>
      </c>
      <c r="AZ242" s="12">
        <f>+'Form20 '!O243</f>
        <v>0</v>
      </c>
      <c r="BA242" s="75">
        <f t="shared" si="7"/>
        <v>398</v>
      </c>
    </row>
    <row r="243" spans="1:53" s="67" customFormat="1" ht="59.25" customHeight="1">
      <c r="A243" s="18">
        <v>333</v>
      </c>
      <c r="B243" s="59">
        <v>237</v>
      </c>
      <c r="C243" s="76" t="s">
        <v>313</v>
      </c>
      <c r="D243" s="61">
        <v>812</v>
      </c>
      <c r="E243" s="61">
        <v>206</v>
      </c>
      <c r="F243" s="61">
        <v>267</v>
      </c>
      <c r="G243" s="55">
        <v>0</v>
      </c>
      <c r="H243" s="62">
        <f t="shared" si="6"/>
        <v>473</v>
      </c>
      <c r="I243" s="55">
        <v>30</v>
      </c>
      <c r="J243" s="29">
        <v>0</v>
      </c>
      <c r="K243" s="18">
        <v>1</v>
      </c>
      <c r="L243" s="63" t="s">
        <v>29</v>
      </c>
      <c r="M243" s="12">
        <f>+'Form20 '!B244</f>
        <v>123</v>
      </c>
      <c r="N243" s="18">
        <v>2</v>
      </c>
      <c r="O243" s="58" t="s">
        <v>24</v>
      </c>
      <c r="P243" s="12">
        <f>+'Form20 '!C244</f>
        <v>75</v>
      </c>
      <c r="Q243" s="18">
        <v>3</v>
      </c>
      <c r="R243" s="63" t="s">
        <v>28</v>
      </c>
      <c r="S243" s="12">
        <f>+'Form20 '!D244</f>
        <v>262</v>
      </c>
      <c r="T243" s="18">
        <v>4</v>
      </c>
      <c r="U243" s="64" t="s">
        <v>65</v>
      </c>
      <c r="V243" s="12">
        <f>+'Form20 '!E244</f>
        <v>2</v>
      </c>
      <c r="W243" s="18">
        <v>5</v>
      </c>
      <c r="X243" s="58" t="s">
        <v>66</v>
      </c>
      <c r="Y243" s="12">
        <f>+'Form20 '!F244</f>
        <v>0</v>
      </c>
      <c r="Z243" s="18">
        <v>6</v>
      </c>
      <c r="AA243" s="64" t="s">
        <v>67</v>
      </c>
      <c r="AB243" s="12">
        <f>+'Form20 '!G244</f>
        <v>0</v>
      </c>
      <c r="AC243" s="18">
        <v>7</v>
      </c>
      <c r="AD243" s="63" t="s">
        <v>68</v>
      </c>
      <c r="AE243" s="12">
        <f>+'Form20 '!H244</f>
        <v>1</v>
      </c>
      <c r="AF243" s="18">
        <v>8</v>
      </c>
      <c r="AG243" s="63" t="s">
        <v>69</v>
      </c>
      <c r="AH243" s="12">
        <f>+'Form20 '!I244</f>
        <v>1</v>
      </c>
      <c r="AI243" s="18">
        <v>9</v>
      </c>
      <c r="AJ243" s="65" t="s">
        <v>70</v>
      </c>
      <c r="AK243" s="12">
        <f>+'Form20 '!J244</f>
        <v>3</v>
      </c>
      <c r="AL243" s="18">
        <v>10</v>
      </c>
      <c r="AM243" s="66" t="s">
        <v>30</v>
      </c>
      <c r="AN243" s="12">
        <f>+'Form20 '!K244</f>
        <v>0</v>
      </c>
      <c r="AO243" s="18">
        <v>11</v>
      </c>
      <c r="AP243" s="66" t="s">
        <v>30</v>
      </c>
      <c r="AQ243" s="12">
        <f>+'Form20 '!L244</f>
        <v>0</v>
      </c>
      <c r="AR243" s="18">
        <v>12</v>
      </c>
      <c r="AS243" s="66" t="s">
        <v>30</v>
      </c>
      <c r="AT243" s="12">
        <f>+'Form20 '!M244</f>
        <v>0</v>
      </c>
      <c r="AU243" s="18">
        <v>13</v>
      </c>
      <c r="AV243" s="66" t="s">
        <v>30</v>
      </c>
      <c r="AW243" s="12">
        <f>+'Form20 '!N244</f>
        <v>3</v>
      </c>
      <c r="AX243" s="18">
        <v>14</v>
      </c>
      <c r="AY243" s="66" t="s">
        <v>30</v>
      </c>
      <c r="AZ243" s="12">
        <f>+'Form20 '!O244</f>
        <v>0</v>
      </c>
      <c r="BA243" s="75">
        <f t="shared" si="7"/>
        <v>470</v>
      </c>
    </row>
    <row r="244" spans="1:53" s="67" customFormat="1" ht="59.25" customHeight="1">
      <c r="A244" s="18">
        <v>333</v>
      </c>
      <c r="B244" s="59">
        <v>238</v>
      </c>
      <c r="C244" s="76" t="s">
        <v>314</v>
      </c>
      <c r="D244" s="61">
        <v>813</v>
      </c>
      <c r="E244" s="61">
        <v>241</v>
      </c>
      <c r="F244" s="61">
        <v>251</v>
      </c>
      <c r="G244" s="55">
        <v>0</v>
      </c>
      <c r="H244" s="62">
        <f t="shared" si="6"/>
        <v>492</v>
      </c>
      <c r="I244" s="55">
        <v>40</v>
      </c>
      <c r="J244" s="29">
        <v>0</v>
      </c>
      <c r="K244" s="18">
        <v>1</v>
      </c>
      <c r="L244" s="63" t="s">
        <v>29</v>
      </c>
      <c r="M244" s="12">
        <f>+'Form20 '!B245</f>
        <v>243</v>
      </c>
      <c r="N244" s="18">
        <v>2</v>
      </c>
      <c r="O244" s="58" t="s">
        <v>24</v>
      </c>
      <c r="P244" s="12">
        <f>+'Form20 '!C245</f>
        <v>14</v>
      </c>
      <c r="Q244" s="18">
        <v>3</v>
      </c>
      <c r="R244" s="63" t="s">
        <v>28</v>
      </c>
      <c r="S244" s="12">
        <f>+'Form20 '!D245</f>
        <v>226</v>
      </c>
      <c r="T244" s="18">
        <v>4</v>
      </c>
      <c r="U244" s="64" t="s">
        <v>65</v>
      </c>
      <c r="V244" s="12">
        <f>+'Form20 '!E245</f>
        <v>3</v>
      </c>
      <c r="W244" s="18">
        <v>5</v>
      </c>
      <c r="X244" s="58" t="s">
        <v>66</v>
      </c>
      <c r="Y244" s="12">
        <f>+'Form20 '!F245</f>
        <v>1</v>
      </c>
      <c r="Z244" s="18">
        <v>6</v>
      </c>
      <c r="AA244" s="64" t="s">
        <v>67</v>
      </c>
      <c r="AB244" s="12">
        <f>+'Form20 '!G245</f>
        <v>0</v>
      </c>
      <c r="AC244" s="18">
        <v>7</v>
      </c>
      <c r="AD244" s="63" t="s">
        <v>68</v>
      </c>
      <c r="AE244" s="12">
        <f>+'Form20 '!H245</f>
        <v>0</v>
      </c>
      <c r="AF244" s="18">
        <v>8</v>
      </c>
      <c r="AG244" s="63" t="s">
        <v>69</v>
      </c>
      <c r="AH244" s="12">
        <f>+'Form20 '!I245</f>
        <v>0</v>
      </c>
      <c r="AI244" s="18">
        <v>9</v>
      </c>
      <c r="AJ244" s="65" t="s">
        <v>70</v>
      </c>
      <c r="AK244" s="12">
        <f>+'Form20 '!J245</f>
        <v>0</v>
      </c>
      <c r="AL244" s="18">
        <v>10</v>
      </c>
      <c r="AM244" s="66" t="s">
        <v>30</v>
      </c>
      <c r="AN244" s="12">
        <f>+'Form20 '!K245</f>
        <v>0</v>
      </c>
      <c r="AO244" s="18">
        <v>11</v>
      </c>
      <c r="AP244" s="66" t="s">
        <v>30</v>
      </c>
      <c r="AQ244" s="12">
        <f>+'Form20 '!L245</f>
        <v>1</v>
      </c>
      <c r="AR244" s="18">
        <v>12</v>
      </c>
      <c r="AS244" s="66" t="s">
        <v>30</v>
      </c>
      <c r="AT244" s="12">
        <f>+'Form20 '!M245</f>
        <v>0</v>
      </c>
      <c r="AU244" s="18">
        <v>13</v>
      </c>
      <c r="AV244" s="66" t="s">
        <v>30</v>
      </c>
      <c r="AW244" s="12">
        <f>+'Form20 '!N245</f>
        <v>1</v>
      </c>
      <c r="AX244" s="18">
        <v>14</v>
      </c>
      <c r="AY244" s="66" t="s">
        <v>30</v>
      </c>
      <c r="AZ244" s="12">
        <f>+'Form20 '!O245</f>
        <v>1</v>
      </c>
      <c r="BA244" s="75">
        <f t="shared" si="7"/>
        <v>490</v>
      </c>
    </row>
    <row r="245" spans="1:53" s="67" customFormat="1" ht="59.25" customHeight="1">
      <c r="A245" s="18">
        <v>333</v>
      </c>
      <c r="B245" s="59">
        <v>239</v>
      </c>
      <c r="C245" s="76" t="s">
        <v>315</v>
      </c>
      <c r="D245" s="61">
        <v>503</v>
      </c>
      <c r="E245" s="61">
        <v>142</v>
      </c>
      <c r="F245" s="61">
        <v>141</v>
      </c>
      <c r="G245" s="55">
        <v>0</v>
      </c>
      <c r="H245" s="62">
        <f t="shared" si="6"/>
        <v>283</v>
      </c>
      <c r="I245" s="55">
        <v>103</v>
      </c>
      <c r="J245" s="29">
        <v>0</v>
      </c>
      <c r="K245" s="18">
        <v>1</v>
      </c>
      <c r="L245" s="63" t="s">
        <v>29</v>
      </c>
      <c r="M245" s="12">
        <f>+'Form20 '!B246</f>
        <v>145</v>
      </c>
      <c r="N245" s="18">
        <v>2</v>
      </c>
      <c r="O245" s="58" t="s">
        <v>24</v>
      </c>
      <c r="P245" s="12">
        <f>+'Form20 '!C246</f>
        <v>32</v>
      </c>
      <c r="Q245" s="18">
        <v>3</v>
      </c>
      <c r="R245" s="63" t="s">
        <v>28</v>
      </c>
      <c r="S245" s="12">
        <f>+'Form20 '!D246</f>
        <v>98</v>
      </c>
      <c r="T245" s="18">
        <v>4</v>
      </c>
      <c r="U245" s="64" t="s">
        <v>65</v>
      </c>
      <c r="V245" s="12">
        <f>+'Form20 '!E246</f>
        <v>3</v>
      </c>
      <c r="W245" s="18">
        <v>5</v>
      </c>
      <c r="X245" s="58" t="s">
        <v>66</v>
      </c>
      <c r="Y245" s="12">
        <f>+'Form20 '!F246</f>
        <v>0</v>
      </c>
      <c r="Z245" s="18">
        <v>6</v>
      </c>
      <c r="AA245" s="64" t="s">
        <v>67</v>
      </c>
      <c r="AB245" s="12">
        <f>+'Form20 '!G246</f>
        <v>0</v>
      </c>
      <c r="AC245" s="18">
        <v>7</v>
      </c>
      <c r="AD245" s="63" t="s">
        <v>68</v>
      </c>
      <c r="AE245" s="12">
        <f>+'Form20 '!H246</f>
        <v>0</v>
      </c>
      <c r="AF245" s="18">
        <v>8</v>
      </c>
      <c r="AG245" s="63" t="s">
        <v>69</v>
      </c>
      <c r="AH245" s="12">
        <f>+'Form20 '!I246</f>
        <v>0</v>
      </c>
      <c r="AI245" s="18">
        <v>9</v>
      </c>
      <c r="AJ245" s="65" t="s">
        <v>70</v>
      </c>
      <c r="AK245" s="12">
        <f>+'Form20 '!J246</f>
        <v>0</v>
      </c>
      <c r="AL245" s="18">
        <v>10</v>
      </c>
      <c r="AM245" s="66" t="s">
        <v>30</v>
      </c>
      <c r="AN245" s="12">
        <f>+'Form20 '!K246</f>
        <v>0</v>
      </c>
      <c r="AO245" s="18">
        <v>11</v>
      </c>
      <c r="AP245" s="66" t="s">
        <v>30</v>
      </c>
      <c r="AQ245" s="12">
        <f>+'Form20 '!L246</f>
        <v>0</v>
      </c>
      <c r="AR245" s="18">
        <v>12</v>
      </c>
      <c r="AS245" s="66" t="s">
        <v>30</v>
      </c>
      <c r="AT245" s="12">
        <f>+'Form20 '!M246</f>
        <v>0</v>
      </c>
      <c r="AU245" s="18">
        <v>13</v>
      </c>
      <c r="AV245" s="66" t="s">
        <v>30</v>
      </c>
      <c r="AW245" s="12">
        <f>+'Form20 '!N246</f>
        <v>1</v>
      </c>
      <c r="AX245" s="18">
        <v>14</v>
      </c>
      <c r="AY245" s="66" t="s">
        <v>30</v>
      </c>
      <c r="AZ245" s="12">
        <f>+'Form20 '!O246</f>
        <v>0</v>
      </c>
      <c r="BA245" s="75">
        <f t="shared" si="7"/>
        <v>279</v>
      </c>
    </row>
    <row r="246" spans="1:53" s="67" customFormat="1" ht="59.25" customHeight="1">
      <c r="A246" s="18">
        <v>333</v>
      </c>
      <c r="B246" s="59">
        <v>240</v>
      </c>
      <c r="C246" s="76" t="s">
        <v>316</v>
      </c>
      <c r="D246" s="61">
        <v>851</v>
      </c>
      <c r="E246" s="61">
        <v>278</v>
      </c>
      <c r="F246" s="61">
        <v>313</v>
      </c>
      <c r="G246" s="55">
        <v>0</v>
      </c>
      <c r="H246" s="62">
        <f t="shared" si="6"/>
        <v>591</v>
      </c>
      <c r="I246" s="55">
        <v>49</v>
      </c>
      <c r="J246" s="29">
        <v>0</v>
      </c>
      <c r="K246" s="18">
        <v>1</v>
      </c>
      <c r="L246" s="63" t="s">
        <v>29</v>
      </c>
      <c r="M246" s="12">
        <f>+'Form20 '!B247</f>
        <v>170</v>
      </c>
      <c r="N246" s="18">
        <v>2</v>
      </c>
      <c r="O246" s="58" t="s">
        <v>24</v>
      </c>
      <c r="P246" s="12">
        <f>+'Form20 '!C247</f>
        <v>30</v>
      </c>
      <c r="Q246" s="18">
        <v>3</v>
      </c>
      <c r="R246" s="63" t="s">
        <v>28</v>
      </c>
      <c r="S246" s="12">
        <f>+'Form20 '!D247</f>
        <v>252</v>
      </c>
      <c r="T246" s="18">
        <v>4</v>
      </c>
      <c r="U246" s="64" t="s">
        <v>65</v>
      </c>
      <c r="V246" s="12">
        <f>+'Form20 '!E247</f>
        <v>1</v>
      </c>
      <c r="W246" s="18">
        <v>5</v>
      </c>
      <c r="X246" s="58" t="s">
        <v>66</v>
      </c>
      <c r="Y246" s="12">
        <f>+'Form20 '!F247</f>
        <v>0</v>
      </c>
      <c r="Z246" s="18">
        <v>6</v>
      </c>
      <c r="AA246" s="64" t="s">
        <v>67</v>
      </c>
      <c r="AB246" s="12">
        <f>+'Form20 '!G247</f>
        <v>0</v>
      </c>
      <c r="AC246" s="18">
        <v>7</v>
      </c>
      <c r="AD246" s="63" t="s">
        <v>68</v>
      </c>
      <c r="AE246" s="12">
        <f>+'Form20 '!H247</f>
        <v>0</v>
      </c>
      <c r="AF246" s="18">
        <v>8</v>
      </c>
      <c r="AG246" s="63" t="s">
        <v>69</v>
      </c>
      <c r="AH246" s="12">
        <f>+'Form20 '!I247</f>
        <v>0</v>
      </c>
      <c r="AI246" s="18">
        <v>9</v>
      </c>
      <c r="AJ246" s="65" t="s">
        <v>70</v>
      </c>
      <c r="AK246" s="12">
        <f>+'Form20 '!J247</f>
        <v>127</v>
      </c>
      <c r="AL246" s="18">
        <v>10</v>
      </c>
      <c r="AM246" s="66" t="s">
        <v>30</v>
      </c>
      <c r="AN246" s="12">
        <f>+'Form20 '!K247</f>
        <v>1</v>
      </c>
      <c r="AO246" s="18">
        <v>11</v>
      </c>
      <c r="AP246" s="66" t="s">
        <v>30</v>
      </c>
      <c r="AQ246" s="12">
        <f>+'Form20 '!L247</f>
        <v>0</v>
      </c>
      <c r="AR246" s="18">
        <v>12</v>
      </c>
      <c r="AS246" s="66" t="s">
        <v>30</v>
      </c>
      <c r="AT246" s="12">
        <f>+'Form20 '!M247</f>
        <v>1</v>
      </c>
      <c r="AU246" s="18">
        <v>13</v>
      </c>
      <c r="AV246" s="66" t="s">
        <v>30</v>
      </c>
      <c r="AW246" s="12">
        <f>+'Form20 '!N247</f>
        <v>3</v>
      </c>
      <c r="AX246" s="18">
        <v>14</v>
      </c>
      <c r="AY246" s="66" t="s">
        <v>30</v>
      </c>
      <c r="AZ246" s="12">
        <f>+'Form20 '!O247</f>
        <v>1</v>
      </c>
      <c r="BA246" s="75">
        <f t="shared" si="7"/>
        <v>586</v>
      </c>
    </row>
    <row r="247" spans="1:53" s="67" customFormat="1" ht="59.25" customHeight="1">
      <c r="A247" s="18">
        <v>333</v>
      </c>
      <c r="B247" s="59">
        <v>241</v>
      </c>
      <c r="C247" s="76" t="s">
        <v>317</v>
      </c>
      <c r="D247" s="61">
        <v>800</v>
      </c>
      <c r="E247" s="61">
        <v>262</v>
      </c>
      <c r="F247" s="61">
        <v>282</v>
      </c>
      <c r="G247" s="55">
        <v>0</v>
      </c>
      <c r="H247" s="62">
        <f t="shared" si="6"/>
        <v>544</v>
      </c>
      <c r="I247" s="55">
        <v>46</v>
      </c>
      <c r="J247" s="29">
        <v>0</v>
      </c>
      <c r="K247" s="18">
        <v>1</v>
      </c>
      <c r="L247" s="63" t="s">
        <v>29</v>
      </c>
      <c r="M247" s="12">
        <f>+'Form20 '!B248</f>
        <v>293</v>
      </c>
      <c r="N247" s="18">
        <v>2</v>
      </c>
      <c r="O247" s="58" t="s">
        <v>24</v>
      </c>
      <c r="P247" s="12">
        <f>+'Form20 '!C248</f>
        <v>20</v>
      </c>
      <c r="Q247" s="18">
        <v>3</v>
      </c>
      <c r="R247" s="63" t="s">
        <v>28</v>
      </c>
      <c r="S247" s="12">
        <f>+'Form20 '!D248</f>
        <v>212</v>
      </c>
      <c r="T247" s="18">
        <v>4</v>
      </c>
      <c r="U247" s="64" t="s">
        <v>65</v>
      </c>
      <c r="V247" s="12">
        <f>+'Form20 '!E248</f>
        <v>0</v>
      </c>
      <c r="W247" s="18">
        <v>5</v>
      </c>
      <c r="X247" s="58" t="s">
        <v>66</v>
      </c>
      <c r="Y247" s="12">
        <f>+'Form20 '!F248</f>
        <v>0</v>
      </c>
      <c r="Z247" s="18">
        <v>6</v>
      </c>
      <c r="AA247" s="64" t="s">
        <v>67</v>
      </c>
      <c r="AB247" s="12">
        <f>+'Form20 '!G248</f>
        <v>1</v>
      </c>
      <c r="AC247" s="18">
        <v>7</v>
      </c>
      <c r="AD247" s="63" t="s">
        <v>68</v>
      </c>
      <c r="AE247" s="12">
        <f>+'Form20 '!H248</f>
        <v>0</v>
      </c>
      <c r="AF247" s="18">
        <v>8</v>
      </c>
      <c r="AG247" s="63" t="s">
        <v>69</v>
      </c>
      <c r="AH247" s="12">
        <f>+'Form20 '!I248</f>
        <v>1</v>
      </c>
      <c r="AI247" s="18">
        <v>9</v>
      </c>
      <c r="AJ247" s="65" t="s">
        <v>70</v>
      </c>
      <c r="AK247" s="12">
        <f>+'Form20 '!J248</f>
        <v>1</v>
      </c>
      <c r="AL247" s="18">
        <v>10</v>
      </c>
      <c r="AM247" s="66" t="s">
        <v>30</v>
      </c>
      <c r="AN247" s="12">
        <f>+'Form20 '!K248</f>
        <v>2</v>
      </c>
      <c r="AO247" s="18">
        <v>11</v>
      </c>
      <c r="AP247" s="66" t="s">
        <v>30</v>
      </c>
      <c r="AQ247" s="12">
        <f>+'Form20 '!L248</f>
        <v>0</v>
      </c>
      <c r="AR247" s="18">
        <v>12</v>
      </c>
      <c r="AS247" s="66" t="s">
        <v>30</v>
      </c>
      <c r="AT247" s="12">
        <f>+'Form20 '!M248</f>
        <v>3</v>
      </c>
      <c r="AU247" s="18">
        <v>13</v>
      </c>
      <c r="AV247" s="66" t="s">
        <v>30</v>
      </c>
      <c r="AW247" s="12">
        <f>+'Form20 '!N248</f>
        <v>3</v>
      </c>
      <c r="AX247" s="18">
        <v>14</v>
      </c>
      <c r="AY247" s="66" t="s">
        <v>30</v>
      </c>
      <c r="AZ247" s="12">
        <f>+'Form20 '!O248</f>
        <v>2</v>
      </c>
      <c r="BA247" s="75">
        <f t="shared" si="7"/>
        <v>538</v>
      </c>
    </row>
    <row r="248" spans="1:53" s="67" customFormat="1" ht="59.25" customHeight="1">
      <c r="A248" s="18">
        <v>333</v>
      </c>
      <c r="B248" s="59">
        <v>242</v>
      </c>
      <c r="C248" s="76" t="s">
        <v>318</v>
      </c>
      <c r="D248" s="61">
        <v>958</v>
      </c>
      <c r="E248" s="61">
        <v>279</v>
      </c>
      <c r="F248" s="61">
        <v>312</v>
      </c>
      <c r="G248" s="55">
        <v>0</v>
      </c>
      <c r="H248" s="62">
        <f t="shared" si="6"/>
        <v>591</v>
      </c>
      <c r="I248" s="55">
        <v>171</v>
      </c>
      <c r="J248" s="29">
        <v>0</v>
      </c>
      <c r="K248" s="18">
        <v>1</v>
      </c>
      <c r="L248" s="63" t="s">
        <v>29</v>
      </c>
      <c r="M248" s="12">
        <f>+'Form20 '!B249</f>
        <v>225</v>
      </c>
      <c r="N248" s="18">
        <v>2</v>
      </c>
      <c r="O248" s="58" t="s">
        <v>24</v>
      </c>
      <c r="P248" s="12">
        <f>+'Form20 '!C249</f>
        <v>94</v>
      </c>
      <c r="Q248" s="18">
        <v>3</v>
      </c>
      <c r="R248" s="63" t="s">
        <v>28</v>
      </c>
      <c r="S248" s="12">
        <f>+'Form20 '!D249</f>
        <v>253</v>
      </c>
      <c r="T248" s="18">
        <v>4</v>
      </c>
      <c r="U248" s="64" t="s">
        <v>65</v>
      </c>
      <c r="V248" s="12">
        <f>+'Form20 '!E249</f>
        <v>5</v>
      </c>
      <c r="W248" s="18">
        <v>5</v>
      </c>
      <c r="X248" s="58" t="s">
        <v>66</v>
      </c>
      <c r="Y248" s="12">
        <f>+'Form20 '!F249</f>
        <v>0</v>
      </c>
      <c r="Z248" s="18">
        <v>6</v>
      </c>
      <c r="AA248" s="64" t="s">
        <v>67</v>
      </c>
      <c r="AB248" s="12">
        <f>+'Form20 '!G249</f>
        <v>0</v>
      </c>
      <c r="AC248" s="18">
        <v>7</v>
      </c>
      <c r="AD248" s="63" t="s">
        <v>68</v>
      </c>
      <c r="AE248" s="12">
        <f>+'Form20 '!H249</f>
        <v>0</v>
      </c>
      <c r="AF248" s="18">
        <v>8</v>
      </c>
      <c r="AG248" s="63" t="s">
        <v>69</v>
      </c>
      <c r="AH248" s="12">
        <f>+'Form20 '!I249</f>
        <v>1</v>
      </c>
      <c r="AI248" s="18">
        <v>9</v>
      </c>
      <c r="AJ248" s="65" t="s">
        <v>70</v>
      </c>
      <c r="AK248" s="12">
        <f>+'Form20 '!J249</f>
        <v>1</v>
      </c>
      <c r="AL248" s="18">
        <v>10</v>
      </c>
      <c r="AM248" s="66" t="s">
        <v>30</v>
      </c>
      <c r="AN248" s="12">
        <f>+'Form20 '!K249</f>
        <v>1</v>
      </c>
      <c r="AO248" s="18">
        <v>11</v>
      </c>
      <c r="AP248" s="66" t="s">
        <v>30</v>
      </c>
      <c r="AQ248" s="12">
        <f>+'Form20 '!L249</f>
        <v>1</v>
      </c>
      <c r="AR248" s="18">
        <v>12</v>
      </c>
      <c r="AS248" s="66" t="s">
        <v>30</v>
      </c>
      <c r="AT248" s="12">
        <f>+'Form20 '!M249</f>
        <v>2</v>
      </c>
      <c r="AU248" s="18">
        <v>13</v>
      </c>
      <c r="AV248" s="66" t="s">
        <v>30</v>
      </c>
      <c r="AW248" s="12">
        <f>+'Form20 '!N249</f>
        <v>1</v>
      </c>
      <c r="AX248" s="18">
        <v>14</v>
      </c>
      <c r="AY248" s="66" t="s">
        <v>30</v>
      </c>
      <c r="AZ248" s="12">
        <f>+'Form20 '!O249</f>
        <v>3</v>
      </c>
      <c r="BA248" s="75">
        <f t="shared" si="7"/>
        <v>587</v>
      </c>
    </row>
    <row r="249" spans="1:53" s="67" customFormat="1" ht="59.25" customHeight="1">
      <c r="A249" s="18">
        <v>333</v>
      </c>
      <c r="B249" s="59">
        <v>243</v>
      </c>
      <c r="C249" s="76" t="s">
        <v>319</v>
      </c>
      <c r="D249" s="61">
        <v>884</v>
      </c>
      <c r="E249" s="61">
        <v>282</v>
      </c>
      <c r="F249" s="61">
        <v>300</v>
      </c>
      <c r="G249" s="55">
        <v>0</v>
      </c>
      <c r="H249" s="62">
        <f t="shared" si="6"/>
        <v>582</v>
      </c>
      <c r="I249" s="55">
        <v>81</v>
      </c>
      <c r="J249" s="29">
        <v>0</v>
      </c>
      <c r="K249" s="18">
        <v>1</v>
      </c>
      <c r="L249" s="63" t="s">
        <v>29</v>
      </c>
      <c r="M249" s="12">
        <f>+'Form20 '!B250</f>
        <v>221</v>
      </c>
      <c r="N249" s="18">
        <v>2</v>
      </c>
      <c r="O249" s="58" t="s">
        <v>24</v>
      </c>
      <c r="P249" s="12">
        <f>+'Form20 '!C250</f>
        <v>34</v>
      </c>
      <c r="Q249" s="18">
        <v>3</v>
      </c>
      <c r="R249" s="63" t="s">
        <v>28</v>
      </c>
      <c r="S249" s="12">
        <f>+'Form20 '!D250</f>
        <v>314</v>
      </c>
      <c r="T249" s="18">
        <v>4</v>
      </c>
      <c r="U249" s="64" t="s">
        <v>65</v>
      </c>
      <c r="V249" s="12">
        <f>+'Form20 '!E250</f>
        <v>0</v>
      </c>
      <c r="W249" s="18">
        <v>5</v>
      </c>
      <c r="X249" s="58" t="s">
        <v>66</v>
      </c>
      <c r="Y249" s="12">
        <f>+'Form20 '!F250</f>
        <v>0</v>
      </c>
      <c r="Z249" s="18">
        <v>6</v>
      </c>
      <c r="AA249" s="64" t="s">
        <v>67</v>
      </c>
      <c r="AB249" s="12">
        <f>+'Form20 '!G250</f>
        <v>0</v>
      </c>
      <c r="AC249" s="18">
        <v>7</v>
      </c>
      <c r="AD249" s="63" t="s">
        <v>68</v>
      </c>
      <c r="AE249" s="12">
        <f>+'Form20 '!H250</f>
        <v>0</v>
      </c>
      <c r="AF249" s="18">
        <v>8</v>
      </c>
      <c r="AG249" s="63" t="s">
        <v>69</v>
      </c>
      <c r="AH249" s="12">
        <f>+'Form20 '!I250</f>
        <v>0</v>
      </c>
      <c r="AI249" s="18">
        <v>9</v>
      </c>
      <c r="AJ249" s="65" t="s">
        <v>70</v>
      </c>
      <c r="AK249" s="12">
        <f>+'Form20 '!J250</f>
        <v>0</v>
      </c>
      <c r="AL249" s="18">
        <v>10</v>
      </c>
      <c r="AM249" s="66" t="s">
        <v>30</v>
      </c>
      <c r="AN249" s="12">
        <f>+'Form20 '!K250</f>
        <v>2</v>
      </c>
      <c r="AO249" s="18">
        <v>11</v>
      </c>
      <c r="AP249" s="66" t="s">
        <v>30</v>
      </c>
      <c r="AQ249" s="12">
        <f>+'Form20 '!L250</f>
        <v>1</v>
      </c>
      <c r="AR249" s="18">
        <v>12</v>
      </c>
      <c r="AS249" s="66" t="s">
        <v>30</v>
      </c>
      <c r="AT249" s="12">
        <f>+'Form20 '!M250</f>
        <v>1</v>
      </c>
      <c r="AU249" s="18">
        <v>13</v>
      </c>
      <c r="AV249" s="66" t="s">
        <v>30</v>
      </c>
      <c r="AW249" s="12">
        <f>+'Form20 '!N250</f>
        <v>5</v>
      </c>
      <c r="AX249" s="18">
        <v>14</v>
      </c>
      <c r="AY249" s="66" t="s">
        <v>30</v>
      </c>
      <c r="AZ249" s="12">
        <f>+'Form20 '!O250</f>
        <v>0</v>
      </c>
      <c r="BA249" s="75">
        <f t="shared" si="7"/>
        <v>578</v>
      </c>
    </row>
    <row r="250" spans="1:53" s="67" customFormat="1" ht="59.25" customHeight="1">
      <c r="A250" s="18">
        <v>333</v>
      </c>
      <c r="B250" s="59">
        <v>244</v>
      </c>
      <c r="C250" s="76" t="s">
        <v>320</v>
      </c>
      <c r="D250" s="61">
        <v>972</v>
      </c>
      <c r="E250" s="61">
        <v>273</v>
      </c>
      <c r="F250" s="61">
        <v>304</v>
      </c>
      <c r="G250" s="55">
        <v>0</v>
      </c>
      <c r="H250" s="62">
        <f t="shared" si="6"/>
        <v>577</v>
      </c>
      <c r="I250" s="55">
        <v>51</v>
      </c>
      <c r="J250" s="29">
        <v>0</v>
      </c>
      <c r="K250" s="18">
        <v>1</v>
      </c>
      <c r="L250" s="63" t="s">
        <v>29</v>
      </c>
      <c r="M250" s="12">
        <f>+'Form20 '!B251</f>
        <v>236</v>
      </c>
      <c r="N250" s="18">
        <v>2</v>
      </c>
      <c r="O250" s="58" t="s">
        <v>24</v>
      </c>
      <c r="P250" s="12">
        <f>+'Form20 '!C251</f>
        <v>4</v>
      </c>
      <c r="Q250" s="18">
        <v>3</v>
      </c>
      <c r="R250" s="63" t="s">
        <v>28</v>
      </c>
      <c r="S250" s="12">
        <f>+'Form20 '!D251</f>
        <v>309</v>
      </c>
      <c r="T250" s="18">
        <v>4</v>
      </c>
      <c r="U250" s="64" t="s">
        <v>65</v>
      </c>
      <c r="V250" s="12">
        <f>+'Form20 '!E251</f>
        <v>4</v>
      </c>
      <c r="W250" s="18">
        <v>5</v>
      </c>
      <c r="X250" s="58" t="s">
        <v>66</v>
      </c>
      <c r="Y250" s="12">
        <f>+'Form20 '!F251</f>
        <v>0</v>
      </c>
      <c r="Z250" s="18">
        <v>6</v>
      </c>
      <c r="AA250" s="64" t="s">
        <v>67</v>
      </c>
      <c r="AB250" s="12">
        <f>+'Form20 '!G251</f>
        <v>0</v>
      </c>
      <c r="AC250" s="18">
        <v>7</v>
      </c>
      <c r="AD250" s="63" t="s">
        <v>68</v>
      </c>
      <c r="AE250" s="12">
        <f>+'Form20 '!H251</f>
        <v>0</v>
      </c>
      <c r="AF250" s="18">
        <v>8</v>
      </c>
      <c r="AG250" s="63" t="s">
        <v>69</v>
      </c>
      <c r="AH250" s="12">
        <f>+'Form20 '!I251</f>
        <v>1</v>
      </c>
      <c r="AI250" s="18">
        <v>9</v>
      </c>
      <c r="AJ250" s="65" t="s">
        <v>70</v>
      </c>
      <c r="AK250" s="12">
        <f>+'Form20 '!J251</f>
        <v>12</v>
      </c>
      <c r="AL250" s="18">
        <v>10</v>
      </c>
      <c r="AM250" s="66" t="s">
        <v>30</v>
      </c>
      <c r="AN250" s="12">
        <f>+'Form20 '!K251</f>
        <v>0</v>
      </c>
      <c r="AO250" s="18">
        <v>11</v>
      </c>
      <c r="AP250" s="66" t="s">
        <v>30</v>
      </c>
      <c r="AQ250" s="12">
        <f>+'Form20 '!L251</f>
        <v>0</v>
      </c>
      <c r="AR250" s="18">
        <v>12</v>
      </c>
      <c r="AS250" s="66" t="s">
        <v>30</v>
      </c>
      <c r="AT250" s="12">
        <f>+'Form20 '!M251</f>
        <v>1</v>
      </c>
      <c r="AU250" s="18">
        <v>13</v>
      </c>
      <c r="AV250" s="66" t="s">
        <v>30</v>
      </c>
      <c r="AW250" s="12">
        <f>+'Form20 '!N251</f>
        <v>5</v>
      </c>
      <c r="AX250" s="18">
        <v>14</v>
      </c>
      <c r="AY250" s="66" t="s">
        <v>30</v>
      </c>
      <c r="AZ250" s="12">
        <f>+'Form20 '!O251</f>
        <v>1</v>
      </c>
      <c r="BA250" s="75">
        <f t="shared" si="7"/>
        <v>573</v>
      </c>
    </row>
    <row r="251" spans="1:53" s="67" customFormat="1" ht="59.25" customHeight="1">
      <c r="A251" s="18">
        <v>333</v>
      </c>
      <c r="B251" s="59">
        <v>245</v>
      </c>
      <c r="C251" s="76" t="s">
        <v>321</v>
      </c>
      <c r="D251" s="61">
        <v>871</v>
      </c>
      <c r="E251" s="61">
        <v>285</v>
      </c>
      <c r="F251" s="61">
        <v>286</v>
      </c>
      <c r="G251" s="55">
        <v>0</v>
      </c>
      <c r="H251" s="62">
        <f t="shared" si="6"/>
        <v>571</v>
      </c>
      <c r="I251" s="55">
        <v>59</v>
      </c>
      <c r="J251" s="29">
        <v>0</v>
      </c>
      <c r="K251" s="18">
        <v>1</v>
      </c>
      <c r="L251" s="63" t="s">
        <v>29</v>
      </c>
      <c r="M251" s="12">
        <f>+'Form20 '!B252</f>
        <v>270</v>
      </c>
      <c r="N251" s="18">
        <v>2</v>
      </c>
      <c r="O251" s="58" t="s">
        <v>24</v>
      </c>
      <c r="P251" s="12">
        <f>+'Form20 '!C252</f>
        <v>31</v>
      </c>
      <c r="Q251" s="18">
        <v>3</v>
      </c>
      <c r="R251" s="63" t="s">
        <v>28</v>
      </c>
      <c r="S251" s="12">
        <f>+'Form20 '!D252</f>
        <v>253</v>
      </c>
      <c r="T251" s="18">
        <v>4</v>
      </c>
      <c r="U251" s="64" t="s">
        <v>65</v>
      </c>
      <c r="V251" s="12">
        <f>+'Form20 '!E252</f>
        <v>6</v>
      </c>
      <c r="W251" s="18">
        <v>5</v>
      </c>
      <c r="X251" s="58" t="s">
        <v>66</v>
      </c>
      <c r="Y251" s="12">
        <f>+'Form20 '!F252</f>
        <v>0</v>
      </c>
      <c r="Z251" s="18">
        <v>6</v>
      </c>
      <c r="AA251" s="64" t="s">
        <v>67</v>
      </c>
      <c r="AB251" s="12">
        <f>+'Form20 '!G252</f>
        <v>0</v>
      </c>
      <c r="AC251" s="18">
        <v>7</v>
      </c>
      <c r="AD251" s="63" t="s">
        <v>68</v>
      </c>
      <c r="AE251" s="12">
        <f>+'Form20 '!H252</f>
        <v>0</v>
      </c>
      <c r="AF251" s="18">
        <v>8</v>
      </c>
      <c r="AG251" s="63" t="s">
        <v>69</v>
      </c>
      <c r="AH251" s="12">
        <f>+'Form20 '!I252</f>
        <v>0</v>
      </c>
      <c r="AI251" s="18">
        <v>9</v>
      </c>
      <c r="AJ251" s="65" t="s">
        <v>70</v>
      </c>
      <c r="AK251" s="12">
        <f>+'Form20 '!J252</f>
        <v>4</v>
      </c>
      <c r="AL251" s="18">
        <v>10</v>
      </c>
      <c r="AM251" s="66" t="s">
        <v>30</v>
      </c>
      <c r="AN251" s="12">
        <f>+'Form20 '!K252</f>
        <v>0</v>
      </c>
      <c r="AO251" s="18">
        <v>11</v>
      </c>
      <c r="AP251" s="66" t="s">
        <v>30</v>
      </c>
      <c r="AQ251" s="12">
        <f>+'Form20 '!L252</f>
        <v>0</v>
      </c>
      <c r="AR251" s="18">
        <v>12</v>
      </c>
      <c r="AS251" s="66" t="s">
        <v>30</v>
      </c>
      <c r="AT251" s="12">
        <f>+'Form20 '!M252</f>
        <v>1</v>
      </c>
      <c r="AU251" s="18">
        <v>13</v>
      </c>
      <c r="AV251" s="66" t="s">
        <v>30</v>
      </c>
      <c r="AW251" s="12">
        <f>+'Form20 '!N252</f>
        <v>0</v>
      </c>
      <c r="AX251" s="18">
        <v>14</v>
      </c>
      <c r="AY251" s="66" t="s">
        <v>30</v>
      </c>
      <c r="AZ251" s="12">
        <f>+'Form20 '!O252</f>
        <v>3</v>
      </c>
      <c r="BA251" s="75">
        <f t="shared" si="7"/>
        <v>568</v>
      </c>
    </row>
    <row r="252" spans="1:53" s="67" customFormat="1" ht="59.25" customHeight="1">
      <c r="A252" s="18">
        <v>333</v>
      </c>
      <c r="B252" s="59">
        <v>246</v>
      </c>
      <c r="C252" s="76" t="s">
        <v>322</v>
      </c>
      <c r="D252" s="61">
        <v>623</v>
      </c>
      <c r="E252" s="61">
        <v>201</v>
      </c>
      <c r="F252" s="61">
        <v>178</v>
      </c>
      <c r="G252" s="55">
        <v>0</v>
      </c>
      <c r="H252" s="62">
        <f t="shared" si="6"/>
        <v>379</v>
      </c>
      <c r="I252" s="55">
        <v>27</v>
      </c>
      <c r="J252" s="29">
        <v>0</v>
      </c>
      <c r="K252" s="18">
        <v>1</v>
      </c>
      <c r="L252" s="63" t="s">
        <v>29</v>
      </c>
      <c r="M252" s="12">
        <f>+'Form20 '!B253</f>
        <v>230</v>
      </c>
      <c r="N252" s="18">
        <v>2</v>
      </c>
      <c r="O252" s="58" t="s">
        <v>24</v>
      </c>
      <c r="P252" s="12">
        <f>+'Form20 '!C253</f>
        <v>1</v>
      </c>
      <c r="Q252" s="18">
        <v>3</v>
      </c>
      <c r="R252" s="63" t="s">
        <v>28</v>
      </c>
      <c r="S252" s="12">
        <f>+'Form20 '!D253</f>
        <v>138</v>
      </c>
      <c r="T252" s="18">
        <v>4</v>
      </c>
      <c r="U252" s="64" t="s">
        <v>65</v>
      </c>
      <c r="V252" s="12">
        <f>+'Form20 '!E253</f>
        <v>2</v>
      </c>
      <c r="W252" s="18">
        <v>5</v>
      </c>
      <c r="X252" s="58" t="s">
        <v>66</v>
      </c>
      <c r="Y252" s="12">
        <f>+'Form20 '!F253</f>
        <v>1</v>
      </c>
      <c r="Z252" s="18">
        <v>6</v>
      </c>
      <c r="AA252" s="64" t="s">
        <v>67</v>
      </c>
      <c r="AB252" s="12">
        <f>+'Form20 '!G253</f>
        <v>0</v>
      </c>
      <c r="AC252" s="18">
        <v>7</v>
      </c>
      <c r="AD252" s="63" t="s">
        <v>68</v>
      </c>
      <c r="AE252" s="12">
        <f>+'Form20 '!H253</f>
        <v>0</v>
      </c>
      <c r="AF252" s="18">
        <v>8</v>
      </c>
      <c r="AG252" s="63" t="s">
        <v>69</v>
      </c>
      <c r="AH252" s="12">
        <f>+'Form20 '!I253</f>
        <v>0</v>
      </c>
      <c r="AI252" s="18">
        <v>9</v>
      </c>
      <c r="AJ252" s="65" t="s">
        <v>70</v>
      </c>
      <c r="AK252" s="12">
        <f>+'Form20 '!J253</f>
        <v>0</v>
      </c>
      <c r="AL252" s="18">
        <v>10</v>
      </c>
      <c r="AM252" s="66" t="s">
        <v>30</v>
      </c>
      <c r="AN252" s="12">
        <f>+'Form20 '!K253</f>
        <v>0</v>
      </c>
      <c r="AO252" s="18">
        <v>11</v>
      </c>
      <c r="AP252" s="66" t="s">
        <v>30</v>
      </c>
      <c r="AQ252" s="12">
        <f>+'Form20 '!L253</f>
        <v>1</v>
      </c>
      <c r="AR252" s="18">
        <v>12</v>
      </c>
      <c r="AS252" s="66" t="s">
        <v>30</v>
      </c>
      <c r="AT252" s="12">
        <f>+'Form20 '!M253</f>
        <v>1</v>
      </c>
      <c r="AU252" s="18">
        <v>13</v>
      </c>
      <c r="AV252" s="66" t="s">
        <v>30</v>
      </c>
      <c r="AW252" s="12">
        <f>+'Form20 '!N253</f>
        <v>1</v>
      </c>
      <c r="AX252" s="18">
        <v>14</v>
      </c>
      <c r="AY252" s="66" t="s">
        <v>30</v>
      </c>
      <c r="AZ252" s="12">
        <f>+'Form20 '!O253</f>
        <v>2</v>
      </c>
      <c r="BA252" s="75">
        <f t="shared" si="7"/>
        <v>377</v>
      </c>
    </row>
    <row r="253" spans="1:53" s="67" customFormat="1" ht="59.25" customHeight="1">
      <c r="A253" s="18">
        <v>333</v>
      </c>
      <c r="B253" s="59">
        <v>247</v>
      </c>
      <c r="C253" s="76" t="s">
        <v>323</v>
      </c>
      <c r="D253" s="61">
        <v>685</v>
      </c>
      <c r="E253" s="61">
        <v>171</v>
      </c>
      <c r="F253" s="61">
        <v>243</v>
      </c>
      <c r="G253" s="55">
        <v>0</v>
      </c>
      <c r="H253" s="62">
        <f t="shared" si="6"/>
        <v>414</v>
      </c>
      <c r="I253" s="55">
        <v>21</v>
      </c>
      <c r="J253" s="29">
        <v>0</v>
      </c>
      <c r="K253" s="18">
        <v>1</v>
      </c>
      <c r="L253" s="63" t="s">
        <v>29</v>
      </c>
      <c r="M253" s="12">
        <f>+'Form20 '!B254</f>
        <v>160</v>
      </c>
      <c r="N253" s="18">
        <v>2</v>
      </c>
      <c r="O253" s="58" t="s">
        <v>24</v>
      </c>
      <c r="P253" s="12">
        <f>+'Form20 '!C254</f>
        <v>10</v>
      </c>
      <c r="Q253" s="18">
        <v>3</v>
      </c>
      <c r="R253" s="63" t="s">
        <v>28</v>
      </c>
      <c r="S253" s="12">
        <f>+'Form20 '!D254</f>
        <v>236</v>
      </c>
      <c r="T253" s="18">
        <v>4</v>
      </c>
      <c r="U253" s="64" t="s">
        <v>65</v>
      </c>
      <c r="V253" s="12">
        <f>+'Form20 '!E254</f>
        <v>0</v>
      </c>
      <c r="W253" s="18">
        <v>5</v>
      </c>
      <c r="X253" s="58" t="s">
        <v>66</v>
      </c>
      <c r="Y253" s="12">
        <f>+'Form20 '!F254</f>
        <v>0</v>
      </c>
      <c r="Z253" s="18">
        <v>6</v>
      </c>
      <c r="AA253" s="64" t="s">
        <v>67</v>
      </c>
      <c r="AB253" s="12">
        <f>+'Form20 '!G254</f>
        <v>0</v>
      </c>
      <c r="AC253" s="18">
        <v>7</v>
      </c>
      <c r="AD253" s="63" t="s">
        <v>68</v>
      </c>
      <c r="AE253" s="12">
        <f>+'Form20 '!H254</f>
        <v>0</v>
      </c>
      <c r="AF253" s="18">
        <v>8</v>
      </c>
      <c r="AG253" s="63" t="s">
        <v>69</v>
      </c>
      <c r="AH253" s="12">
        <f>+'Form20 '!I254</f>
        <v>0</v>
      </c>
      <c r="AI253" s="18">
        <v>9</v>
      </c>
      <c r="AJ253" s="65" t="s">
        <v>70</v>
      </c>
      <c r="AK253" s="12">
        <f>+'Form20 '!J254</f>
        <v>0</v>
      </c>
      <c r="AL253" s="18">
        <v>10</v>
      </c>
      <c r="AM253" s="66" t="s">
        <v>30</v>
      </c>
      <c r="AN253" s="12">
        <f>+'Form20 '!K254</f>
        <v>0</v>
      </c>
      <c r="AO253" s="18">
        <v>11</v>
      </c>
      <c r="AP253" s="66" t="s">
        <v>30</v>
      </c>
      <c r="AQ253" s="12">
        <f>+'Form20 '!L254</f>
        <v>0</v>
      </c>
      <c r="AR253" s="18">
        <v>12</v>
      </c>
      <c r="AS253" s="66" t="s">
        <v>30</v>
      </c>
      <c r="AT253" s="12">
        <f>+'Form20 '!M254</f>
        <v>2</v>
      </c>
      <c r="AU253" s="18">
        <v>13</v>
      </c>
      <c r="AV253" s="66" t="s">
        <v>30</v>
      </c>
      <c r="AW253" s="12">
        <f>+'Form20 '!N254</f>
        <v>3</v>
      </c>
      <c r="AX253" s="18">
        <v>14</v>
      </c>
      <c r="AY253" s="66" t="s">
        <v>30</v>
      </c>
      <c r="AZ253" s="12">
        <f>+'Form20 '!O254</f>
        <v>0</v>
      </c>
      <c r="BA253" s="75">
        <f t="shared" si="7"/>
        <v>411</v>
      </c>
    </row>
    <row r="254" spans="1:53" s="67" customFormat="1" ht="59.25" customHeight="1">
      <c r="A254" s="18">
        <v>333</v>
      </c>
      <c r="B254" s="59">
        <v>248</v>
      </c>
      <c r="C254" s="76" t="s">
        <v>324</v>
      </c>
      <c r="D254" s="61">
        <v>1129</v>
      </c>
      <c r="E254" s="61">
        <v>315</v>
      </c>
      <c r="F254" s="61">
        <v>335</v>
      </c>
      <c r="G254" s="55">
        <v>0</v>
      </c>
      <c r="H254" s="62">
        <f t="shared" si="6"/>
        <v>650</v>
      </c>
      <c r="I254" s="55">
        <v>89</v>
      </c>
      <c r="J254" s="29">
        <v>0</v>
      </c>
      <c r="K254" s="18">
        <v>1</v>
      </c>
      <c r="L254" s="63" t="s">
        <v>29</v>
      </c>
      <c r="M254" s="12">
        <f>+'Form20 '!B255</f>
        <v>432</v>
      </c>
      <c r="N254" s="18">
        <v>2</v>
      </c>
      <c r="O254" s="58" t="s">
        <v>24</v>
      </c>
      <c r="P254" s="12">
        <f>+'Form20 '!C255</f>
        <v>60</v>
      </c>
      <c r="Q254" s="18">
        <v>3</v>
      </c>
      <c r="R254" s="63" t="s">
        <v>28</v>
      </c>
      <c r="S254" s="12">
        <f>+'Form20 '!D255</f>
        <v>138</v>
      </c>
      <c r="T254" s="18">
        <v>4</v>
      </c>
      <c r="U254" s="64" t="s">
        <v>65</v>
      </c>
      <c r="V254" s="12">
        <f>+'Form20 '!E255</f>
        <v>8</v>
      </c>
      <c r="W254" s="18">
        <v>5</v>
      </c>
      <c r="X254" s="58" t="s">
        <v>66</v>
      </c>
      <c r="Y254" s="12">
        <f>+'Form20 '!F255</f>
        <v>1</v>
      </c>
      <c r="Z254" s="18">
        <v>6</v>
      </c>
      <c r="AA254" s="64" t="s">
        <v>67</v>
      </c>
      <c r="AB254" s="12">
        <f>+'Form20 '!G255</f>
        <v>0</v>
      </c>
      <c r="AC254" s="18">
        <v>7</v>
      </c>
      <c r="AD254" s="63" t="s">
        <v>68</v>
      </c>
      <c r="AE254" s="12">
        <f>+'Form20 '!H255</f>
        <v>1</v>
      </c>
      <c r="AF254" s="18">
        <v>8</v>
      </c>
      <c r="AG254" s="63" t="s">
        <v>69</v>
      </c>
      <c r="AH254" s="12">
        <f>+'Form20 '!I255</f>
        <v>1</v>
      </c>
      <c r="AI254" s="18">
        <v>9</v>
      </c>
      <c r="AJ254" s="65" t="s">
        <v>70</v>
      </c>
      <c r="AK254" s="12">
        <f>+'Form20 '!J255</f>
        <v>0</v>
      </c>
      <c r="AL254" s="18">
        <v>10</v>
      </c>
      <c r="AM254" s="66" t="s">
        <v>30</v>
      </c>
      <c r="AN254" s="12">
        <f>+'Form20 '!K255</f>
        <v>1</v>
      </c>
      <c r="AO254" s="18">
        <v>11</v>
      </c>
      <c r="AP254" s="66" t="s">
        <v>30</v>
      </c>
      <c r="AQ254" s="12">
        <f>+'Form20 '!L255</f>
        <v>0</v>
      </c>
      <c r="AR254" s="18">
        <v>12</v>
      </c>
      <c r="AS254" s="66" t="s">
        <v>30</v>
      </c>
      <c r="AT254" s="12">
        <f>+'Form20 '!M255</f>
        <v>2</v>
      </c>
      <c r="AU254" s="18">
        <v>13</v>
      </c>
      <c r="AV254" s="66" t="s">
        <v>30</v>
      </c>
      <c r="AW254" s="12">
        <f>+'Form20 '!N255</f>
        <v>1</v>
      </c>
      <c r="AX254" s="18">
        <v>14</v>
      </c>
      <c r="AY254" s="66" t="s">
        <v>30</v>
      </c>
      <c r="AZ254" s="12">
        <f>+'Form20 '!O255</f>
        <v>2</v>
      </c>
      <c r="BA254" s="75">
        <f t="shared" si="7"/>
        <v>647</v>
      </c>
    </row>
    <row r="255" spans="1:53" s="67" customFormat="1" ht="59.25" customHeight="1">
      <c r="A255" s="18">
        <v>333</v>
      </c>
      <c r="B255" s="59">
        <v>249</v>
      </c>
      <c r="C255" s="76" t="s">
        <v>325</v>
      </c>
      <c r="D255" s="61">
        <v>806</v>
      </c>
      <c r="E255" s="61">
        <v>231</v>
      </c>
      <c r="F255" s="61">
        <v>305</v>
      </c>
      <c r="G255" s="55">
        <v>0</v>
      </c>
      <c r="H255" s="62">
        <f t="shared" si="6"/>
        <v>536</v>
      </c>
      <c r="I255" s="55">
        <v>18</v>
      </c>
      <c r="J255" s="29">
        <v>0</v>
      </c>
      <c r="K255" s="18">
        <v>1</v>
      </c>
      <c r="L255" s="63" t="s">
        <v>29</v>
      </c>
      <c r="M255" s="12">
        <f>+'Form20 '!B256</f>
        <v>158</v>
      </c>
      <c r="N255" s="18">
        <v>2</v>
      </c>
      <c r="O255" s="58" t="s">
        <v>24</v>
      </c>
      <c r="P255" s="12">
        <f>+'Form20 '!C256</f>
        <v>9</v>
      </c>
      <c r="Q255" s="18">
        <v>3</v>
      </c>
      <c r="R255" s="63" t="s">
        <v>28</v>
      </c>
      <c r="S255" s="12">
        <f>+'Form20 '!D256</f>
        <v>362</v>
      </c>
      <c r="T255" s="18">
        <v>4</v>
      </c>
      <c r="U255" s="64" t="s">
        <v>65</v>
      </c>
      <c r="V255" s="12">
        <f>+'Form20 '!E256</f>
        <v>3</v>
      </c>
      <c r="W255" s="18">
        <v>5</v>
      </c>
      <c r="X255" s="58" t="s">
        <v>66</v>
      </c>
      <c r="Y255" s="12">
        <f>+'Form20 '!F256</f>
        <v>0</v>
      </c>
      <c r="Z255" s="18">
        <v>6</v>
      </c>
      <c r="AA255" s="64" t="s">
        <v>67</v>
      </c>
      <c r="AB255" s="12">
        <f>+'Form20 '!G256</f>
        <v>0</v>
      </c>
      <c r="AC255" s="18">
        <v>7</v>
      </c>
      <c r="AD255" s="63" t="s">
        <v>68</v>
      </c>
      <c r="AE255" s="12">
        <f>+'Form20 '!H256</f>
        <v>0</v>
      </c>
      <c r="AF255" s="18">
        <v>8</v>
      </c>
      <c r="AG255" s="63" t="s">
        <v>69</v>
      </c>
      <c r="AH255" s="12">
        <f>+'Form20 '!I256</f>
        <v>0</v>
      </c>
      <c r="AI255" s="18">
        <v>9</v>
      </c>
      <c r="AJ255" s="65" t="s">
        <v>70</v>
      </c>
      <c r="AK255" s="12">
        <f>+'Form20 '!J256</f>
        <v>3</v>
      </c>
      <c r="AL255" s="18">
        <v>10</v>
      </c>
      <c r="AM255" s="66" t="s">
        <v>30</v>
      </c>
      <c r="AN255" s="12">
        <f>+'Form20 '!K256</f>
        <v>0</v>
      </c>
      <c r="AO255" s="18">
        <v>11</v>
      </c>
      <c r="AP255" s="66" t="s">
        <v>30</v>
      </c>
      <c r="AQ255" s="12">
        <f>+'Form20 '!L256</f>
        <v>0</v>
      </c>
      <c r="AR255" s="18">
        <v>12</v>
      </c>
      <c r="AS255" s="66" t="s">
        <v>30</v>
      </c>
      <c r="AT255" s="12">
        <f>+'Form20 '!M256</f>
        <v>0</v>
      </c>
      <c r="AU255" s="18">
        <v>13</v>
      </c>
      <c r="AV255" s="66" t="s">
        <v>30</v>
      </c>
      <c r="AW255" s="12">
        <f>+'Form20 '!N256</f>
        <v>0</v>
      </c>
      <c r="AX255" s="18">
        <v>14</v>
      </c>
      <c r="AY255" s="66" t="s">
        <v>30</v>
      </c>
      <c r="AZ255" s="12">
        <f>+'Form20 '!O256</f>
        <v>1</v>
      </c>
      <c r="BA255" s="75">
        <f t="shared" si="7"/>
        <v>536</v>
      </c>
    </row>
    <row r="256" spans="1:53" s="67" customFormat="1" ht="59.25" customHeight="1">
      <c r="A256" s="18">
        <v>333</v>
      </c>
      <c r="B256" s="59">
        <v>250</v>
      </c>
      <c r="C256" s="76" t="s">
        <v>326</v>
      </c>
      <c r="D256" s="61">
        <v>761</v>
      </c>
      <c r="E256" s="61">
        <v>229</v>
      </c>
      <c r="F256" s="61">
        <v>260</v>
      </c>
      <c r="G256" s="55">
        <v>0</v>
      </c>
      <c r="H256" s="62">
        <f t="shared" si="6"/>
        <v>489</v>
      </c>
      <c r="I256" s="55">
        <v>43</v>
      </c>
      <c r="J256" s="29">
        <v>0</v>
      </c>
      <c r="K256" s="18">
        <v>1</v>
      </c>
      <c r="L256" s="63" t="s">
        <v>29</v>
      </c>
      <c r="M256" s="12">
        <f>+'Form20 '!B257</f>
        <v>195</v>
      </c>
      <c r="N256" s="18">
        <v>2</v>
      </c>
      <c r="O256" s="58" t="s">
        <v>24</v>
      </c>
      <c r="P256" s="12">
        <f>+'Form20 '!C257</f>
        <v>70</v>
      </c>
      <c r="Q256" s="18">
        <v>3</v>
      </c>
      <c r="R256" s="63" t="s">
        <v>28</v>
      </c>
      <c r="S256" s="12">
        <f>+'Form20 '!D257</f>
        <v>213</v>
      </c>
      <c r="T256" s="18">
        <v>4</v>
      </c>
      <c r="U256" s="64" t="s">
        <v>65</v>
      </c>
      <c r="V256" s="12">
        <f>+'Form20 '!E257</f>
        <v>5</v>
      </c>
      <c r="W256" s="18">
        <v>5</v>
      </c>
      <c r="X256" s="58" t="s">
        <v>66</v>
      </c>
      <c r="Y256" s="12">
        <f>+'Form20 '!F257</f>
        <v>0</v>
      </c>
      <c r="Z256" s="18">
        <v>6</v>
      </c>
      <c r="AA256" s="64" t="s">
        <v>67</v>
      </c>
      <c r="AB256" s="12">
        <f>+'Form20 '!G257</f>
        <v>0</v>
      </c>
      <c r="AC256" s="18">
        <v>7</v>
      </c>
      <c r="AD256" s="63" t="s">
        <v>68</v>
      </c>
      <c r="AE256" s="12">
        <f>+'Form20 '!H257</f>
        <v>0</v>
      </c>
      <c r="AF256" s="18">
        <v>8</v>
      </c>
      <c r="AG256" s="63" t="s">
        <v>69</v>
      </c>
      <c r="AH256" s="12">
        <f>+'Form20 '!I257</f>
        <v>1</v>
      </c>
      <c r="AI256" s="18">
        <v>9</v>
      </c>
      <c r="AJ256" s="65" t="s">
        <v>70</v>
      </c>
      <c r="AK256" s="12">
        <f>+'Form20 '!J257</f>
        <v>2</v>
      </c>
      <c r="AL256" s="18">
        <v>10</v>
      </c>
      <c r="AM256" s="66" t="s">
        <v>30</v>
      </c>
      <c r="AN256" s="12">
        <f>+'Form20 '!K257</f>
        <v>0</v>
      </c>
      <c r="AO256" s="18">
        <v>11</v>
      </c>
      <c r="AP256" s="66" t="s">
        <v>30</v>
      </c>
      <c r="AQ256" s="12">
        <f>+'Form20 '!L257</f>
        <v>0</v>
      </c>
      <c r="AR256" s="18">
        <v>12</v>
      </c>
      <c r="AS256" s="66" t="s">
        <v>30</v>
      </c>
      <c r="AT256" s="12">
        <f>+'Form20 '!M257</f>
        <v>1</v>
      </c>
      <c r="AU256" s="18">
        <v>13</v>
      </c>
      <c r="AV256" s="66" t="s">
        <v>30</v>
      </c>
      <c r="AW256" s="12">
        <f>+'Form20 '!N257</f>
        <v>2</v>
      </c>
      <c r="AX256" s="18">
        <v>14</v>
      </c>
      <c r="AY256" s="66" t="s">
        <v>30</v>
      </c>
      <c r="AZ256" s="12">
        <f>+'Form20 '!O257</f>
        <v>0</v>
      </c>
      <c r="BA256" s="75">
        <f t="shared" si="7"/>
        <v>489</v>
      </c>
    </row>
    <row r="257" spans="1:53" s="67" customFormat="1" ht="59.25" customHeight="1">
      <c r="A257" s="18">
        <v>333</v>
      </c>
      <c r="B257" s="59">
        <v>251</v>
      </c>
      <c r="C257" s="76" t="s">
        <v>327</v>
      </c>
      <c r="D257" s="61">
        <v>690</v>
      </c>
      <c r="E257" s="61">
        <v>221</v>
      </c>
      <c r="F257" s="61">
        <v>245</v>
      </c>
      <c r="G257" s="55">
        <v>0</v>
      </c>
      <c r="H257" s="62">
        <f t="shared" si="6"/>
        <v>466</v>
      </c>
      <c r="I257" s="55">
        <v>34</v>
      </c>
      <c r="J257" s="29">
        <v>0</v>
      </c>
      <c r="K257" s="18">
        <v>1</v>
      </c>
      <c r="L257" s="63" t="s">
        <v>29</v>
      </c>
      <c r="M257" s="12">
        <f>+'Form20 '!B258</f>
        <v>271</v>
      </c>
      <c r="N257" s="18">
        <v>2</v>
      </c>
      <c r="O257" s="58" t="s">
        <v>24</v>
      </c>
      <c r="P257" s="12">
        <f>+'Form20 '!C258</f>
        <v>40</v>
      </c>
      <c r="Q257" s="18">
        <v>3</v>
      </c>
      <c r="R257" s="63" t="s">
        <v>28</v>
      </c>
      <c r="S257" s="12">
        <f>+'Form20 '!D258</f>
        <v>142</v>
      </c>
      <c r="T257" s="18">
        <v>4</v>
      </c>
      <c r="U257" s="64" t="s">
        <v>65</v>
      </c>
      <c r="V257" s="12">
        <f>+'Form20 '!E258</f>
        <v>2</v>
      </c>
      <c r="W257" s="18">
        <v>5</v>
      </c>
      <c r="X257" s="58" t="s">
        <v>66</v>
      </c>
      <c r="Y257" s="12">
        <f>+'Form20 '!F258</f>
        <v>2</v>
      </c>
      <c r="Z257" s="18">
        <v>6</v>
      </c>
      <c r="AA257" s="64" t="s">
        <v>67</v>
      </c>
      <c r="AB257" s="12">
        <f>+'Form20 '!G258</f>
        <v>0</v>
      </c>
      <c r="AC257" s="18">
        <v>7</v>
      </c>
      <c r="AD257" s="63" t="s">
        <v>68</v>
      </c>
      <c r="AE257" s="12">
        <f>+'Form20 '!H258</f>
        <v>1</v>
      </c>
      <c r="AF257" s="18">
        <v>8</v>
      </c>
      <c r="AG257" s="63" t="s">
        <v>69</v>
      </c>
      <c r="AH257" s="12">
        <f>+'Form20 '!I258</f>
        <v>0</v>
      </c>
      <c r="AI257" s="18">
        <v>9</v>
      </c>
      <c r="AJ257" s="65" t="s">
        <v>70</v>
      </c>
      <c r="AK257" s="12">
        <f>+'Form20 '!J258</f>
        <v>1</v>
      </c>
      <c r="AL257" s="18">
        <v>10</v>
      </c>
      <c r="AM257" s="66" t="s">
        <v>30</v>
      </c>
      <c r="AN257" s="12">
        <f>+'Form20 '!K258</f>
        <v>0</v>
      </c>
      <c r="AO257" s="18">
        <v>11</v>
      </c>
      <c r="AP257" s="66" t="s">
        <v>30</v>
      </c>
      <c r="AQ257" s="12">
        <f>+'Form20 '!L258</f>
        <v>0</v>
      </c>
      <c r="AR257" s="18">
        <v>12</v>
      </c>
      <c r="AS257" s="66" t="s">
        <v>30</v>
      </c>
      <c r="AT257" s="12">
        <f>+'Form20 '!M258</f>
        <v>0</v>
      </c>
      <c r="AU257" s="18">
        <v>13</v>
      </c>
      <c r="AV257" s="66" t="s">
        <v>30</v>
      </c>
      <c r="AW257" s="12">
        <f>+'Form20 '!N258</f>
        <v>1</v>
      </c>
      <c r="AX257" s="18">
        <v>14</v>
      </c>
      <c r="AY257" s="66" t="s">
        <v>30</v>
      </c>
      <c r="AZ257" s="12">
        <f>+'Form20 '!O258</f>
        <v>1</v>
      </c>
      <c r="BA257" s="75">
        <f t="shared" si="7"/>
        <v>461</v>
      </c>
    </row>
    <row r="258" spans="1:53" s="67" customFormat="1" ht="59.25" customHeight="1">
      <c r="A258" s="18">
        <v>333</v>
      </c>
      <c r="B258" s="59">
        <v>252</v>
      </c>
      <c r="C258" s="76" t="s">
        <v>328</v>
      </c>
      <c r="D258" s="61">
        <v>684</v>
      </c>
      <c r="E258" s="61">
        <v>190</v>
      </c>
      <c r="F258" s="61">
        <v>240</v>
      </c>
      <c r="G258" s="55">
        <v>0</v>
      </c>
      <c r="H258" s="62">
        <f t="shared" si="6"/>
        <v>430</v>
      </c>
      <c r="I258" s="55">
        <v>19</v>
      </c>
      <c r="J258" s="29">
        <v>0</v>
      </c>
      <c r="K258" s="18">
        <v>1</v>
      </c>
      <c r="L258" s="63" t="s">
        <v>29</v>
      </c>
      <c r="M258" s="12">
        <f>+'Form20 '!B259</f>
        <v>128</v>
      </c>
      <c r="N258" s="18">
        <v>2</v>
      </c>
      <c r="O258" s="58" t="s">
        <v>24</v>
      </c>
      <c r="P258" s="12">
        <f>+'Form20 '!C259</f>
        <v>26</v>
      </c>
      <c r="Q258" s="18">
        <v>3</v>
      </c>
      <c r="R258" s="63" t="s">
        <v>28</v>
      </c>
      <c r="S258" s="12">
        <f>+'Form20 '!D259</f>
        <v>254</v>
      </c>
      <c r="T258" s="18">
        <v>4</v>
      </c>
      <c r="U258" s="64" t="s">
        <v>65</v>
      </c>
      <c r="V258" s="12">
        <f>+'Form20 '!E259</f>
        <v>0</v>
      </c>
      <c r="W258" s="18">
        <v>5</v>
      </c>
      <c r="X258" s="58" t="s">
        <v>66</v>
      </c>
      <c r="Y258" s="12">
        <f>+'Form20 '!F259</f>
        <v>0</v>
      </c>
      <c r="Z258" s="18">
        <v>6</v>
      </c>
      <c r="AA258" s="64" t="s">
        <v>67</v>
      </c>
      <c r="AB258" s="12">
        <f>+'Form20 '!G259</f>
        <v>0</v>
      </c>
      <c r="AC258" s="18">
        <v>7</v>
      </c>
      <c r="AD258" s="63" t="s">
        <v>68</v>
      </c>
      <c r="AE258" s="12">
        <f>+'Form20 '!H259</f>
        <v>0</v>
      </c>
      <c r="AF258" s="18">
        <v>8</v>
      </c>
      <c r="AG258" s="63" t="s">
        <v>69</v>
      </c>
      <c r="AH258" s="12">
        <f>+'Form20 '!I259</f>
        <v>0</v>
      </c>
      <c r="AI258" s="18">
        <v>9</v>
      </c>
      <c r="AJ258" s="65" t="s">
        <v>70</v>
      </c>
      <c r="AK258" s="12">
        <f>+'Form20 '!J259</f>
        <v>7</v>
      </c>
      <c r="AL258" s="18">
        <v>10</v>
      </c>
      <c r="AM258" s="66" t="s">
        <v>30</v>
      </c>
      <c r="AN258" s="12">
        <f>+'Form20 '!K259</f>
        <v>0</v>
      </c>
      <c r="AO258" s="18">
        <v>11</v>
      </c>
      <c r="AP258" s="66" t="s">
        <v>30</v>
      </c>
      <c r="AQ258" s="12">
        <f>+'Form20 '!L259</f>
        <v>1</v>
      </c>
      <c r="AR258" s="18">
        <v>12</v>
      </c>
      <c r="AS258" s="66" t="s">
        <v>30</v>
      </c>
      <c r="AT258" s="12">
        <f>+'Form20 '!M259</f>
        <v>0</v>
      </c>
      <c r="AU258" s="18">
        <v>13</v>
      </c>
      <c r="AV258" s="66" t="s">
        <v>30</v>
      </c>
      <c r="AW258" s="12">
        <f>+'Form20 '!N259</f>
        <v>4</v>
      </c>
      <c r="AX258" s="18">
        <v>14</v>
      </c>
      <c r="AY258" s="66" t="s">
        <v>30</v>
      </c>
      <c r="AZ258" s="12">
        <f>+'Form20 '!O259</f>
        <v>4</v>
      </c>
      <c r="BA258" s="75">
        <f t="shared" si="7"/>
        <v>424</v>
      </c>
    </row>
    <row r="259" spans="1:53" s="67" customFormat="1" ht="59.25" customHeight="1">
      <c r="A259" s="18">
        <v>333</v>
      </c>
      <c r="B259" s="59">
        <v>253</v>
      </c>
      <c r="C259" s="76" t="s">
        <v>328</v>
      </c>
      <c r="D259" s="61">
        <v>768</v>
      </c>
      <c r="E259" s="61">
        <v>227</v>
      </c>
      <c r="F259" s="61">
        <v>256</v>
      </c>
      <c r="G259" s="55">
        <v>0</v>
      </c>
      <c r="H259" s="62">
        <f t="shared" si="6"/>
        <v>483</v>
      </c>
      <c r="I259" s="55">
        <v>27</v>
      </c>
      <c r="J259" s="29">
        <v>0</v>
      </c>
      <c r="K259" s="18">
        <v>1</v>
      </c>
      <c r="L259" s="63" t="s">
        <v>29</v>
      </c>
      <c r="M259" s="12">
        <f>+'Form20 '!B260</f>
        <v>256</v>
      </c>
      <c r="N259" s="18">
        <v>2</v>
      </c>
      <c r="O259" s="58" t="s">
        <v>24</v>
      </c>
      <c r="P259" s="12">
        <f>+'Form20 '!C260</f>
        <v>30</v>
      </c>
      <c r="Q259" s="18">
        <v>3</v>
      </c>
      <c r="R259" s="63" t="s">
        <v>28</v>
      </c>
      <c r="S259" s="12">
        <f>+'Form20 '!D260</f>
        <v>184</v>
      </c>
      <c r="T259" s="18">
        <v>4</v>
      </c>
      <c r="U259" s="64" t="s">
        <v>65</v>
      </c>
      <c r="V259" s="12">
        <f>+'Form20 '!E260</f>
        <v>2</v>
      </c>
      <c r="W259" s="18">
        <v>5</v>
      </c>
      <c r="X259" s="58" t="s">
        <v>66</v>
      </c>
      <c r="Y259" s="12">
        <f>+'Form20 '!F260</f>
        <v>2</v>
      </c>
      <c r="Z259" s="18">
        <v>6</v>
      </c>
      <c r="AA259" s="64" t="s">
        <v>67</v>
      </c>
      <c r="AB259" s="12">
        <f>+'Form20 '!G260</f>
        <v>0</v>
      </c>
      <c r="AC259" s="18">
        <v>7</v>
      </c>
      <c r="AD259" s="63" t="s">
        <v>68</v>
      </c>
      <c r="AE259" s="12">
        <f>+'Form20 '!H260</f>
        <v>0</v>
      </c>
      <c r="AF259" s="18">
        <v>8</v>
      </c>
      <c r="AG259" s="63" t="s">
        <v>69</v>
      </c>
      <c r="AH259" s="12">
        <f>+'Form20 '!I260</f>
        <v>0</v>
      </c>
      <c r="AI259" s="18">
        <v>9</v>
      </c>
      <c r="AJ259" s="65" t="s">
        <v>70</v>
      </c>
      <c r="AK259" s="12">
        <f>+'Form20 '!J260</f>
        <v>1</v>
      </c>
      <c r="AL259" s="18">
        <v>10</v>
      </c>
      <c r="AM259" s="66" t="s">
        <v>30</v>
      </c>
      <c r="AN259" s="12">
        <f>+'Form20 '!K260</f>
        <v>0</v>
      </c>
      <c r="AO259" s="18">
        <v>11</v>
      </c>
      <c r="AP259" s="66" t="s">
        <v>30</v>
      </c>
      <c r="AQ259" s="12">
        <f>+'Form20 '!L260</f>
        <v>1</v>
      </c>
      <c r="AR259" s="18">
        <v>12</v>
      </c>
      <c r="AS259" s="66" t="s">
        <v>30</v>
      </c>
      <c r="AT259" s="12">
        <f>+'Form20 '!M260</f>
        <v>1</v>
      </c>
      <c r="AU259" s="18">
        <v>13</v>
      </c>
      <c r="AV259" s="66" t="s">
        <v>30</v>
      </c>
      <c r="AW259" s="12">
        <f>+'Form20 '!N260</f>
        <v>3</v>
      </c>
      <c r="AX259" s="18">
        <v>14</v>
      </c>
      <c r="AY259" s="66" t="s">
        <v>30</v>
      </c>
      <c r="AZ259" s="12">
        <f>+'Form20 '!O260</f>
        <v>2</v>
      </c>
      <c r="BA259" s="75">
        <f t="shared" si="7"/>
        <v>482</v>
      </c>
    </row>
    <row r="260" spans="1:53" s="67" customFormat="1" ht="59.25" customHeight="1">
      <c r="A260" s="18">
        <v>333</v>
      </c>
      <c r="B260" s="59">
        <v>254</v>
      </c>
      <c r="C260" s="76" t="s">
        <v>329</v>
      </c>
      <c r="D260" s="61">
        <v>630</v>
      </c>
      <c r="E260" s="61">
        <v>222</v>
      </c>
      <c r="F260" s="61">
        <v>202</v>
      </c>
      <c r="G260" s="55">
        <v>0</v>
      </c>
      <c r="H260" s="62">
        <f t="shared" si="6"/>
        <v>424</v>
      </c>
      <c r="I260" s="55">
        <v>39</v>
      </c>
      <c r="J260" s="29">
        <v>0</v>
      </c>
      <c r="K260" s="18">
        <v>1</v>
      </c>
      <c r="L260" s="63" t="s">
        <v>29</v>
      </c>
      <c r="M260" s="12">
        <f>+'Form20 '!B261</f>
        <v>251</v>
      </c>
      <c r="N260" s="18">
        <v>2</v>
      </c>
      <c r="O260" s="58" t="s">
        <v>24</v>
      </c>
      <c r="P260" s="12">
        <f>+'Form20 '!C261</f>
        <v>47</v>
      </c>
      <c r="Q260" s="18">
        <v>3</v>
      </c>
      <c r="R260" s="63" t="s">
        <v>28</v>
      </c>
      <c r="S260" s="12">
        <f>+'Form20 '!D261</f>
        <v>106</v>
      </c>
      <c r="T260" s="18">
        <v>4</v>
      </c>
      <c r="U260" s="64" t="s">
        <v>65</v>
      </c>
      <c r="V260" s="12">
        <f>+'Form20 '!E261</f>
        <v>1</v>
      </c>
      <c r="W260" s="18">
        <v>5</v>
      </c>
      <c r="X260" s="58" t="s">
        <v>66</v>
      </c>
      <c r="Y260" s="12">
        <f>+'Form20 '!F261</f>
        <v>0</v>
      </c>
      <c r="Z260" s="18">
        <v>6</v>
      </c>
      <c r="AA260" s="64" t="s">
        <v>67</v>
      </c>
      <c r="AB260" s="12">
        <f>+'Form20 '!G261</f>
        <v>0</v>
      </c>
      <c r="AC260" s="18">
        <v>7</v>
      </c>
      <c r="AD260" s="63" t="s">
        <v>68</v>
      </c>
      <c r="AE260" s="12">
        <f>+'Form20 '!H261</f>
        <v>0</v>
      </c>
      <c r="AF260" s="18">
        <v>8</v>
      </c>
      <c r="AG260" s="63" t="s">
        <v>69</v>
      </c>
      <c r="AH260" s="12">
        <f>+'Form20 '!I261</f>
        <v>0</v>
      </c>
      <c r="AI260" s="18">
        <v>9</v>
      </c>
      <c r="AJ260" s="65" t="s">
        <v>70</v>
      </c>
      <c r="AK260" s="12">
        <f>+'Form20 '!J261</f>
        <v>3</v>
      </c>
      <c r="AL260" s="18">
        <v>10</v>
      </c>
      <c r="AM260" s="66" t="s">
        <v>30</v>
      </c>
      <c r="AN260" s="12">
        <f>+'Form20 '!K261</f>
        <v>2</v>
      </c>
      <c r="AO260" s="18">
        <v>11</v>
      </c>
      <c r="AP260" s="66" t="s">
        <v>30</v>
      </c>
      <c r="AQ260" s="12">
        <f>+'Form20 '!L261</f>
        <v>0</v>
      </c>
      <c r="AR260" s="18">
        <v>12</v>
      </c>
      <c r="AS260" s="66" t="s">
        <v>30</v>
      </c>
      <c r="AT260" s="12">
        <f>+'Form20 '!M261</f>
        <v>3</v>
      </c>
      <c r="AU260" s="18">
        <v>13</v>
      </c>
      <c r="AV260" s="66" t="s">
        <v>30</v>
      </c>
      <c r="AW260" s="12">
        <f>+'Form20 '!N261</f>
        <v>1</v>
      </c>
      <c r="AX260" s="18">
        <v>14</v>
      </c>
      <c r="AY260" s="66" t="s">
        <v>30</v>
      </c>
      <c r="AZ260" s="12">
        <f>+'Form20 '!O261</f>
        <v>3</v>
      </c>
      <c r="BA260" s="75">
        <f t="shared" si="7"/>
        <v>417</v>
      </c>
    </row>
    <row r="261" spans="1:53" s="67" customFormat="1" ht="59.25" customHeight="1">
      <c r="A261" s="18">
        <v>333</v>
      </c>
      <c r="B261" s="59">
        <v>255</v>
      </c>
      <c r="C261" s="76" t="s">
        <v>330</v>
      </c>
      <c r="D261" s="61">
        <v>637</v>
      </c>
      <c r="E261" s="61">
        <v>189</v>
      </c>
      <c r="F261" s="61">
        <v>225</v>
      </c>
      <c r="G261" s="55">
        <v>0</v>
      </c>
      <c r="H261" s="62">
        <f t="shared" si="6"/>
        <v>414</v>
      </c>
      <c r="I261" s="55">
        <v>25</v>
      </c>
      <c r="J261" s="29">
        <v>0</v>
      </c>
      <c r="K261" s="18">
        <v>1</v>
      </c>
      <c r="L261" s="63" t="s">
        <v>29</v>
      </c>
      <c r="M261" s="12">
        <f>+'Form20 '!B262</f>
        <v>136</v>
      </c>
      <c r="N261" s="18">
        <v>2</v>
      </c>
      <c r="O261" s="58" t="s">
        <v>24</v>
      </c>
      <c r="P261" s="12">
        <f>+'Form20 '!C262</f>
        <v>16</v>
      </c>
      <c r="Q261" s="18">
        <v>3</v>
      </c>
      <c r="R261" s="63" t="s">
        <v>28</v>
      </c>
      <c r="S261" s="12">
        <f>+'Form20 '!D262</f>
        <v>241</v>
      </c>
      <c r="T261" s="18">
        <v>4</v>
      </c>
      <c r="U261" s="64" t="s">
        <v>65</v>
      </c>
      <c r="V261" s="12">
        <f>+'Form20 '!E262</f>
        <v>4</v>
      </c>
      <c r="W261" s="18">
        <v>5</v>
      </c>
      <c r="X261" s="58" t="s">
        <v>66</v>
      </c>
      <c r="Y261" s="12">
        <f>+'Form20 '!F262</f>
        <v>2</v>
      </c>
      <c r="Z261" s="18">
        <v>6</v>
      </c>
      <c r="AA261" s="64" t="s">
        <v>67</v>
      </c>
      <c r="AB261" s="12">
        <f>+'Form20 '!G262</f>
        <v>0</v>
      </c>
      <c r="AC261" s="18">
        <v>7</v>
      </c>
      <c r="AD261" s="63" t="s">
        <v>68</v>
      </c>
      <c r="AE261" s="12">
        <f>+'Form20 '!H262</f>
        <v>1</v>
      </c>
      <c r="AF261" s="18">
        <v>8</v>
      </c>
      <c r="AG261" s="63" t="s">
        <v>69</v>
      </c>
      <c r="AH261" s="12">
        <f>+'Form20 '!I262</f>
        <v>2</v>
      </c>
      <c r="AI261" s="18">
        <v>9</v>
      </c>
      <c r="AJ261" s="65" t="s">
        <v>70</v>
      </c>
      <c r="AK261" s="12">
        <f>+'Form20 '!J262</f>
        <v>2</v>
      </c>
      <c r="AL261" s="18">
        <v>10</v>
      </c>
      <c r="AM261" s="66" t="s">
        <v>30</v>
      </c>
      <c r="AN261" s="12">
        <f>+'Form20 '!K262</f>
        <v>0</v>
      </c>
      <c r="AO261" s="18">
        <v>11</v>
      </c>
      <c r="AP261" s="66" t="s">
        <v>30</v>
      </c>
      <c r="AQ261" s="12">
        <f>+'Form20 '!L262</f>
        <v>3</v>
      </c>
      <c r="AR261" s="18">
        <v>12</v>
      </c>
      <c r="AS261" s="66" t="s">
        <v>30</v>
      </c>
      <c r="AT261" s="12">
        <f>+'Form20 '!M262</f>
        <v>1</v>
      </c>
      <c r="AU261" s="18">
        <v>13</v>
      </c>
      <c r="AV261" s="66" t="s">
        <v>30</v>
      </c>
      <c r="AW261" s="12">
        <f>+'Form20 '!N262</f>
        <v>3</v>
      </c>
      <c r="AX261" s="18">
        <v>14</v>
      </c>
      <c r="AY261" s="66" t="s">
        <v>30</v>
      </c>
      <c r="AZ261" s="12">
        <f>+'Form20 '!O262</f>
        <v>1</v>
      </c>
      <c r="BA261" s="75">
        <f t="shared" si="7"/>
        <v>412</v>
      </c>
    </row>
    <row r="262" spans="1:53" s="67" customFormat="1" ht="59.25" customHeight="1">
      <c r="A262" s="18">
        <v>333</v>
      </c>
      <c r="B262" s="59">
        <v>256</v>
      </c>
      <c r="C262" s="76" t="s">
        <v>331</v>
      </c>
      <c r="D262" s="61">
        <v>1154</v>
      </c>
      <c r="E262" s="61">
        <v>353</v>
      </c>
      <c r="F262" s="61">
        <v>380</v>
      </c>
      <c r="G262" s="55">
        <v>0</v>
      </c>
      <c r="H262" s="62">
        <f t="shared" si="6"/>
        <v>733</v>
      </c>
      <c r="I262" s="55">
        <v>53</v>
      </c>
      <c r="J262" s="29">
        <v>0</v>
      </c>
      <c r="K262" s="18">
        <v>1</v>
      </c>
      <c r="L262" s="63" t="s">
        <v>29</v>
      </c>
      <c r="M262" s="12">
        <f>+'Form20 '!B263</f>
        <v>438</v>
      </c>
      <c r="N262" s="18">
        <v>2</v>
      </c>
      <c r="O262" s="58" t="s">
        <v>24</v>
      </c>
      <c r="P262" s="12">
        <f>+'Form20 '!C263</f>
        <v>99</v>
      </c>
      <c r="Q262" s="18">
        <v>3</v>
      </c>
      <c r="R262" s="63" t="s">
        <v>28</v>
      </c>
      <c r="S262" s="12">
        <f>+'Form20 '!D263</f>
        <v>163</v>
      </c>
      <c r="T262" s="18">
        <v>4</v>
      </c>
      <c r="U262" s="64" t="s">
        <v>65</v>
      </c>
      <c r="V262" s="12">
        <f>+'Form20 '!E263</f>
        <v>5</v>
      </c>
      <c r="W262" s="18">
        <v>5</v>
      </c>
      <c r="X262" s="58" t="s">
        <v>66</v>
      </c>
      <c r="Y262" s="12">
        <f>+'Form20 '!F263</f>
        <v>2</v>
      </c>
      <c r="Z262" s="18">
        <v>6</v>
      </c>
      <c r="AA262" s="64" t="s">
        <v>67</v>
      </c>
      <c r="AB262" s="12">
        <f>+'Form20 '!G263</f>
        <v>1</v>
      </c>
      <c r="AC262" s="18">
        <v>7</v>
      </c>
      <c r="AD262" s="63" t="s">
        <v>68</v>
      </c>
      <c r="AE262" s="12">
        <f>+'Form20 '!H263</f>
        <v>2</v>
      </c>
      <c r="AF262" s="18">
        <v>8</v>
      </c>
      <c r="AG262" s="63" t="s">
        <v>69</v>
      </c>
      <c r="AH262" s="12">
        <f>+'Form20 '!I263</f>
        <v>1</v>
      </c>
      <c r="AI262" s="18">
        <v>9</v>
      </c>
      <c r="AJ262" s="65" t="s">
        <v>70</v>
      </c>
      <c r="AK262" s="12">
        <f>+'Form20 '!J263</f>
        <v>1</v>
      </c>
      <c r="AL262" s="18">
        <v>10</v>
      </c>
      <c r="AM262" s="66" t="s">
        <v>30</v>
      </c>
      <c r="AN262" s="12">
        <f>+'Form20 '!K263</f>
        <v>2</v>
      </c>
      <c r="AO262" s="18">
        <v>11</v>
      </c>
      <c r="AP262" s="66" t="s">
        <v>30</v>
      </c>
      <c r="AQ262" s="12">
        <f>+'Form20 '!L263</f>
        <v>2</v>
      </c>
      <c r="AR262" s="18">
        <v>12</v>
      </c>
      <c r="AS262" s="66" t="s">
        <v>30</v>
      </c>
      <c r="AT262" s="12">
        <f>+'Form20 '!M263</f>
        <v>3</v>
      </c>
      <c r="AU262" s="18">
        <v>13</v>
      </c>
      <c r="AV262" s="66" t="s">
        <v>30</v>
      </c>
      <c r="AW262" s="12">
        <f>+'Form20 '!N263</f>
        <v>2</v>
      </c>
      <c r="AX262" s="18">
        <v>14</v>
      </c>
      <c r="AY262" s="66" t="s">
        <v>30</v>
      </c>
      <c r="AZ262" s="12">
        <f>+'Form20 '!O263</f>
        <v>2</v>
      </c>
      <c r="BA262" s="75">
        <f t="shared" si="7"/>
        <v>723</v>
      </c>
    </row>
    <row r="263" spans="1:53" s="67" customFormat="1" ht="59.25" customHeight="1">
      <c r="A263" s="18">
        <v>333</v>
      </c>
      <c r="B263" s="59">
        <v>257</v>
      </c>
      <c r="C263" s="76" t="s">
        <v>332</v>
      </c>
      <c r="D263" s="61">
        <v>765</v>
      </c>
      <c r="E263" s="61">
        <v>252</v>
      </c>
      <c r="F263" s="61">
        <v>234</v>
      </c>
      <c r="G263" s="55">
        <v>0</v>
      </c>
      <c r="H263" s="62">
        <f t="shared" si="6"/>
        <v>486</v>
      </c>
      <c r="I263" s="55">
        <v>35</v>
      </c>
      <c r="J263" s="29">
        <v>0</v>
      </c>
      <c r="K263" s="18">
        <v>1</v>
      </c>
      <c r="L263" s="63" t="s">
        <v>29</v>
      </c>
      <c r="M263" s="12">
        <f>+'Form20 '!B264</f>
        <v>388</v>
      </c>
      <c r="N263" s="18">
        <v>2</v>
      </c>
      <c r="O263" s="58" t="s">
        <v>24</v>
      </c>
      <c r="P263" s="12">
        <f>+'Form20 '!C264</f>
        <v>1</v>
      </c>
      <c r="Q263" s="18">
        <v>3</v>
      </c>
      <c r="R263" s="63" t="s">
        <v>28</v>
      </c>
      <c r="S263" s="12">
        <f>+'Form20 '!D264</f>
        <v>77</v>
      </c>
      <c r="T263" s="18">
        <v>4</v>
      </c>
      <c r="U263" s="64" t="s">
        <v>65</v>
      </c>
      <c r="V263" s="12">
        <f>+'Form20 '!E264</f>
        <v>8</v>
      </c>
      <c r="W263" s="18">
        <v>5</v>
      </c>
      <c r="X263" s="58" t="s">
        <v>66</v>
      </c>
      <c r="Y263" s="12">
        <f>+'Form20 '!F264</f>
        <v>0</v>
      </c>
      <c r="Z263" s="18">
        <v>6</v>
      </c>
      <c r="AA263" s="64" t="s">
        <v>67</v>
      </c>
      <c r="AB263" s="12">
        <f>+'Form20 '!G264</f>
        <v>0</v>
      </c>
      <c r="AC263" s="18">
        <v>7</v>
      </c>
      <c r="AD263" s="63" t="s">
        <v>68</v>
      </c>
      <c r="AE263" s="12">
        <f>+'Form20 '!H264</f>
        <v>1</v>
      </c>
      <c r="AF263" s="18">
        <v>8</v>
      </c>
      <c r="AG263" s="63" t="s">
        <v>69</v>
      </c>
      <c r="AH263" s="12">
        <f>+'Form20 '!I264</f>
        <v>0</v>
      </c>
      <c r="AI263" s="18">
        <v>9</v>
      </c>
      <c r="AJ263" s="65" t="s">
        <v>70</v>
      </c>
      <c r="AK263" s="12">
        <f>+'Form20 '!J264</f>
        <v>0</v>
      </c>
      <c r="AL263" s="18">
        <v>10</v>
      </c>
      <c r="AM263" s="66" t="s">
        <v>30</v>
      </c>
      <c r="AN263" s="12">
        <f>+'Form20 '!K264</f>
        <v>2</v>
      </c>
      <c r="AO263" s="18">
        <v>11</v>
      </c>
      <c r="AP263" s="66" t="s">
        <v>30</v>
      </c>
      <c r="AQ263" s="12">
        <f>+'Form20 '!L264</f>
        <v>2</v>
      </c>
      <c r="AR263" s="18">
        <v>12</v>
      </c>
      <c r="AS263" s="66" t="s">
        <v>30</v>
      </c>
      <c r="AT263" s="12">
        <f>+'Form20 '!M264</f>
        <v>1</v>
      </c>
      <c r="AU263" s="18">
        <v>13</v>
      </c>
      <c r="AV263" s="66" t="s">
        <v>30</v>
      </c>
      <c r="AW263" s="12">
        <f>+'Form20 '!N264</f>
        <v>2</v>
      </c>
      <c r="AX263" s="18">
        <v>14</v>
      </c>
      <c r="AY263" s="66" t="s">
        <v>30</v>
      </c>
      <c r="AZ263" s="12">
        <f>+'Form20 '!O264</f>
        <v>2</v>
      </c>
      <c r="BA263" s="75">
        <f t="shared" si="7"/>
        <v>484</v>
      </c>
    </row>
    <row r="264" spans="1:53" s="67" customFormat="1" ht="59.25" customHeight="1">
      <c r="A264" s="18">
        <v>333</v>
      </c>
      <c r="B264" s="59">
        <v>258</v>
      </c>
      <c r="C264" s="76" t="s">
        <v>333</v>
      </c>
      <c r="D264" s="61">
        <v>764</v>
      </c>
      <c r="E264" s="61">
        <v>218</v>
      </c>
      <c r="F264" s="61">
        <v>234</v>
      </c>
      <c r="G264" s="55">
        <v>0</v>
      </c>
      <c r="H264" s="62">
        <f t="shared" ref="H264:H327" si="8">E264+F264+G264</f>
        <v>452</v>
      </c>
      <c r="I264" s="55">
        <v>13</v>
      </c>
      <c r="J264" s="29">
        <v>0</v>
      </c>
      <c r="K264" s="18">
        <v>1</v>
      </c>
      <c r="L264" s="63" t="s">
        <v>29</v>
      </c>
      <c r="M264" s="12">
        <f>+'Form20 '!B265</f>
        <v>268</v>
      </c>
      <c r="N264" s="18">
        <v>2</v>
      </c>
      <c r="O264" s="58" t="s">
        <v>24</v>
      </c>
      <c r="P264" s="12">
        <f>+'Form20 '!C265</f>
        <v>9</v>
      </c>
      <c r="Q264" s="18">
        <v>3</v>
      </c>
      <c r="R264" s="63" t="s">
        <v>28</v>
      </c>
      <c r="S264" s="12">
        <f>+'Form20 '!D265</f>
        <v>163</v>
      </c>
      <c r="T264" s="18">
        <v>4</v>
      </c>
      <c r="U264" s="64" t="s">
        <v>65</v>
      </c>
      <c r="V264" s="12">
        <f>+'Form20 '!E265</f>
        <v>3</v>
      </c>
      <c r="W264" s="18">
        <v>5</v>
      </c>
      <c r="X264" s="58" t="s">
        <v>66</v>
      </c>
      <c r="Y264" s="12">
        <f>+'Form20 '!F265</f>
        <v>0</v>
      </c>
      <c r="Z264" s="18">
        <v>6</v>
      </c>
      <c r="AA264" s="64" t="s">
        <v>67</v>
      </c>
      <c r="AB264" s="12">
        <f>+'Form20 '!G265</f>
        <v>0</v>
      </c>
      <c r="AC264" s="18">
        <v>7</v>
      </c>
      <c r="AD264" s="63" t="s">
        <v>68</v>
      </c>
      <c r="AE264" s="12">
        <f>+'Form20 '!H265</f>
        <v>2</v>
      </c>
      <c r="AF264" s="18">
        <v>8</v>
      </c>
      <c r="AG264" s="63" t="s">
        <v>69</v>
      </c>
      <c r="AH264" s="12">
        <f>+'Form20 '!I265</f>
        <v>0</v>
      </c>
      <c r="AI264" s="18">
        <v>9</v>
      </c>
      <c r="AJ264" s="65" t="s">
        <v>70</v>
      </c>
      <c r="AK264" s="12">
        <f>+'Form20 '!J265</f>
        <v>0</v>
      </c>
      <c r="AL264" s="18">
        <v>10</v>
      </c>
      <c r="AM264" s="66" t="s">
        <v>30</v>
      </c>
      <c r="AN264" s="12">
        <f>+'Form20 '!K265</f>
        <v>0</v>
      </c>
      <c r="AO264" s="18">
        <v>11</v>
      </c>
      <c r="AP264" s="66" t="s">
        <v>30</v>
      </c>
      <c r="AQ264" s="12">
        <f>+'Form20 '!L265</f>
        <v>1</v>
      </c>
      <c r="AR264" s="18">
        <v>12</v>
      </c>
      <c r="AS264" s="66" t="s">
        <v>30</v>
      </c>
      <c r="AT264" s="12">
        <f>+'Form20 '!M265</f>
        <v>1</v>
      </c>
      <c r="AU264" s="18">
        <v>13</v>
      </c>
      <c r="AV264" s="66" t="s">
        <v>30</v>
      </c>
      <c r="AW264" s="12">
        <f>+'Form20 '!N265</f>
        <v>0</v>
      </c>
      <c r="AX264" s="18">
        <v>14</v>
      </c>
      <c r="AY264" s="66" t="s">
        <v>30</v>
      </c>
      <c r="AZ264" s="12">
        <f>+'Form20 '!O265</f>
        <v>3</v>
      </c>
      <c r="BA264" s="75">
        <f t="shared" ref="BA264:BA327" si="9">AZ264+AW264+AT264+AQ264+AN264+AK264+AH264+AE264+AB264+Y264+V264+S264+P264+M264</f>
        <v>450</v>
      </c>
    </row>
    <row r="265" spans="1:53" s="67" customFormat="1" ht="59.25" customHeight="1">
      <c r="A265" s="18">
        <v>333</v>
      </c>
      <c r="B265" s="59">
        <v>259</v>
      </c>
      <c r="C265" s="76" t="s">
        <v>334</v>
      </c>
      <c r="D265" s="61">
        <v>645</v>
      </c>
      <c r="E265" s="61">
        <v>190</v>
      </c>
      <c r="F265" s="61">
        <v>202</v>
      </c>
      <c r="G265" s="55">
        <v>0</v>
      </c>
      <c r="H265" s="62">
        <f t="shared" si="8"/>
        <v>392</v>
      </c>
      <c r="I265" s="55">
        <v>44</v>
      </c>
      <c r="J265" s="29">
        <v>0</v>
      </c>
      <c r="K265" s="18">
        <v>1</v>
      </c>
      <c r="L265" s="63" t="s">
        <v>29</v>
      </c>
      <c r="M265" s="12">
        <f>+'Form20 '!B266</f>
        <v>311</v>
      </c>
      <c r="N265" s="18">
        <v>2</v>
      </c>
      <c r="O265" s="58" t="s">
        <v>24</v>
      </c>
      <c r="P265" s="12">
        <f>+'Form20 '!C266</f>
        <v>6</v>
      </c>
      <c r="Q265" s="18">
        <v>3</v>
      </c>
      <c r="R265" s="63" t="s">
        <v>28</v>
      </c>
      <c r="S265" s="12">
        <f>+'Form20 '!D266</f>
        <v>68</v>
      </c>
      <c r="T265" s="18">
        <v>4</v>
      </c>
      <c r="U265" s="64" t="s">
        <v>65</v>
      </c>
      <c r="V265" s="12">
        <f>+'Form20 '!E266</f>
        <v>1</v>
      </c>
      <c r="W265" s="18">
        <v>5</v>
      </c>
      <c r="X265" s="58" t="s">
        <v>66</v>
      </c>
      <c r="Y265" s="12">
        <f>+'Form20 '!F266</f>
        <v>1</v>
      </c>
      <c r="Z265" s="18">
        <v>6</v>
      </c>
      <c r="AA265" s="64" t="s">
        <v>67</v>
      </c>
      <c r="AB265" s="12">
        <f>+'Form20 '!G266</f>
        <v>0</v>
      </c>
      <c r="AC265" s="18">
        <v>7</v>
      </c>
      <c r="AD265" s="63" t="s">
        <v>68</v>
      </c>
      <c r="AE265" s="12">
        <f>+'Form20 '!H266</f>
        <v>0</v>
      </c>
      <c r="AF265" s="18">
        <v>8</v>
      </c>
      <c r="AG265" s="63" t="s">
        <v>69</v>
      </c>
      <c r="AH265" s="12">
        <f>+'Form20 '!I266</f>
        <v>0</v>
      </c>
      <c r="AI265" s="18">
        <v>9</v>
      </c>
      <c r="AJ265" s="65" t="s">
        <v>70</v>
      </c>
      <c r="AK265" s="12">
        <f>+'Form20 '!J266</f>
        <v>0</v>
      </c>
      <c r="AL265" s="18">
        <v>10</v>
      </c>
      <c r="AM265" s="66" t="s">
        <v>30</v>
      </c>
      <c r="AN265" s="12">
        <f>+'Form20 '!K266</f>
        <v>0</v>
      </c>
      <c r="AO265" s="18">
        <v>11</v>
      </c>
      <c r="AP265" s="66" t="s">
        <v>30</v>
      </c>
      <c r="AQ265" s="12">
        <f>+'Form20 '!L266</f>
        <v>2</v>
      </c>
      <c r="AR265" s="18">
        <v>12</v>
      </c>
      <c r="AS265" s="66" t="s">
        <v>30</v>
      </c>
      <c r="AT265" s="12">
        <f>+'Form20 '!M266</f>
        <v>0</v>
      </c>
      <c r="AU265" s="18">
        <v>13</v>
      </c>
      <c r="AV265" s="66" t="s">
        <v>30</v>
      </c>
      <c r="AW265" s="12">
        <f>+'Form20 '!N266</f>
        <v>1</v>
      </c>
      <c r="AX265" s="18">
        <v>14</v>
      </c>
      <c r="AY265" s="66" t="s">
        <v>30</v>
      </c>
      <c r="AZ265" s="12">
        <f>+'Form20 '!O266</f>
        <v>0</v>
      </c>
      <c r="BA265" s="75">
        <f t="shared" si="9"/>
        <v>390</v>
      </c>
    </row>
    <row r="266" spans="1:53" s="67" customFormat="1" ht="59.25" customHeight="1">
      <c r="A266" s="18">
        <v>333</v>
      </c>
      <c r="B266" s="59">
        <v>260</v>
      </c>
      <c r="C266" s="76" t="s">
        <v>335</v>
      </c>
      <c r="D266" s="61">
        <v>665</v>
      </c>
      <c r="E266" s="61">
        <v>203</v>
      </c>
      <c r="F266" s="61">
        <v>226</v>
      </c>
      <c r="G266" s="55">
        <v>0</v>
      </c>
      <c r="H266" s="62">
        <f t="shared" si="8"/>
        <v>429</v>
      </c>
      <c r="I266" s="55">
        <v>64</v>
      </c>
      <c r="J266" s="29">
        <v>0</v>
      </c>
      <c r="K266" s="18">
        <v>1</v>
      </c>
      <c r="L266" s="63" t="s">
        <v>29</v>
      </c>
      <c r="M266" s="12">
        <f>+'Form20 '!B267</f>
        <v>168</v>
      </c>
      <c r="N266" s="18">
        <v>2</v>
      </c>
      <c r="O266" s="58" t="s">
        <v>24</v>
      </c>
      <c r="P266" s="12">
        <f>+'Form20 '!C267</f>
        <v>5</v>
      </c>
      <c r="Q266" s="18">
        <v>3</v>
      </c>
      <c r="R266" s="63" t="s">
        <v>28</v>
      </c>
      <c r="S266" s="12">
        <f>+'Form20 '!D267</f>
        <v>250</v>
      </c>
      <c r="T266" s="18">
        <v>4</v>
      </c>
      <c r="U266" s="64" t="s">
        <v>65</v>
      </c>
      <c r="V266" s="12">
        <f>+'Form20 '!E267</f>
        <v>2</v>
      </c>
      <c r="W266" s="18">
        <v>5</v>
      </c>
      <c r="X266" s="58" t="s">
        <v>66</v>
      </c>
      <c r="Y266" s="12">
        <f>+'Form20 '!F267</f>
        <v>0</v>
      </c>
      <c r="Z266" s="18">
        <v>6</v>
      </c>
      <c r="AA266" s="64" t="s">
        <v>67</v>
      </c>
      <c r="AB266" s="12">
        <f>+'Form20 '!G267</f>
        <v>0</v>
      </c>
      <c r="AC266" s="18">
        <v>7</v>
      </c>
      <c r="AD266" s="63" t="s">
        <v>68</v>
      </c>
      <c r="AE266" s="12">
        <f>+'Form20 '!H267</f>
        <v>0</v>
      </c>
      <c r="AF266" s="18">
        <v>8</v>
      </c>
      <c r="AG266" s="63" t="s">
        <v>69</v>
      </c>
      <c r="AH266" s="12">
        <f>+'Form20 '!I267</f>
        <v>0</v>
      </c>
      <c r="AI266" s="18">
        <v>9</v>
      </c>
      <c r="AJ266" s="65" t="s">
        <v>70</v>
      </c>
      <c r="AK266" s="12">
        <f>+'Form20 '!J267</f>
        <v>4</v>
      </c>
      <c r="AL266" s="18">
        <v>10</v>
      </c>
      <c r="AM266" s="66" t="s">
        <v>30</v>
      </c>
      <c r="AN266" s="12">
        <f>+'Form20 '!K267</f>
        <v>0</v>
      </c>
      <c r="AO266" s="18">
        <v>11</v>
      </c>
      <c r="AP266" s="66" t="s">
        <v>30</v>
      </c>
      <c r="AQ266" s="12">
        <f>+'Form20 '!L267</f>
        <v>0</v>
      </c>
      <c r="AR266" s="18">
        <v>12</v>
      </c>
      <c r="AS266" s="66" t="s">
        <v>30</v>
      </c>
      <c r="AT266" s="12">
        <f>+'Form20 '!M267</f>
        <v>0</v>
      </c>
      <c r="AU266" s="18">
        <v>13</v>
      </c>
      <c r="AV266" s="66" t="s">
        <v>30</v>
      </c>
      <c r="AW266" s="12">
        <f>+'Form20 '!N267</f>
        <v>0</v>
      </c>
      <c r="AX266" s="18">
        <v>14</v>
      </c>
      <c r="AY266" s="66" t="s">
        <v>30</v>
      </c>
      <c r="AZ266" s="12">
        <f>+'Form20 '!O267</f>
        <v>0</v>
      </c>
      <c r="BA266" s="75">
        <f t="shared" si="9"/>
        <v>429</v>
      </c>
    </row>
    <row r="267" spans="1:53" s="67" customFormat="1" ht="59.25" customHeight="1">
      <c r="A267" s="18">
        <v>333</v>
      </c>
      <c r="B267" s="59">
        <v>261</v>
      </c>
      <c r="C267" s="76" t="s">
        <v>336</v>
      </c>
      <c r="D267" s="61">
        <v>676</v>
      </c>
      <c r="E267" s="61">
        <v>191</v>
      </c>
      <c r="F267" s="61">
        <v>198</v>
      </c>
      <c r="G267" s="55">
        <v>0</v>
      </c>
      <c r="H267" s="62">
        <f t="shared" si="8"/>
        <v>389</v>
      </c>
      <c r="I267" s="55">
        <v>109</v>
      </c>
      <c r="J267" s="29">
        <v>0</v>
      </c>
      <c r="K267" s="18">
        <v>1</v>
      </c>
      <c r="L267" s="63" t="s">
        <v>29</v>
      </c>
      <c r="M267" s="12">
        <f>+'Form20 '!B268</f>
        <v>135</v>
      </c>
      <c r="N267" s="18">
        <v>2</v>
      </c>
      <c r="O267" s="58" t="s">
        <v>24</v>
      </c>
      <c r="P267" s="12">
        <f>+'Form20 '!C268</f>
        <v>6</v>
      </c>
      <c r="Q267" s="18">
        <v>3</v>
      </c>
      <c r="R267" s="63" t="s">
        <v>28</v>
      </c>
      <c r="S267" s="12">
        <f>+'Form20 '!D268</f>
        <v>230</v>
      </c>
      <c r="T267" s="18">
        <v>4</v>
      </c>
      <c r="U267" s="64" t="s">
        <v>65</v>
      </c>
      <c r="V267" s="12">
        <f>+'Form20 '!E268</f>
        <v>3</v>
      </c>
      <c r="W267" s="18">
        <v>5</v>
      </c>
      <c r="X267" s="58" t="s">
        <v>66</v>
      </c>
      <c r="Y267" s="12">
        <f>+'Form20 '!F268</f>
        <v>0</v>
      </c>
      <c r="Z267" s="18">
        <v>6</v>
      </c>
      <c r="AA267" s="64" t="s">
        <v>67</v>
      </c>
      <c r="AB267" s="12">
        <f>+'Form20 '!G268</f>
        <v>0</v>
      </c>
      <c r="AC267" s="18">
        <v>7</v>
      </c>
      <c r="AD267" s="63" t="s">
        <v>68</v>
      </c>
      <c r="AE267" s="12">
        <f>+'Form20 '!H268</f>
        <v>0</v>
      </c>
      <c r="AF267" s="18">
        <v>8</v>
      </c>
      <c r="AG267" s="63" t="s">
        <v>69</v>
      </c>
      <c r="AH267" s="12">
        <f>+'Form20 '!I268</f>
        <v>0</v>
      </c>
      <c r="AI267" s="18">
        <v>9</v>
      </c>
      <c r="AJ267" s="65" t="s">
        <v>70</v>
      </c>
      <c r="AK267" s="12">
        <f>+'Form20 '!J268</f>
        <v>12</v>
      </c>
      <c r="AL267" s="18">
        <v>10</v>
      </c>
      <c r="AM267" s="66" t="s">
        <v>30</v>
      </c>
      <c r="AN267" s="12">
        <f>+'Form20 '!K268</f>
        <v>0</v>
      </c>
      <c r="AO267" s="18">
        <v>11</v>
      </c>
      <c r="AP267" s="66" t="s">
        <v>30</v>
      </c>
      <c r="AQ267" s="12">
        <f>+'Form20 '!L268</f>
        <v>0</v>
      </c>
      <c r="AR267" s="18">
        <v>12</v>
      </c>
      <c r="AS267" s="66" t="s">
        <v>30</v>
      </c>
      <c r="AT267" s="12">
        <f>+'Form20 '!M268</f>
        <v>0</v>
      </c>
      <c r="AU267" s="18">
        <v>13</v>
      </c>
      <c r="AV267" s="66" t="s">
        <v>30</v>
      </c>
      <c r="AW267" s="12">
        <f>+'Form20 '!N268</f>
        <v>2</v>
      </c>
      <c r="AX267" s="18">
        <v>14</v>
      </c>
      <c r="AY267" s="66" t="s">
        <v>30</v>
      </c>
      <c r="AZ267" s="12">
        <f>+'Form20 '!O268</f>
        <v>0</v>
      </c>
      <c r="BA267" s="75">
        <f t="shared" si="9"/>
        <v>388</v>
      </c>
    </row>
    <row r="268" spans="1:53" s="67" customFormat="1" ht="59.25" customHeight="1">
      <c r="A268" s="18">
        <v>333</v>
      </c>
      <c r="B268" s="59">
        <v>262</v>
      </c>
      <c r="C268" s="76" t="s">
        <v>337</v>
      </c>
      <c r="D268" s="61">
        <v>929</v>
      </c>
      <c r="E268" s="61">
        <v>325</v>
      </c>
      <c r="F268" s="61">
        <v>306</v>
      </c>
      <c r="G268" s="55">
        <v>0</v>
      </c>
      <c r="H268" s="62">
        <f t="shared" si="8"/>
        <v>631</v>
      </c>
      <c r="I268" s="55">
        <v>230</v>
      </c>
      <c r="J268" s="29">
        <v>0</v>
      </c>
      <c r="K268" s="18">
        <v>1</v>
      </c>
      <c r="L268" s="63" t="s">
        <v>29</v>
      </c>
      <c r="M268" s="12">
        <f>+'Form20 '!B269</f>
        <v>541</v>
      </c>
      <c r="N268" s="18">
        <v>2</v>
      </c>
      <c r="O268" s="58" t="s">
        <v>24</v>
      </c>
      <c r="P268" s="12">
        <f>+'Form20 '!C269</f>
        <v>7</v>
      </c>
      <c r="Q268" s="18">
        <v>3</v>
      </c>
      <c r="R268" s="63" t="s">
        <v>28</v>
      </c>
      <c r="S268" s="12">
        <f>+'Form20 '!D269</f>
        <v>67</v>
      </c>
      <c r="T268" s="18">
        <v>4</v>
      </c>
      <c r="U268" s="64" t="s">
        <v>65</v>
      </c>
      <c r="V268" s="12">
        <f>+'Form20 '!E269</f>
        <v>0</v>
      </c>
      <c r="W268" s="18">
        <v>5</v>
      </c>
      <c r="X268" s="58" t="s">
        <v>66</v>
      </c>
      <c r="Y268" s="12">
        <f>+'Form20 '!F269</f>
        <v>1</v>
      </c>
      <c r="Z268" s="18">
        <v>6</v>
      </c>
      <c r="AA268" s="64" t="s">
        <v>67</v>
      </c>
      <c r="AB268" s="12">
        <f>+'Form20 '!G269</f>
        <v>0</v>
      </c>
      <c r="AC268" s="18">
        <v>7</v>
      </c>
      <c r="AD268" s="63" t="s">
        <v>68</v>
      </c>
      <c r="AE268" s="12">
        <f>+'Form20 '!H269</f>
        <v>0</v>
      </c>
      <c r="AF268" s="18">
        <v>8</v>
      </c>
      <c r="AG268" s="63" t="s">
        <v>69</v>
      </c>
      <c r="AH268" s="12">
        <f>+'Form20 '!I269</f>
        <v>0</v>
      </c>
      <c r="AI268" s="18">
        <v>9</v>
      </c>
      <c r="AJ268" s="65" t="s">
        <v>70</v>
      </c>
      <c r="AK268" s="12">
        <f>+'Form20 '!J269</f>
        <v>1</v>
      </c>
      <c r="AL268" s="18">
        <v>10</v>
      </c>
      <c r="AM268" s="66" t="s">
        <v>30</v>
      </c>
      <c r="AN268" s="12">
        <f>+'Form20 '!K269</f>
        <v>0</v>
      </c>
      <c r="AO268" s="18">
        <v>11</v>
      </c>
      <c r="AP268" s="66" t="s">
        <v>30</v>
      </c>
      <c r="AQ268" s="12">
        <f>+'Form20 '!L269</f>
        <v>0</v>
      </c>
      <c r="AR268" s="18">
        <v>12</v>
      </c>
      <c r="AS268" s="66" t="s">
        <v>30</v>
      </c>
      <c r="AT268" s="12">
        <f>+'Form20 '!M269</f>
        <v>2</v>
      </c>
      <c r="AU268" s="18">
        <v>13</v>
      </c>
      <c r="AV268" s="66" t="s">
        <v>30</v>
      </c>
      <c r="AW268" s="12">
        <f>+'Form20 '!N269</f>
        <v>4</v>
      </c>
      <c r="AX268" s="18">
        <v>14</v>
      </c>
      <c r="AY268" s="66" t="s">
        <v>30</v>
      </c>
      <c r="AZ268" s="12">
        <f>+'Form20 '!O269</f>
        <v>1</v>
      </c>
      <c r="BA268" s="75">
        <f t="shared" si="9"/>
        <v>624</v>
      </c>
    </row>
    <row r="269" spans="1:53" s="67" customFormat="1" ht="59.25" customHeight="1">
      <c r="A269" s="18">
        <v>333</v>
      </c>
      <c r="B269" s="59">
        <v>263</v>
      </c>
      <c r="C269" s="76" t="s">
        <v>338</v>
      </c>
      <c r="D269" s="61">
        <v>364</v>
      </c>
      <c r="E269" s="61">
        <v>107</v>
      </c>
      <c r="F269" s="61">
        <v>132</v>
      </c>
      <c r="G269" s="55">
        <v>0</v>
      </c>
      <c r="H269" s="62">
        <f t="shared" si="8"/>
        <v>239</v>
      </c>
      <c r="I269" s="55">
        <v>20</v>
      </c>
      <c r="J269" s="29">
        <v>0</v>
      </c>
      <c r="K269" s="18">
        <v>1</v>
      </c>
      <c r="L269" s="63" t="s">
        <v>29</v>
      </c>
      <c r="M269" s="12">
        <f>+'Form20 '!B270</f>
        <v>92</v>
      </c>
      <c r="N269" s="18">
        <v>2</v>
      </c>
      <c r="O269" s="58" t="s">
        <v>24</v>
      </c>
      <c r="P269" s="12">
        <f>+'Form20 '!C270</f>
        <v>82</v>
      </c>
      <c r="Q269" s="18">
        <v>3</v>
      </c>
      <c r="R269" s="63" t="s">
        <v>28</v>
      </c>
      <c r="S269" s="12">
        <f>+'Form20 '!D270</f>
        <v>63</v>
      </c>
      <c r="T269" s="18">
        <v>4</v>
      </c>
      <c r="U269" s="64" t="s">
        <v>65</v>
      </c>
      <c r="V269" s="12">
        <f>+'Form20 '!E270</f>
        <v>0</v>
      </c>
      <c r="W269" s="18">
        <v>5</v>
      </c>
      <c r="X269" s="58" t="s">
        <v>66</v>
      </c>
      <c r="Y269" s="12">
        <f>+'Form20 '!F270</f>
        <v>0</v>
      </c>
      <c r="Z269" s="18">
        <v>6</v>
      </c>
      <c r="AA269" s="64" t="s">
        <v>67</v>
      </c>
      <c r="AB269" s="12">
        <f>+'Form20 '!G270</f>
        <v>0</v>
      </c>
      <c r="AC269" s="18">
        <v>7</v>
      </c>
      <c r="AD269" s="63" t="s">
        <v>68</v>
      </c>
      <c r="AE269" s="12">
        <f>+'Form20 '!H270</f>
        <v>0</v>
      </c>
      <c r="AF269" s="18">
        <v>8</v>
      </c>
      <c r="AG269" s="63" t="s">
        <v>69</v>
      </c>
      <c r="AH269" s="12">
        <f>+'Form20 '!I270</f>
        <v>0</v>
      </c>
      <c r="AI269" s="18">
        <v>9</v>
      </c>
      <c r="AJ269" s="65" t="s">
        <v>70</v>
      </c>
      <c r="AK269" s="12">
        <f>+'Form20 '!J270</f>
        <v>0</v>
      </c>
      <c r="AL269" s="18">
        <v>10</v>
      </c>
      <c r="AM269" s="66" t="s">
        <v>30</v>
      </c>
      <c r="AN269" s="12">
        <f>+'Form20 '!K270</f>
        <v>0</v>
      </c>
      <c r="AO269" s="18">
        <v>11</v>
      </c>
      <c r="AP269" s="66" t="s">
        <v>30</v>
      </c>
      <c r="AQ269" s="12">
        <f>+'Form20 '!L270</f>
        <v>0</v>
      </c>
      <c r="AR269" s="18">
        <v>12</v>
      </c>
      <c r="AS269" s="66" t="s">
        <v>30</v>
      </c>
      <c r="AT269" s="12">
        <f>+'Form20 '!M270</f>
        <v>0</v>
      </c>
      <c r="AU269" s="18">
        <v>13</v>
      </c>
      <c r="AV269" s="66" t="s">
        <v>30</v>
      </c>
      <c r="AW269" s="12">
        <f>+'Form20 '!N270</f>
        <v>0</v>
      </c>
      <c r="AX269" s="18">
        <v>14</v>
      </c>
      <c r="AY269" s="66" t="s">
        <v>30</v>
      </c>
      <c r="AZ269" s="12">
        <f>+'Form20 '!O270</f>
        <v>2</v>
      </c>
      <c r="BA269" s="75">
        <f t="shared" si="9"/>
        <v>239</v>
      </c>
    </row>
    <row r="270" spans="1:53" s="67" customFormat="1" ht="59.25" customHeight="1">
      <c r="A270" s="18">
        <v>333</v>
      </c>
      <c r="B270" s="59">
        <v>264</v>
      </c>
      <c r="C270" s="76" t="s">
        <v>339</v>
      </c>
      <c r="D270" s="61">
        <v>619</v>
      </c>
      <c r="E270" s="61">
        <v>117</v>
      </c>
      <c r="F270" s="61">
        <v>272</v>
      </c>
      <c r="G270" s="55">
        <v>0</v>
      </c>
      <c r="H270" s="62">
        <f t="shared" si="8"/>
        <v>389</v>
      </c>
      <c r="I270" s="55">
        <v>54</v>
      </c>
      <c r="J270" s="29">
        <v>0</v>
      </c>
      <c r="K270" s="18">
        <v>1</v>
      </c>
      <c r="L270" s="63" t="s">
        <v>29</v>
      </c>
      <c r="M270" s="12">
        <f>+'Form20 '!B271</f>
        <v>201</v>
      </c>
      <c r="N270" s="18">
        <v>2</v>
      </c>
      <c r="O270" s="58" t="s">
        <v>24</v>
      </c>
      <c r="P270" s="12">
        <f>+'Form20 '!C271</f>
        <v>37</v>
      </c>
      <c r="Q270" s="18">
        <v>3</v>
      </c>
      <c r="R270" s="63" t="s">
        <v>28</v>
      </c>
      <c r="S270" s="12">
        <f>+'Form20 '!D271</f>
        <v>145</v>
      </c>
      <c r="T270" s="18">
        <v>4</v>
      </c>
      <c r="U270" s="64" t="s">
        <v>65</v>
      </c>
      <c r="V270" s="12">
        <f>+'Form20 '!E271</f>
        <v>2</v>
      </c>
      <c r="W270" s="18">
        <v>5</v>
      </c>
      <c r="X270" s="58" t="s">
        <v>66</v>
      </c>
      <c r="Y270" s="12">
        <f>+'Form20 '!F271</f>
        <v>0</v>
      </c>
      <c r="Z270" s="18">
        <v>6</v>
      </c>
      <c r="AA270" s="64" t="s">
        <v>67</v>
      </c>
      <c r="AB270" s="12">
        <f>+'Form20 '!G271</f>
        <v>0</v>
      </c>
      <c r="AC270" s="18">
        <v>7</v>
      </c>
      <c r="AD270" s="63" t="s">
        <v>68</v>
      </c>
      <c r="AE270" s="12">
        <f>+'Form20 '!H271</f>
        <v>0</v>
      </c>
      <c r="AF270" s="18">
        <v>8</v>
      </c>
      <c r="AG270" s="63" t="s">
        <v>69</v>
      </c>
      <c r="AH270" s="12">
        <f>+'Form20 '!I271</f>
        <v>0</v>
      </c>
      <c r="AI270" s="18">
        <v>9</v>
      </c>
      <c r="AJ270" s="65" t="s">
        <v>70</v>
      </c>
      <c r="AK270" s="12">
        <f>+'Form20 '!J271</f>
        <v>3</v>
      </c>
      <c r="AL270" s="18">
        <v>10</v>
      </c>
      <c r="AM270" s="66" t="s">
        <v>30</v>
      </c>
      <c r="AN270" s="12">
        <f>+'Form20 '!K271</f>
        <v>0</v>
      </c>
      <c r="AO270" s="18">
        <v>11</v>
      </c>
      <c r="AP270" s="66" t="s">
        <v>30</v>
      </c>
      <c r="AQ270" s="12">
        <f>+'Form20 '!L271</f>
        <v>0</v>
      </c>
      <c r="AR270" s="18">
        <v>12</v>
      </c>
      <c r="AS270" s="66" t="s">
        <v>30</v>
      </c>
      <c r="AT270" s="12">
        <f>+'Form20 '!M271</f>
        <v>0</v>
      </c>
      <c r="AU270" s="18">
        <v>13</v>
      </c>
      <c r="AV270" s="66" t="s">
        <v>30</v>
      </c>
      <c r="AW270" s="12">
        <f>+'Form20 '!N271</f>
        <v>0</v>
      </c>
      <c r="AX270" s="18">
        <v>14</v>
      </c>
      <c r="AY270" s="66" t="s">
        <v>30</v>
      </c>
      <c r="AZ270" s="12">
        <f>+'Form20 '!O271</f>
        <v>0</v>
      </c>
      <c r="BA270" s="75">
        <f t="shared" si="9"/>
        <v>388</v>
      </c>
    </row>
    <row r="271" spans="1:53" s="67" customFormat="1" ht="59.25" customHeight="1">
      <c r="A271" s="18">
        <v>333</v>
      </c>
      <c r="B271" s="59">
        <v>265</v>
      </c>
      <c r="C271" s="76" t="s">
        <v>340</v>
      </c>
      <c r="D271" s="61">
        <v>607</v>
      </c>
      <c r="E271" s="61">
        <v>166</v>
      </c>
      <c r="F271" s="61">
        <v>209</v>
      </c>
      <c r="G271" s="55">
        <v>0</v>
      </c>
      <c r="H271" s="62">
        <f t="shared" si="8"/>
        <v>375</v>
      </c>
      <c r="I271" s="55">
        <v>48</v>
      </c>
      <c r="J271" s="29">
        <v>0</v>
      </c>
      <c r="K271" s="18">
        <v>1</v>
      </c>
      <c r="L271" s="63" t="s">
        <v>29</v>
      </c>
      <c r="M271" s="12">
        <f>+'Form20 '!B272</f>
        <v>111</v>
      </c>
      <c r="N271" s="18">
        <v>2</v>
      </c>
      <c r="O271" s="58" t="s">
        <v>24</v>
      </c>
      <c r="P271" s="12">
        <f>+'Form20 '!C272</f>
        <v>2</v>
      </c>
      <c r="Q271" s="18">
        <v>3</v>
      </c>
      <c r="R271" s="63" t="s">
        <v>28</v>
      </c>
      <c r="S271" s="12">
        <f>+'Form20 '!D272</f>
        <v>244</v>
      </c>
      <c r="T271" s="18">
        <v>4</v>
      </c>
      <c r="U271" s="64" t="s">
        <v>65</v>
      </c>
      <c r="V271" s="12">
        <f>+'Form20 '!E272</f>
        <v>1</v>
      </c>
      <c r="W271" s="18">
        <v>5</v>
      </c>
      <c r="X271" s="58" t="s">
        <v>66</v>
      </c>
      <c r="Y271" s="12">
        <f>+'Form20 '!F272</f>
        <v>0</v>
      </c>
      <c r="Z271" s="18">
        <v>6</v>
      </c>
      <c r="AA271" s="64" t="s">
        <v>67</v>
      </c>
      <c r="AB271" s="12">
        <f>+'Form20 '!G272</f>
        <v>0</v>
      </c>
      <c r="AC271" s="18">
        <v>7</v>
      </c>
      <c r="AD271" s="63" t="s">
        <v>68</v>
      </c>
      <c r="AE271" s="12">
        <f>+'Form20 '!H272</f>
        <v>0</v>
      </c>
      <c r="AF271" s="18">
        <v>8</v>
      </c>
      <c r="AG271" s="63" t="s">
        <v>69</v>
      </c>
      <c r="AH271" s="12">
        <f>+'Form20 '!I272</f>
        <v>1</v>
      </c>
      <c r="AI271" s="18">
        <v>9</v>
      </c>
      <c r="AJ271" s="65" t="s">
        <v>70</v>
      </c>
      <c r="AK271" s="12">
        <f>+'Form20 '!J272</f>
        <v>10</v>
      </c>
      <c r="AL271" s="18">
        <v>10</v>
      </c>
      <c r="AM271" s="66" t="s">
        <v>30</v>
      </c>
      <c r="AN271" s="12">
        <f>+'Form20 '!K272</f>
        <v>0</v>
      </c>
      <c r="AO271" s="18">
        <v>11</v>
      </c>
      <c r="AP271" s="66" t="s">
        <v>30</v>
      </c>
      <c r="AQ271" s="12">
        <f>+'Form20 '!L272</f>
        <v>0</v>
      </c>
      <c r="AR271" s="18">
        <v>12</v>
      </c>
      <c r="AS271" s="66" t="s">
        <v>30</v>
      </c>
      <c r="AT271" s="12">
        <f>+'Form20 '!M272</f>
        <v>2</v>
      </c>
      <c r="AU271" s="18">
        <v>13</v>
      </c>
      <c r="AV271" s="66" t="s">
        <v>30</v>
      </c>
      <c r="AW271" s="12">
        <f>+'Form20 '!N272</f>
        <v>1</v>
      </c>
      <c r="AX271" s="18">
        <v>14</v>
      </c>
      <c r="AY271" s="66" t="s">
        <v>30</v>
      </c>
      <c r="AZ271" s="12">
        <f>+'Form20 '!O272</f>
        <v>0</v>
      </c>
      <c r="BA271" s="75">
        <f t="shared" si="9"/>
        <v>372</v>
      </c>
    </row>
    <row r="272" spans="1:53" s="67" customFormat="1" ht="59.25" customHeight="1">
      <c r="A272" s="18">
        <v>333</v>
      </c>
      <c r="B272" s="59">
        <v>266</v>
      </c>
      <c r="C272" s="76" t="s">
        <v>341</v>
      </c>
      <c r="D272" s="61">
        <v>817</v>
      </c>
      <c r="E272" s="61">
        <v>232</v>
      </c>
      <c r="F272" s="61">
        <v>267</v>
      </c>
      <c r="G272" s="55">
        <v>0</v>
      </c>
      <c r="H272" s="62">
        <f t="shared" si="8"/>
        <v>499</v>
      </c>
      <c r="I272" s="55">
        <v>99</v>
      </c>
      <c r="J272" s="29">
        <v>0</v>
      </c>
      <c r="K272" s="18">
        <v>1</v>
      </c>
      <c r="L272" s="63" t="s">
        <v>29</v>
      </c>
      <c r="M272" s="12">
        <f>+'Form20 '!B273</f>
        <v>141</v>
      </c>
      <c r="N272" s="18">
        <v>2</v>
      </c>
      <c r="O272" s="58" t="s">
        <v>24</v>
      </c>
      <c r="P272" s="12">
        <f>+'Form20 '!C273</f>
        <v>50</v>
      </c>
      <c r="Q272" s="18">
        <v>3</v>
      </c>
      <c r="R272" s="63" t="s">
        <v>28</v>
      </c>
      <c r="S272" s="12">
        <f>+'Form20 '!D273</f>
        <v>281</v>
      </c>
      <c r="T272" s="18">
        <v>4</v>
      </c>
      <c r="U272" s="64" t="s">
        <v>65</v>
      </c>
      <c r="V272" s="12">
        <f>+'Form20 '!E273</f>
        <v>1</v>
      </c>
      <c r="W272" s="18">
        <v>5</v>
      </c>
      <c r="X272" s="58" t="s">
        <v>66</v>
      </c>
      <c r="Y272" s="12">
        <f>+'Form20 '!F273</f>
        <v>0</v>
      </c>
      <c r="Z272" s="18">
        <v>6</v>
      </c>
      <c r="AA272" s="64" t="s">
        <v>67</v>
      </c>
      <c r="AB272" s="12">
        <f>+'Form20 '!G273</f>
        <v>0</v>
      </c>
      <c r="AC272" s="18">
        <v>7</v>
      </c>
      <c r="AD272" s="63" t="s">
        <v>68</v>
      </c>
      <c r="AE272" s="12">
        <f>+'Form20 '!H273</f>
        <v>0</v>
      </c>
      <c r="AF272" s="18">
        <v>8</v>
      </c>
      <c r="AG272" s="63" t="s">
        <v>69</v>
      </c>
      <c r="AH272" s="12">
        <f>+'Form20 '!I273</f>
        <v>0</v>
      </c>
      <c r="AI272" s="18">
        <v>9</v>
      </c>
      <c r="AJ272" s="65" t="s">
        <v>70</v>
      </c>
      <c r="AK272" s="12">
        <f>+'Form20 '!J273</f>
        <v>22</v>
      </c>
      <c r="AL272" s="18">
        <v>10</v>
      </c>
      <c r="AM272" s="66" t="s">
        <v>30</v>
      </c>
      <c r="AN272" s="12">
        <f>+'Form20 '!K273</f>
        <v>0</v>
      </c>
      <c r="AO272" s="18">
        <v>11</v>
      </c>
      <c r="AP272" s="66" t="s">
        <v>30</v>
      </c>
      <c r="AQ272" s="12">
        <f>+'Form20 '!L273</f>
        <v>0</v>
      </c>
      <c r="AR272" s="18">
        <v>12</v>
      </c>
      <c r="AS272" s="66" t="s">
        <v>30</v>
      </c>
      <c r="AT272" s="12">
        <f>+'Form20 '!M273</f>
        <v>0</v>
      </c>
      <c r="AU272" s="18">
        <v>13</v>
      </c>
      <c r="AV272" s="66" t="s">
        <v>30</v>
      </c>
      <c r="AW272" s="12">
        <f>+'Form20 '!N273</f>
        <v>3</v>
      </c>
      <c r="AX272" s="18">
        <v>14</v>
      </c>
      <c r="AY272" s="66" t="s">
        <v>30</v>
      </c>
      <c r="AZ272" s="12">
        <f>+'Form20 '!O273</f>
        <v>0</v>
      </c>
      <c r="BA272" s="75">
        <f t="shared" si="9"/>
        <v>498</v>
      </c>
    </row>
    <row r="273" spans="1:53" s="67" customFormat="1" ht="59.25" customHeight="1">
      <c r="A273" s="18">
        <v>333</v>
      </c>
      <c r="B273" s="59">
        <v>267</v>
      </c>
      <c r="C273" s="76" t="s">
        <v>341</v>
      </c>
      <c r="D273" s="61">
        <v>826</v>
      </c>
      <c r="E273" s="61">
        <v>216</v>
      </c>
      <c r="F273" s="61">
        <v>271</v>
      </c>
      <c r="G273" s="55">
        <v>0</v>
      </c>
      <c r="H273" s="62">
        <f t="shared" si="8"/>
        <v>487</v>
      </c>
      <c r="I273" s="55">
        <v>65</v>
      </c>
      <c r="J273" s="29">
        <v>0</v>
      </c>
      <c r="K273" s="18">
        <v>1</v>
      </c>
      <c r="L273" s="63" t="s">
        <v>29</v>
      </c>
      <c r="M273" s="12">
        <f>+'Form20 '!B274</f>
        <v>92</v>
      </c>
      <c r="N273" s="18">
        <v>2</v>
      </c>
      <c r="O273" s="58" t="s">
        <v>24</v>
      </c>
      <c r="P273" s="12">
        <f>+'Form20 '!C274</f>
        <v>6</v>
      </c>
      <c r="Q273" s="18">
        <v>3</v>
      </c>
      <c r="R273" s="63" t="s">
        <v>28</v>
      </c>
      <c r="S273" s="12">
        <f>+'Form20 '!D274</f>
        <v>347</v>
      </c>
      <c r="T273" s="18">
        <v>4</v>
      </c>
      <c r="U273" s="64" t="s">
        <v>65</v>
      </c>
      <c r="V273" s="12">
        <f>+'Form20 '!E274</f>
        <v>5</v>
      </c>
      <c r="W273" s="18">
        <v>5</v>
      </c>
      <c r="X273" s="58" t="s">
        <v>66</v>
      </c>
      <c r="Y273" s="12">
        <f>+'Form20 '!F274</f>
        <v>1</v>
      </c>
      <c r="Z273" s="18">
        <v>6</v>
      </c>
      <c r="AA273" s="64" t="s">
        <v>67</v>
      </c>
      <c r="AB273" s="12">
        <f>+'Form20 '!G274</f>
        <v>0</v>
      </c>
      <c r="AC273" s="18">
        <v>7</v>
      </c>
      <c r="AD273" s="63" t="s">
        <v>68</v>
      </c>
      <c r="AE273" s="12">
        <f>+'Form20 '!H274</f>
        <v>1</v>
      </c>
      <c r="AF273" s="18">
        <v>8</v>
      </c>
      <c r="AG273" s="63" t="s">
        <v>69</v>
      </c>
      <c r="AH273" s="12">
        <f>+'Form20 '!I274</f>
        <v>0</v>
      </c>
      <c r="AI273" s="18">
        <v>9</v>
      </c>
      <c r="AJ273" s="65" t="s">
        <v>70</v>
      </c>
      <c r="AK273" s="12">
        <f>+'Form20 '!J274</f>
        <v>14</v>
      </c>
      <c r="AL273" s="18">
        <v>10</v>
      </c>
      <c r="AM273" s="66" t="s">
        <v>30</v>
      </c>
      <c r="AN273" s="12">
        <f>+'Form20 '!K274</f>
        <v>1</v>
      </c>
      <c r="AO273" s="18">
        <v>11</v>
      </c>
      <c r="AP273" s="66" t="s">
        <v>30</v>
      </c>
      <c r="AQ273" s="12">
        <f>+'Form20 '!L274</f>
        <v>18</v>
      </c>
      <c r="AR273" s="18">
        <v>12</v>
      </c>
      <c r="AS273" s="66" t="s">
        <v>30</v>
      </c>
      <c r="AT273" s="12">
        <f>+'Form20 '!M274</f>
        <v>1</v>
      </c>
      <c r="AU273" s="18">
        <v>13</v>
      </c>
      <c r="AV273" s="66" t="s">
        <v>30</v>
      </c>
      <c r="AW273" s="12">
        <f>+'Form20 '!N274</f>
        <v>1</v>
      </c>
      <c r="AX273" s="18">
        <v>14</v>
      </c>
      <c r="AY273" s="66" t="s">
        <v>30</v>
      </c>
      <c r="AZ273" s="12">
        <f>+'Form20 '!O274</f>
        <v>0</v>
      </c>
      <c r="BA273" s="75">
        <f t="shared" si="9"/>
        <v>487</v>
      </c>
    </row>
    <row r="274" spans="1:53" s="67" customFormat="1" ht="59.25" customHeight="1">
      <c r="A274" s="18">
        <v>333</v>
      </c>
      <c r="B274" s="59">
        <v>268</v>
      </c>
      <c r="C274" s="76" t="s">
        <v>342</v>
      </c>
      <c r="D274" s="61">
        <v>661</v>
      </c>
      <c r="E274" s="61">
        <v>204</v>
      </c>
      <c r="F274" s="61">
        <v>225</v>
      </c>
      <c r="G274" s="55">
        <v>0</v>
      </c>
      <c r="H274" s="62">
        <f t="shared" si="8"/>
        <v>429</v>
      </c>
      <c r="I274" s="55">
        <v>73</v>
      </c>
      <c r="J274" s="29">
        <v>0</v>
      </c>
      <c r="K274" s="18">
        <v>1</v>
      </c>
      <c r="L274" s="63" t="s">
        <v>29</v>
      </c>
      <c r="M274" s="12">
        <f>+'Form20 '!B275</f>
        <v>80</v>
      </c>
      <c r="N274" s="18">
        <v>2</v>
      </c>
      <c r="O274" s="58" t="s">
        <v>24</v>
      </c>
      <c r="P274" s="12">
        <f>+'Form20 '!C275</f>
        <v>23</v>
      </c>
      <c r="Q274" s="18">
        <v>3</v>
      </c>
      <c r="R274" s="63" t="s">
        <v>28</v>
      </c>
      <c r="S274" s="12">
        <f>+'Form20 '!D275</f>
        <v>303</v>
      </c>
      <c r="T274" s="18">
        <v>4</v>
      </c>
      <c r="U274" s="64" t="s">
        <v>65</v>
      </c>
      <c r="V274" s="12">
        <f>+'Form20 '!E275</f>
        <v>0</v>
      </c>
      <c r="W274" s="18">
        <v>5</v>
      </c>
      <c r="X274" s="58" t="s">
        <v>66</v>
      </c>
      <c r="Y274" s="12">
        <f>+'Form20 '!F275</f>
        <v>0</v>
      </c>
      <c r="Z274" s="18">
        <v>6</v>
      </c>
      <c r="AA274" s="64" t="s">
        <v>67</v>
      </c>
      <c r="AB274" s="12">
        <f>+'Form20 '!G275</f>
        <v>0</v>
      </c>
      <c r="AC274" s="18">
        <v>7</v>
      </c>
      <c r="AD274" s="63" t="s">
        <v>68</v>
      </c>
      <c r="AE274" s="12">
        <f>+'Form20 '!H275</f>
        <v>0</v>
      </c>
      <c r="AF274" s="18">
        <v>8</v>
      </c>
      <c r="AG274" s="63" t="s">
        <v>69</v>
      </c>
      <c r="AH274" s="12">
        <f>+'Form20 '!I275</f>
        <v>0</v>
      </c>
      <c r="AI274" s="18">
        <v>9</v>
      </c>
      <c r="AJ274" s="65" t="s">
        <v>70</v>
      </c>
      <c r="AK274" s="12">
        <f>+'Form20 '!J275</f>
        <v>16</v>
      </c>
      <c r="AL274" s="18">
        <v>10</v>
      </c>
      <c r="AM274" s="66" t="s">
        <v>30</v>
      </c>
      <c r="AN274" s="12">
        <f>+'Form20 '!K275</f>
        <v>0</v>
      </c>
      <c r="AO274" s="18">
        <v>11</v>
      </c>
      <c r="AP274" s="66" t="s">
        <v>30</v>
      </c>
      <c r="AQ274" s="12">
        <f>+'Form20 '!L275</f>
        <v>1</v>
      </c>
      <c r="AR274" s="18">
        <v>12</v>
      </c>
      <c r="AS274" s="66" t="s">
        <v>30</v>
      </c>
      <c r="AT274" s="12">
        <f>+'Form20 '!M275</f>
        <v>2</v>
      </c>
      <c r="AU274" s="18">
        <v>13</v>
      </c>
      <c r="AV274" s="66" t="s">
        <v>30</v>
      </c>
      <c r="AW274" s="12">
        <f>+'Form20 '!N275</f>
        <v>3</v>
      </c>
      <c r="AX274" s="18">
        <v>14</v>
      </c>
      <c r="AY274" s="66" t="s">
        <v>30</v>
      </c>
      <c r="AZ274" s="12">
        <f>+'Form20 '!O275</f>
        <v>0</v>
      </c>
      <c r="BA274" s="75">
        <f t="shared" si="9"/>
        <v>428</v>
      </c>
    </row>
    <row r="275" spans="1:53" s="67" customFormat="1" ht="59.25" customHeight="1">
      <c r="A275" s="18">
        <v>333</v>
      </c>
      <c r="B275" s="59">
        <v>269</v>
      </c>
      <c r="C275" s="76" t="s">
        <v>343</v>
      </c>
      <c r="D275" s="61">
        <v>718</v>
      </c>
      <c r="E275" s="61">
        <v>219</v>
      </c>
      <c r="F275" s="61">
        <v>244</v>
      </c>
      <c r="G275" s="55">
        <v>0</v>
      </c>
      <c r="H275" s="62">
        <f t="shared" si="8"/>
        <v>463</v>
      </c>
      <c r="I275" s="55">
        <v>22</v>
      </c>
      <c r="J275" s="29">
        <v>0</v>
      </c>
      <c r="K275" s="18">
        <v>1</v>
      </c>
      <c r="L275" s="63" t="s">
        <v>29</v>
      </c>
      <c r="M275" s="12">
        <f>+'Form20 '!B276</f>
        <v>170</v>
      </c>
      <c r="N275" s="18">
        <v>2</v>
      </c>
      <c r="O275" s="58" t="s">
        <v>24</v>
      </c>
      <c r="P275" s="12">
        <f>+'Form20 '!C276</f>
        <v>8</v>
      </c>
      <c r="Q275" s="18">
        <v>3</v>
      </c>
      <c r="R275" s="63" t="s">
        <v>28</v>
      </c>
      <c r="S275" s="12">
        <f>+'Form20 '!D276</f>
        <v>277</v>
      </c>
      <c r="T275" s="18">
        <v>4</v>
      </c>
      <c r="U275" s="64" t="s">
        <v>65</v>
      </c>
      <c r="V275" s="12">
        <f>+'Form20 '!E276</f>
        <v>0</v>
      </c>
      <c r="W275" s="18">
        <v>5</v>
      </c>
      <c r="X275" s="58" t="s">
        <v>66</v>
      </c>
      <c r="Y275" s="12">
        <f>+'Form20 '!F276</f>
        <v>0</v>
      </c>
      <c r="Z275" s="18">
        <v>6</v>
      </c>
      <c r="AA275" s="64" t="s">
        <v>67</v>
      </c>
      <c r="AB275" s="12">
        <f>+'Form20 '!G276</f>
        <v>0</v>
      </c>
      <c r="AC275" s="18">
        <v>7</v>
      </c>
      <c r="AD275" s="63" t="s">
        <v>68</v>
      </c>
      <c r="AE275" s="12">
        <f>+'Form20 '!H276</f>
        <v>0</v>
      </c>
      <c r="AF275" s="18">
        <v>8</v>
      </c>
      <c r="AG275" s="63" t="s">
        <v>69</v>
      </c>
      <c r="AH275" s="12">
        <f>+'Form20 '!I276</f>
        <v>0</v>
      </c>
      <c r="AI275" s="18">
        <v>9</v>
      </c>
      <c r="AJ275" s="65" t="s">
        <v>70</v>
      </c>
      <c r="AK275" s="12">
        <f>+'Form20 '!J276</f>
        <v>7</v>
      </c>
      <c r="AL275" s="18">
        <v>10</v>
      </c>
      <c r="AM275" s="66" t="s">
        <v>30</v>
      </c>
      <c r="AN275" s="12">
        <f>+'Form20 '!K276</f>
        <v>0</v>
      </c>
      <c r="AO275" s="18">
        <v>11</v>
      </c>
      <c r="AP275" s="66" t="s">
        <v>30</v>
      </c>
      <c r="AQ275" s="12">
        <f>+'Form20 '!L276</f>
        <v>0</v>
      </c>
      <c r="AR275" s="18">
        <v>12</v>
      </c>
      <c r="AS275" s="66" t="s">
        <v>30</v>
      </c>
      <c r="AT275" s="12">
        <f>+'Form20 '!M276</f>
        <v>0</v>
      </c>
      <c r="AU275" s="18">
        <v>13</v>
      </c>
      <c r="AV275" s="66" t="s">
        <v>30</v>
      </c>
      <c r="AW275" s="12">
        <f>+'Form20 '!N276</f>
        <v>0</v>
      </c>
      <c r="AX275" s="18">
        <v>14</v>
      </c>
      <c r="AY275" s="66" t="s">
        <v>30</v>
      </c>
      <c r="AZ275" s="12">
        <f>+'Form20 '!O276</f>
        <v>0</v>
      </c>
      <c r="BA275" s="75">
        <f t="shared" si="9"/>
        <v>462</v>
      </c>
    </row>
    <row r="276" spans="1:53" s="67" customFormat="1" ht="59.25" customHeight="1">
      <c r="A276" s="18">
        <v>333</v>
      </c>
      <c r="B276" s="59">
        <v>270</v>
      </c>
      <c r="C276" s="76" t="s">
        <v>344</v>
      </c>
      <c r="D276" s="61">
        <v>808</v>
      </c>
      <c r="E276" s="61">
        <v>250</v>
      </c>
      <c r="F276" s="61">
        <v>265</v>
      </c>
      <c r="G276" s="55">
        <v>0</v>
      </c>
      <c r="H276" s="62">
        <f t="shared" si="8"/>
        <v>515</v>
      </c>
      <c r="I276" s="55">
        <v>57</v>
      </c>
      <c r="J276" s="29">
        <v>0</v>
      </c>
      <c r="K276" s="18">
        <v>1</v>
      </c>
      <c r="L276" s="63" t="s">
        <v>29</v>
      </c>
      <c r="M276" s="12">
        <f>+'Form20 '!B277</f>
        <v>209</v>
      </c>
      <c r="N276" s="18">
        <v>2</v>
      </c>
      <c r="O276" s="58" t="s">
        <v>24</v>
      </c>
      <c r="P276" s="12">
        <f>+'Form20 '!C277</f>
        <v>109</v>
      </c>
      <c r="Q276" s="18">
        <v>3</v>
      </c>
      <c r="R276" s="63" t="s">
        <v>28</v>
      </c>
      <c r="S276" s="12">
        <f>+'Form20 '!D277</f>
        <v>188</v>
      </c>
      <c r="T276" s="18">
        <v>4</v>
      </c>
      <c r="U276" s="64" t="s">
        <v>65</v>
      </c>
      <c r="V276" s="12">
        <f>+'Form20 '!E277</f>
        <v>1</v>
      </c>
      <c r="W276" s="18">
        <v>5</v>
      </c>
      <c r="X276" s="58" t="s">
        <v>66</v>
      </c>
      <c r="Y276" s="12">
        <f>+'Form20 '!F277</f>
        <v>2</v>
      </c>
      <c r="Z276" s="18">
        <v>6</v>
      </c>
      <c r="AA276" s="64" t="s">
        <v>67</v>
      </c>
      <c r="AB276" s="12">
        <f>+'Form20 '!G277</f>
        <v>0</v>
      </c>
      <c r="AC276" s="18">
        <v>7</v>
      </c>
      <c r="AD276" s="63" t="s">
        <v>68</v>
      </c>
      <c r="AE276" s="12">
        <f>+'Form20 '!H277</f>
        <v>0</v>
      </c>
      <c r="AF276" s="18">
        <v>8</v>
      </c>
      <c r="AG276" s="63" t="s">
        <v>69</v>
      </c>
      <c r="AH276" s="12">
        <f>+'Form20 '!I277</f>
        <v>1</v>
      </c>
      <c r="AI276" s="18">
        <v>9</v>
      </c>
      <c r="AJ276" s="65" t="s">
        <v>70</v>
      </c>
      <c r="AK276" s="12">
        <f>+'Form20 '!J277</f>
        <v>1</v>
      </c>
      <c r="AL276" s="18">
        <v>10</v>
      </c>
      <c r="AM276" s="66" t="s">
        <v>30</v>
      </c>
      <c r="AN276" s="12">
        <f>+'Form20 '!K277</f>
        <v>1</v>
      </c>
      <c r="AO276" s="18">
        <v>11</v>
      </c>
      <c r="AP276" s="66" t="s">
        <v>30</v>
      </c>
      <c r="AQ276" s="12">
        <f>+'Form20 '!L277</f>
        <v>0</v>
      </c>
      <c r="AR276" s="18">
        <v>12</v>
      </c>
      <c r="AS276" s="66" t="s">
        <v>30</v>
      </c>
      <c r="AT276" s="12">
        <f>+'Form20 '!M277</f>
        <v>0</v>
      </c>
      <c r="AU276" s="18">
        <v>13</v>
      </c>
      <c r="AV276" s="66" t="s">
        <v>30</v>
      </c>
      <c r="AW276" s="12">
        <f>+'Form20 '!N277</f>
        <v>2</v>
      </c>
      <c r="AX276" s="18">
        <v>14</v>
      </c>
      <c r="AY276" s="66" t="s">
        <v>30</v>
      </c>
      <c r="AZ276" s="12">
        <f>+'Form20 '!O277</f>
        <v>0</v>
      </c>
      <c r="BA276" s="75">
        <f t="shared" si="9"/>
        <v>514</v>
      </c>
    </row>
    <row r="277" spans="1:53" s="67" customFormat="1" ht="59.25" customHeight="1">
      <c r="A277" s="18">
        <v>333</v>
      </c>
      <c r="B277" s="59">
        <v>271</v>
      </c>
      <c r="C277" s="76" t="s">
        <v>345</v>
      </c>
      <c r="D277" s="61">
        <v>775</v>
      </c>
      <c r="E277" s="61">
        <v>248</v>
      </c>
      <c r="F277" s="61">
        <v>256</v>
      </c>
      <c r="G277" s="55">
        <v>0</v>
      </c>
      <c r="H277" s="62">
        <f t="shared" si="8"/>
        <v>504</v>
      </c>
      <c r="I277" s="55">
        <v>58</v>
      </c>
      <c r="J277" s="29">
        <v>0</v>
      </c>
      <c r="K277" s="18">
        <v>1</v>
      </c>
      <c r="L277" s="63" t="s">
        <v>29</v>
      </c>
      <c r="M277" s="12">
        <f>+'Form20 '!B278</f>
        <v>326</v>
      </c>
      <c r="N277" s="18">
        <v>2</v>
      </c>
      <c r="O277" s="58" t="s">
        <v>24</v>
      </c>
      <c r="P277" s="12">
        <f>+'Form20 '!C278</f>
        <v>51</v>
      </c>
      <c r="Q277" s="18">
        <v>3</v>
      </c>
      <c r="R277" s="63" t="s">
        <v>28</v>
      </c>
      <c r="S277" s="12">
        <f>+'Form20 '!D278</f>
        <v>114</v>
      </c>
      <c r="T277" s="18">
        <v>4</v>
      </c>
      <c r="U277" s="64" t="s">
        <v>65</v>
      </c>
      <c r="V277" s="12">
        <f>+'Form20 '!E278</f>
        <v>4</v>
      </c>
      <c r="W277" s="18">
        <v>5</v>
      </c>
      <c r="X277" s="58" t="s">
        <v>66</v>
      </c>
      <c r="Y277" s="12">
        <f>+'Form20 '!F278</f>
        <v>0</v>
      </c>
      <c r="Z277" s="18">
        <v>6</v>
      </c>
      <c r="AA277" s="64" t="s">
        <v>67</v>
      </c>
      <c r="AB277" s="12">
        <f>+'Form20 '!G278</f>
        <v>0</v>
      </c>
      <c r="AC277" s="18">
        <v>7</v>
      </c>
      <c r="AD277" s="63" t="s">
        <v>68</v>
      </c>
      <c r="AE277" s="12">
        <f>+'Form20 '!H278</f>
        <v>0</v>
      </c>
      <c r="AF277" s="18">
        <v>8</v>
      </c>
      <c r="AG277" s="63" t="s">
        <v>69</v>
      </c>
      <c r="AH277" s="12">
        <f>+'Form20 '!I278</f>
        <v>1</v>
      </c>
      <c r="AI277" s="18">
        <v>9</v>
      </c>
      <c r="AJ277" s="65" t="s">
        <v>70</v>
      </c>
      <c r="AK277" s="12">
        <f>+'Form20 '!J278</f>
        <v>2</v>
      </c>
      <c r="AL277" s="18">
        <v>10</v>
      </c>
      <c r="AM277" s="66" t="s">
        <v>30</v>
      </c>
      <c r="AN277" s="12">
        <f>+'Form20 '!K278</f>
        <v>0</v>
      </c>
      <c r="AO277" s="18">
        <v>11</v>
      </c>
      <c r="AP277" s="66" t="s">
        <v>30</v>
      </c>
      <c r="AQ277" s="12">
        <f>+'Form20 '!L278</f>
        <v>0</v>
      </c>
      <c r="AR277" s="18">
        <v>12</v>
      </c>
      <c r="AS277" s="66" t="s">
        <v>30</v>
      </c>
      <c r="AT277" s="12">
        <f>+'Form20 '!M278</f>
        <v>1</v>
      </c>
      <c r="AU277" s="18">
        <v>13</v>
      </c>
      <c r="AV277" s="66" t="s">
        <v>30</v>
      </c>
      <c r="AW277" s="12">
        <f>+'Form20 '!N278</f>
        <v>1</v>
      </c>
      <c r="AX277" s="18">
        <v>14</v>
      </c>
      <c r="AY277" s="66" t="s">
        <v>30</v>
      </c>
      <c r="AZ277" s="12">
        <f>+'Form20 '!O278</f>
        <v>1</v>
      </c>
      <c r="BA277" s="75">
        <f t="shared" si="9"/>
        <v>501</v>
      </c>
    </row>
    <row r="278" spans="1:53" s="67" customFormat="1" ht="59.25" customHeight="1">
      <c r="A278" s="18">
        <v>333</v>
      </c>
      <c r="B278" s="59">
        <v>272</v>
      </c>
      <c r="C278" s="76" t="s">
        <v>346</v>
      </c>
      <c r="D278" s="61">
        <v>814</v>
      </c>
      <c r="E278" s="61">
        <v>240</v>
      </c>
      <c r="F278" s="61">
        <v>265</v>
      </c>
      <c r="G278" s="55">
        <v>0</v>
      </c>
      <c r="H278" s="62">
        <f t="shared" si="8"/>
        <v>505</v>
      </c>
      <c r="I278" s="55">
        <v>44</v>
      </c>
      <c r="J278" s="29">
        <v>0</v>
      </c>
      <c r="K278" s="18">
        <v>1</v>
      </c>
      <c r="L278" s="63" t="s">
        <v>29</v>
      </c>
      <c r="M278" s="12">
        <f>+'Form20 '!B279</f>
        <v>270</v>
      </c>
      <c r="N278" s="18">
        <v>2</v>
      </c>
      <c r="O278" s="58" t="s">
        <v>24</v>
      </c>
      <c r="P278" s="12">
        <f>+'Form20 '!C279</f>
        <v>7</v>
      </c>
      <c r="Q278" s="18">
        <v>3</v>
      </c>
      <c r="R278" s="63" t="s">
        <v>28</v>
      </c>
      <c r="S278" s="12">
        <f>+'Form20 '!D279</f>
        <v>214</v>
      </c>
      <c r="T278" s="18">
        <v>4</v>
      </c>
      <c r="U278" s="64" t="s">
        <v>65</v>
      </c>
      <c r="V278" s="12">
        <f>+'Form20 '!E279</f>
        <v>1</v>
      </c>
      <c r="W278" s="18">
        <v>5</v>
      </c>
      <c r="X278" s="58" t="s">
        <v>66</v>
      </c>
      <c r="Y278" s="12">
        <f>+'Form20 '!F279</f>
        <v>0</v>
      </c>
      <c r="Z278" s="18">
        <v>6</v>
      </c>
      <c r="AA278" s="64" t="s">
        <v>67</v>
      </c>
      <c r="AB278" s="12">
        <f>+'Form20 '!G279</f>
        <v>1</v>
      </c>
      <c r="AC278" s="18">
        <v>7</v>
      </c>
      <c r="AD278" s="63" t="s">
        <v>68</v>
      </c>
      <c r="AE278" s="12">
        <f>+'Form20 '!H279</f>
        <v>0</v>
      </c>
      <c r="AF278" s="18">
        <v>8</v>
      </c>
      <c r="AG278" s="63" t="s">
        <v>69</v>
      </c>
      <c r="AH278" s="12">
        <f>+'Form20 '!I279</f>
        <v>0</v>
      </c>
      <c r="AI278" s="18">
        <v>9</v>
      </c>
      <c r="AJ278" s="65" t="s">
        <v>70</v>
      </c>
      <c r="AK278" s="12">
        <f>+'Form20 '!J279</f>
        <v>6</v>
      </c>
      <c r="AL278" s="18">
        <v>10</v>
      </c>
      <c r="AM278" s="66" t="s">
        <v>30</v>
      </c>
      <c r="AN278" s="12">
        <f>+'Form20 '!K279</f>
        <v>1</v>
      </c>
      <c r="AO278" s="18">
        <v>11</v>
      </c>
      <c r="AP278" s="66" t="s">
        <v>30</v>
      </c>
      <c r="AQ278" s="12">
        <f>+'Form20 '!L279</f>
        <v>0</v>
      </c>
      <c r="AR278" s="18">
        <v>12</v>
      </c>
      <c r="AS278" s="66" t="s">
        <v>30</v>
      </c>
      <c r="AT278" s="12">
        <f>+'Form20 '!M279</f>
        <v>2</v>
      </c>
      <c r="AU278" s="18">
        <v>13</v>
      </c>
      <c r="AV278" s="66" t="s">
        <v>30</v>
      </c>
      <c r="AW278" s="12">
        <f>+'Form20 '!N279</f>
        <v>1</v>
      </c>
      <c r="AX278" s="18">
        <v>14</v>
      </c>
      <c r="AY278" s="66" t="s">
        <v>30</v>
      </c>
      <c r="AZ278" s="12">
        <f>+'Form20 '!O279</f>
        <v>0</v>
      </c>
      <c r="BA278" s="75">
        <f t="shared" si="9"/>
        <v>503</v>
      </c>
    </row>
    <row r="279" spans="1:53" s="67" customFormat="1" ht="59.25" customHeight="1">
      <c r="A279" s="18">
        <v>333</v>
      </c>
      <c r="B279" s="59">
        <v>273</v>
      </c>
      <c r="C279" s="76" t="s">
        <v>347</v>
      </c>
      <c r="D279" s="61">
        <v>845</v>
      </c>
      <c r="E279" s="61">
        <v>240</v>
      </c>
      <c r="F279" s="61">
        <v>269</v>
      </c>
      <c r="G279" s="55">
        <v>0</v>
      </c>
      <c r="H279" s="62">
        <f t="shared" si="8"/>
        <v>509</v>
      </c>
      <c r="I279" s="55">
        <v>49</v>
      </c>
      <c r="J279" s="29">
        <v>0</v>
      </c>
      <c r="K279" s="18">
        <v>1</v>
      </c>
      <c r="L279" s="63" t="s">
        <v>29</v>
      </c>
      <c r="M279" s="12">
        <f>+'Form20 '!B280</f>
        <v>329</v>
      </c>
      <c r="N279" s="18">
        <v>2</v>
      </c>
      <c r="O279" s="58" t="s">
        <v>24</v>
      </c>
      <c r="P279" s="12">
        <f>+'Form20 '!C280</f>
        <v>36</v>
      </c>
      <c r="Q279" s="18">
        <v>3</v>
      </c>
      <c r="R279" s="63" t="s">
        <v>28</v>
      </c>
      <c r="S279" s="12">
        <f>+'Form20 '!D280</f>
        <v>127</v>
      </c>
      <c r="T279" s="18">
        <v>4</v>
      </c>
      <c r="U279" s="64" t="s">
        <v>65</v>
      </c>
      <c r="V279" s="12">
        <f>+'Form20 '!E280</f>
        <v>3</v>
      </c>
      <c r="W279" s="18">
        <v>5</v>
      </c>
      <c r="X279" s="58" t="s">
        <v>66</v>
      </c>
      <c r="Y279" s="12">
        <f>+'Form20 '!F280</f>
        <v>0</v>
      </c>
      <c r="Z279" s="18">
        <v>6</v>
      </c>
      <c r="AA279" s="64" t="s">
        <v>67</v>
      </c>
      <c r="AB279" s="12">
        <f>+'Form20 '!G280</f>
        <v>0</v>
      </c>
      <c r="AC279" s="18">
        <v>7</v>
      </c>
      <c r="AD279" s="63" t="s">
        <v>68</v>
      </c>
      <c r="AE279" s="12">
        <f>+'Form20 '!H280</f>
        <v>1</v>
      </c>
      <c r="AF279" s="18">
        <v>8</v>
      </c>
      <c r="AG279" s="63" t="s">
        <v>69</v>
      </c>
      <c r="AH279" s="12">
        <f>+'Form20 '!I280</f>
        <v>0</v>
      </c>
      <c r="AI279" s="18">
        <v>9</v>
      </c>
      <c r="AJ279" s="65" t="s">
        <v>70</v>
      </c>
      <c r="AK279" s="12">
        <f>+'Form20 '!J280</f>
        <v>4</v>
      </c>
      <c r="AL279" s="18">
        <v>10</v>
      </c>
      <c r="AM279" s="66" t="s">
        <v>30</v>
      </c>
      <c r="AN279" s="12">
        <f>+'Form20 '!K280</f>
        <v>0</v>
      </c>
      <c r="AO279" s="18">
        <v>11</v>
      </c>
      <c r="AP279" s="66" t="s">
        <v>30</v>
      </c>
      <c r="AQ279" s="12">
        <f>+'Form20 '!L280</f>
        <v>0</v>
      </c>
      <c r="AR279" s="18">
        <v>12</v>
      </c>
      <c r="AS279" s="66" t="s">
        <v>30</v>
      </c>
      <c r="AT279" s="12">
        <f>+'Form20 '!M280</f>
        <v>1</v>
      </c>
      <c r="AU279" s="18">
        <v>13</v>
      </c>
      <c r="AV279" s="66" t="s">
        <v>30</v>
      </c>
      <c r="AW279" s="12">
        <f>+'Form20 '!N280</f>
        <v>3</v>
      </c>
      <c r="AX279" s="18">
        <v>14</v>
      </c>
      <c r="AY279" s="66" t="s">
        <v>30</v>
      </c>
      <c r="AZ279" s="12">
        <f>+'Form20 '!O280</f>
        <v>0</v>
      </c>
      <c r="BA279" s="75">
        <f t="shared" si="9"/>
        <v>504</v>
      </c>
    </row>
    <row r="280" spans="1:53" s="67" customFormat="1" ht="59.25" customHeight="1">
      <c r="A280" s="18">
        <v>333</v>
      </c>
      <c r="B280" s="59">
        <v>274</v>
      </c>
      <c r="C280" s="76" t="s">
        <v>348</v>
      </c>
      <c r="D280" s="61">
        <v>961</v>
      </c>
      <c r="E280" s="61">
        <v>271</v>
      </c>
      <c r="F280" s="61">
        <v>323</v>
      </c>
      <c r="G280" s="55">
        <v>0</v>
      </c>
      <c r="H280" s="62">
        <f t="shared" si="8"/>
        <v>594</v>
      </c>
      <c r="I280" s="55">
        <v>57</v>
      </c>
      <c r="J280" s="29">
        <v>0</v>
      </c>
      <c r="K280" s="18">
        <v>1</v>
      </c>
      <c r="L280" s="63" t="s">
        <v>29</v>
      </c>
      <c r="M280" s="12">
        <f>+'Form20 '!B281</f>
        <v>168</v>
      </c>
      <c r="N280" s="18">
        <v>2</v>
      </c>
      <c r="O280" s="58" t="s">
        <v>24</v>
      </c>
      <c r="P280" s="12">
        <f>+'Form20 '!C281</f>
        <v>68</v>
      </c>
      <c r="Q280" s="18">
        <v>3</v>
      </c>
      <c r="R280" s="63" t="s">
        <v>28</v>
      </c>
      <c r="S280" s="12">
        <f>+'Form20 '!D281</f>
        <v>310</v>
      </c>
      <c r="T280" s="18">
        <v>4</v>
      </c>
      <c r="U280" s="64" t="s">
        <v>65</v>
      </c>
      <c r="V280" s="12">
        <f>+'Form20 '!E281</f>
        <v>1</v>
      </c>
      <c r="W280" s="18">
        <v>5</v>
      </c>
      <c r="X280" s="58" t="s">
        <v>66</v>
      </c>
      <c r="Y280" s="12">
        <f>+'Form20 '!F281</f>
        <v>0</v>
      </c>
      <c r="Z280" s="18">
        <v>6</v>
      </c>
      <c r="AA280" s="64" t="s">
        <v>67</v>
      </c>
      <c r="AB280" s="12">
        <f>+'Form20 '!G281</f>
        <v>0</v>
      </c>
      <c r="AC280" s="18">
        <v>7</v>
      </c>
      <c r="AD280" s="63" t="s">
        <v>68</v>
      </c>
      <c r="AE280" s="12">
        <f>+'Form20 '!H281</f>
        <v>0</v>
      </c>
      <c r="AF280" s="18">
        <v>8</v>
      </c>
      <c r="AG280" s="63" t="s">
        <v>69</v>
      </c>
      <c r="AH280" s="12">
        <f>+'Form20 '!I281</f>
        <v>1</v>
      </c>
      <c r="AI280" s="18">
        <v>9</v>
      </c>
      <c r="AJ280" s="65" t="s">
        <v>70</v>
      </c>
      <c r="AK280" s="12">
        <f>+'Form20 '!J281</f>
        <v>38</v>
      </c>
      <c r="AL280" s="18">
        <v>10</v>
      </c>
      <c r="AM280" s="66" t="s">
        <v>30</v>
      </c>
      <c r="AN280" s="12">
        <f>+'Form20 '!K281</f>
        <v>2</v>
      </c>
      <c r="AO280" s="18">
        <v>11</v>
      </c>
      <c r="AP280" s="66" t="s">
        <v>30</v>
      </c>
      <c r="AQ280" s="12">
        <f>+'Form20 '!L281</f>
        <v>0</v>
      </c>
      <c r="AR280" s="18">
        <v>12</v>
      </c>
      <c r="AS280" s="66" t="s">
        <v>30</v>
      </c>
      <c r="AT280" s="12">
        <f>+'Form20 '!M281</f>
        <v>1</v>
      </c>
      <c r="AU280" s="18">
        <v>13</v>
      </c>
      <c r="AV280" s="66" t="s">
        <v>30</v>
      </c>
      <c r="AW280" s="12">
        <f>+'Form20 '!N281</f>
        <v>2</v>
      </c>
      <c r="AX280" s="18">
        <v>14</v>
      </c>
      <c r="AY280" s="66" t="s">
        <v>30</v>
      </c>
      <c r="AZ280" s="12">
        <f>+'Form20 '!O281</f>
        <v>1</v>
      </c>
      <c r="BA280" s="75">
        <f t="shared" si="9"/>
        <v>592</v>
      </c>
    </row>
    <row r="281" spans="1:53" s="67" customFormat="1" ht="59.25" customHeight="1">
      <c r="A281" s="18">
        <v>333</v>
      </c>
      <c r="B281" s="59">
        <v>275</v>
      </c>
      <c r="C281" s="76" t="s">
        <v>349</v>
      </c>
      <c r="D281" s="61">
        <v>786</v>
      </c>
      <c r="E281" s="61">
        <v>226</v>
      </c>
      <c r="F281" s="61">
        <v>238</v>
      </c>
      <c r="G281" s="55">
        <v>0</v>
      </c>
      <c r="H281" s="62">
        <f t="shared" si="8"/>
        <v>464</v>
      </c>
      <c r="I281" s="55">
        <v>35</v>
      </c>
      <c r="J281" s="29">
        <v>0</v>
      </c>
      <c r="K281" s="18">
        <v>1</v>
      </c>
      <c r="L281" s="63" t="s">
        <v>29</v>
      </c>
      <c r="M281" s="12">
        <f>+'Form20 '!B282</f>
        <v>226</v>
      </c>
      <c r="N281" s="18">
        <v>2</v>
      </c>
      <c r="O281" s="58" t="s">
        <v>24</v>
      </c>
      <c r="P281" s="12">
        <f>+'Form20 '!C282</f>
        <v>20</v>
      </c>
      <c r="Q281" s="18">
        <v>3</v>
      </c>
      <c r="R281" s="63" t="s">
        <v>28</v>
      </c>
      <c r="S281" s="12">
        <f>+'Form20 '!D282</f>
        <v>201</v>
      </c>
      <c r="T281" s="18">
        <v>4</v>
      </c>
      <c r="U281" s="64" t="s">
        <v>65</v>
      </c>
      <c r="V281" s="12">
        <f>+'Form20 '!E282</f>
        <v>0</v>
      </c>
      <c r="W281" s="18">
        <v>5</v>
      </c>
      <c r="X281" s="58" t="s">
        <v>66</v>
      </c>
      <c r="Y281" s="12">
        <f>+'Form20 '!F282</f>
        <v>1</v>
      </c>
      <c r="Z281" s="18">
        <v>6</v>
      </c>
      <c r="AA281" s="64" t="s">
        <v>67</v>
      </c>
      <c r="AB281" s="12">
        <f>+'Form20 '!G282</f>
        <v>0</v>
      </c>
      <c r="AC281" s="18">
        <v>7</v>
      </c>
      <c r="AD281" s="63" t="s">
        <v>68</v>
      </c>
      <c r="AE281" s="12">
        <f>+'Form20 '!H282</f>
        <v>0</v>
      </c>
      <c r="AF281" s="18">
        <v>8</v>
      </c>
      <c r="AG281" s="63" t="s">
        <v>69</v>
      </c>
      <c r="AH281" s="12">
        <f>+'Form20 '!I282</f>
        <v>0</v>
      </c>
      <c r="AI281" s="18">
        <v>9</v>
      </c>
      <c r="AJ281" s="65" t="s">
        <v>70</v>
      </c>
      <c r="AK281" s="12">
        <f>+'Form20 '!J282</f>
        <v>1</v>
      </c>
      <c r="AL281" s="18">
        <v>10</v>
      </c>
      <c r="AM281" s="66" t="s">
        <v>30</v>
      </c>
      <c r="AN281" s="12">
        <f>+'Form20 '!K282</f>
        <v>0</v>
      </c>
      <c r="AO281" s="18">
        <v>11</v>
      </c>
      <c r="AP281" s="66" t="s">
        <v>30</v>
      </c>
      <c r="AQ281" s="12">
        <f>+'Form20 '!L282</f>
        <v>4</v>
      </c>
      <c r="AR281" s="18">
        <v>12</v>
      </c>
      <c r="AS281" s="66" t="s">
        <v>30</v>
      </c>
      <c r="AT281" s="12">
        <f>+'Form20 '!M282</f>
        <v>1</v>
      </c>
      <c r="AU281" s="18">
        <v>13</v>
      </c>
      <c r="AV281" s="66" t="s">
        <v>30</v>
      </c>
      <c r="AW281" s="12">
        <f>+'Form20 '!N282</f>
        <v>2</v>
      </c>
      <c r="AX281" s="18">
        <v>14</v>
      </c>
      <c r="AY281" s="66" t="s">
        <v>30</v>
      </c>
      <c r="AZ281" s="12">
        <f>+'Form20 '!O282</f>
        <v>1</v>
      </c>
      <c r="BA281" s="75">
        <f t="shared" si="9"/>
        <v>457</v>
      </c>
    </row>
    <row r="282" spans="1:53" s="67" customFormat="1" ht="59.25" customHeight="1">
      <c r="A282" s="18">
        <v>333</v>
      </c>
      <c r="B282" s="59">
        <v>276</v>
      </c>
      <c r="C282" s="76" t="s">
        <v>350</v>
      </c>
      <c r="D282" s="61">
        <v>1078</v>
      </c>
      <c r="E282" s="61">
        <v>333</v>
      </c>
      <c r="F282" s="61">
        <v>384</v>
      </c>
      <c r="G282" s="55">
        <v>0</v>
      </c>
      <c r="H282" s="62">
        <f t="shared" si="8"/>
        <v>717</v>
      </c>
      <c r="I282" s="55">
        <v>82</v>
      </c>
      <c r="J282" s="29">
        <v>0</v>
      </c>
      <c r="K282" s="18">
        <v>1</v>
      </c>
      <c r="L282" s="63" t="s">
        <v>29</v>
      </c>
      <c r="M282" s="12">
        <f>+'Form20 '!B283</f>
        <v>507</v>
      </c>
      <c r="N282" s="18">
        <v>2</v>
      </c>
      <c r="O282" s="58" t="s">
        <v>24</v>
      </c>
      <c r="P282" s="12">
        <f>+'Form20 '!C283</f>
        <v>20</v>
      </c>
      <c r="Q282" s="18">
        <v>3</v>
      </c>
      <c r="R282" s="63" t="s">
        <v>28</v>
      </c>
      <c r="S282" s="12">
        <f>+'Form20 '!D283</f>
        <v>174</v>
      </c>
      <c r="T282" s="18">
        <v>4</v>
      </c>
      <c r="U282" s="64" t="s">
        <v>65</v>
      </c>
      <c r="V282" s="12">
        <f>+'Form20 '!E283</f>
        <v>1</v>
      </c>
      <c r="W282" s="18">
        <v>5</v>
      </c>
      <c r="X282" s="58" t="s">
        <v>66</v>
      </c>
      <c r="Y282" s="12">
        <f>+'Form20 '!F283</f>
        <v>1</v>
      </c>
      <c r="Z282" s="18">
        <v>6</v>
      </c>
      <c r="AA282" s="64" t="s">
        <v>67</v>
      </c>
      <c r="AB282" s="12">
        <f>+'Form20 '!G283</f>
        <v>0</v>
      </c>
      <c r="AC282" s="18">
        <v>7</v>
      </c>
      <c r="AD282" s="63" t="s">
        <v>68</v>
      </c>
      <c r="AE282" s="12">
        <f>+'Form20 '!H283</f>
        <v>0</v>
      </c>
      <c r="AF282" s="18">
        <v>8</v>
      </c>
      <c r="AG282" s="63" t="s">
        <v>69</v>
      </c>
      <c r="AH282" s="12">
        <f>+'Form20 '!I283</f>
        <v>0</v>
      </c>
      <c r="AI282" s="18">
        <v>9</v>
      </c>
      <c r="AJ282" s="65" t="s">
        <v>70</v>
      </c>
      <c r="AK282" s="12">
        <f>+'Form20 '!J283</f>
        <v>0</v>
      </c>
      <c r="AL282" s="18">
        <v>10</v>
      </c>
      <c r="AM282" s="66" t="s">
        <v>30</v>
      </c>
      <c r="AN282" s="12">
        <f>+'Form20 '!K283</f>
        <v>1</v>
      </c>
      <c r="AO282" s="18">
        <v>11</v>
      </c>
      <c r="AP282" s="66" t="s">
        <v>30</v>
      </c>
      <c r="AQ282" s="12">
        <f>+'Form20 '!L283</f>
        <v>2</v>
      </c>
      <c r="AR282" s="18">
        <v>12</v>
      </c>
      <c r="AS282" s="66" t="s">
        <v>30</v>
      </c>
      <c r="AT282" s="12">
        <f>+'Form20 '!M283</f>
        <v>0</v>
      </c>
      <c r="AU282" s="18">
        <v>13</v>
      </c>
      <c r="AV282" s="66" t="s">
        <v>30</v>
      </c>
      <c r="AW282" s="12">
        <f>+'Form20 '!N283</f>
        <v>3</v>
      </c>
      <c r="AX282" s="18">
        <v>14</v>
      </c>
      <c r="AY282" s="66" t="s">
        <v>30</v>
      </c>
      <c r="AZ282" s="12">
        <f>+'Form20 '!O283</f>
        <v>2</v>
      </c>
      <c r="BA282" s="75">
        <f t="shared" si="9"/>
        <v>711</v>
      </c>
    </row>
    <row r="283" spans="1:53" s="67" customFormat="1" ht="59.25" customHeight="1">
      <c r="A283" s="18">
        <v>333</v>
      </c>
      <c r="B283" s="59">
        <v>277</v>
      </c>
      <c r="C283" s="76" t="s">
        <v>351</v>
      </c>
      <c r="D283" s="61">
        <v>1096</v>
      </c>
      <c r="E283" s="61">
        <v>373</v>
      </c>
      <c r="F283" s="61">
        <v>375</v>
      </c>
      <c r="G283" s="55">
        <v>0</v>
      </c>
      <c r="H283" s="62">
        <f t="shared" si="8"/>
        <v>748</v>
      </c>
      <c r="I283" s="55">
        <v>120</v>
      </c>
      <c r="J283" s="29">
        <v>0</v>
      </c>
      <c r="K283" s="18">
        <v>1</v>
      </c>
      <c r="L283" s="63" t="s">
        <v>29</v>
      </c>
      <c r="M283" s="12">
        <f>+'Form20 '!B284</f>
        <v>521</v>
      </c>
      <c r="N283" s="18">
        <v>2</v>
      </c>
      <c r="O283" s="58" t="s">
        <v>24</v>
      </c>
      <c r="P283" s="12">
        <f>+'Form20 '!C284</f>
        <v>39</v>
      </c>
      <c r="Q283" s="18">
        <v>3</v>
      </c>
      <c r="R283" s="63" t="s">
        <v>28</v>
      </c>
      <c r="S283" s="12">
        <f>+'Form20 '!D284</f>
        <v>163</v>
      </c>
      <c r="T283" s="18">
        <v>4</v>
      </c>
      <c r="U283" s="64" t="s">
        <v>65</v>
      </c>
      <c r="V283" s="12">
        <f>+'Form20 '!E284</f>
        <v>5</v>
      </c>
      <c r="W283" s="18">
        <v>5</v>
      </c>
      <c r="X283" s="58" t="s">
        <v>66</v>
      </c>
      <c r="Y283" s="12">
        <f>+'Form20 '!F284</f>
        <v>2</v>
      </c>
      <c r="Z283" s="18">
        <v>6</v>
      </c>
      <c r="AA283" s="64" t="s">
        <v>67</v>
      </c>
      <c r="AB283" s="12">
        <f>+'Form20 '!G284</f>
        <v>2</v>
      </c>
      <c r="AC283" s="18">
        <v>7</v>
      </c>
      <c r="AD283" s="63" t="s">
        <v>68</v>
      </c>
      <c r="AE283" s="12">
        <f>+'Form20 '!H284</f>
        <v>0</v>
      </c>
      <c r="AF283" s="18">
        <v>8</v>
      </c>
      <c r="AG283" s="63" t="s">
        <v>69</v>
      </c>
      <c r="AH283" s="12">
        <f>+'Form20 '!I284</f>
        <v>0</v>
      </c>
      <c r="AI283" s="18">
        <v>9</v>
      </c>
      <c r="AJ283" s="65" t="s">
        <v>70</v>
      </c>
      <c r="AK283" s="12">
        <f>+'Form20 '!J284</f>
        <v>2</v>
      </c>
      <c r="AL283" s="18">
        <v>10</v>
      </c>
      <c r="AM283" s="66" t="s">
        <v>30</v>
      </c>
      <c r="AN283" s="12">
        <f>+'Form20 '!K284</f>
        <v>0</v>
      </c>
      <c r="AO283" s="18">
        <v>11</v>
      </c>
      <c r="AP283" s="66" t="s">
        <v>30</v>
      </c>
      <c r="AQ283" s="12">
        <f>+'Form20 '!L284</f>
        <v>0</v>
      </c>
      <c r="AR283" s="18">
        <v>12</v>
      </c>
      <c r="AS283" s="66" t="s">
        <v>30</v>
      </c>
      <c r="AT283" s="12">
        <f>+'Form20 '!M284</f>
        <v>1</v>
      </c>
      <c r="AU283" s="18">
        <v>13</v>
      </c>
      <c r="AV283" s="66" t="s">
        <v>30</v>
      </c>
      <c r="AW283" s="12">
        <f>+'Form20 '!N284</f>
        <v>2</v>
      </c>
      <c r="AX283" s="18">
        <v>14</v>
      </c>
      <c r="AY283" s="66" t="s">
        <v>30</v>
      </c>
      <c r="AZ283" s="12">
        <f>+'Form20 '!O284</f>
        <v>2</v>
      </c>
      <c r="BA283" s="75">
        <f t="shared" si="9"/>
        <v>739</v>
      </c>
    </row>
    <row r="284" spans="1:53" s="67" customFormat="1" ht="59.25" customHeight="1">
      <c r="A284" s="18">
        <v>333</v>
      </c>
      <c r="B284" s="59">
        <v>278</v>
      </c>
      <c r="C284" s="76" t="s">
        <v>352</v>
      </c>
      <c r="D284" s="61">
        <v>1060</v>
      </c>
      <c r="E284" s="61">
        <v>346</v>
      </c>
      <c r="F284" s="61">
        <v>324</v>
      </c>
      <c r="G284" s="55">
        <v>0</v>
      </c>
      <c r="H284" s="62">
        <f t="shared" si="8"/>
        <v>670</v>
      </c>
      <c r="I284" s="55">
        <v>50</v>
      </c>
      <c r="J284" s="29">
        <v>0</v>
      </c>
      <c r="K284" s="18">
        <v>1</v>
      </c>
      <c r="L284" s="63" t="s">
        <v>29</v>
      </c>
      <c r="M284" s="12">
        <f>+'Form20 '!B285</f>
        <v>366</v>
      </c>
      <c r="N284" s="18">
        <v>2</v>
      </c>
      <c r="O284" s="58" t="s">
        <v>24</v>
      </c>
      <c r="P284" s="12">
        <f>+'Form20 '!C285</f>
        <v>17</v>
      </c>
      <c r="Q284" s="18">
        <v>3</v>
      </c>
      <c r="R284" s="63" t="s">
        <v>28</v>
      </c>
      <c r="S284" s="12">
        <f>+'Form20 '!D285</f>
        <v>267</v>
      </c>
      <c r="T284" s="18">
        <v>4</v>
      </c>
      <c r="U284" s="64" t="s">
        <v>65</v>
      </c>
      <c r="V284" s="12">
        <f>+'Form20 '!E285</f>
        <v>1</v>
      </c>
      <c r="W284" s="18">
        <v>5</v>
      </c>
      <c r="X284" s="58" t="s">
        <v>66</v>
      </c>
      <c r="Y284" s="12">
        <f>+'Form20 '!F285</f>
        <v>2</v>
      </c>
      <c r="Z284" s="18">
        <v>6</v>
      </c>
      <c r="AA284" s="64" t="s">
        <v>67</v>
      </c>
      <c r="AB284" s="12">
        <f>+'Form20 '!G285</f>
        <v>0</v>
      </c>
      <c r="AC284" s="18">
        <v>7</v>
      </c>
      <c r="AD284" s="63" t="s">
        <v>68</v>
      </c>
      <c r="AE284" s="12">
        <f>+'Form20 '!H285</f>
        <v>1</v>
      </c>
      <c r="AF284" s="18">
        <v>8</v>
      </c>
      <c r="AG284" s="63" t="s">
        <v>69</v>
      </c>
      <c r="AH284" s="12">
        <f>+'Form20 '!I285</f>
        <v>0</v>
      </c>
      <c r="AI284" s="18">
        <v>9</v>
      </c>
      <c r="AJ284" s="65" t="s">
        <v>70</v>
      </c>
      <c r="AK284" s="12">
        <f>+'Form20 '!J285</f>
        <v>0</v>
      </c>
      <c r="AL284" s="18">
        <v>10</v>
      </c>
      <c r="AM284" s="66" t="s">
        <v>30</v>
      </c>
      <c r="AN284" s="12">
        <f>+'Form20 '!K285</f>
        <v>2</v>
      </c>
      <c r="AO284" s="18">
        <v>11</v>
      </c>
      <c r="AP284" s="66" t="s">
        <v>30</v>
      </c>
      <c r="AQ284" s="12">
        <f>+'Form20 '!L285</f>
        <v>3</v>
      </c>
      <c r="AR284" s="18">
        <v>12</v>
      </c>
      <c r="AS284" s="66" t="s">
        <v>30</v>
      </c>
      <c r="AT284" s="12">
        <f>+'Form20 '!M285</f>
        <v>2</v>
      </c>
      <c r="AU284" s="18">
        <v>13</v>
      </c>
      <c r="AV284" s="66" t="s">
        <v>30</v>
      </c>
      <c r="AW284" s="12">
        <f>+'Form20 '!N285</f>
        <v>1</v>
      </c>
      <c r="AX284" s="18">
        <v>14</v>
      </c>
      <c r="AY284" s="66" t="s">
        <v>30</v>
      </c>
      <c r="AZ284" s="12">
        <f>+'Form20 '!O285</f>
        <v>4</v>
      </c>
      <c r="BA284" s="75">
        <f t="shared" si="9"/>
        <v>666</v>
      </c>
    </row>
    <row r="285" spans="1:53" s="67" customFormat="1" ht="59.25" customHeight="1">
      <c r="A285" s="18">
        <v>333</v>
      </c>
      <c r="B285" s="59">
        <v>279</v>
      </c>
      <c r="C285" s="76" t="s">
        <v>352</v>
      </c>
      <c r="D285" s="61">
        <v>1099</v>
      </c>
      <c r="E285" s="61">
        <v>285</v>
      </c>
      <c r="F285" s="61">
        <v>303</v>
      </c>
      <c r="G285" s="55">
        <v>0</v>
      </c>
      <c r="H285" s="62">
        <f t="shared" si="8"/>
        <v>588</v>
      </c>
      <c r="I285" s="55">
        <v>56</v>
      </c>
      <c r="J285" s="29">
        <v>0</v>
      </c>
      <c r="K285" s="18">
        <v>1</v>
      </c>
      <c r="L285" s="63" t="s">
        <v>29</v>
      </c>
      <c r="M285" s="12">
        <f>+'Form20 '!B286</f>
        <v>348</v>
      </c>
      <c r="N285" s="18">
        <v>2</v>
      </c>
      <c r="O285" s="58" t="s">
        <v>24</v>
      </c>
      <c r="P285" s="12">
        <f>+'Form20 '!C286</f>
        <v>81</v>
      </c>
      <c r="Q285" s="18">
        <v>3</v>
      </c>
      <c r="R285" s="63" t="s">
        <v>28</v>
      </c>
      <c r="S285" s="12">
        <f>+'Form20 '!D286</f>
        <v>140</v>
      </c>
      <c r="T285" s="18">
        <v>4</v>
      </c>
      <c r="U285" s="64" t="s">
        <v>65</v>
      </c>
      <c r="V285" s="12">
        <f>+'Form20 '!E286</f>
        <v>2</v>
      </c>
      <c r="W285" s="18">
        <v>5</v>
      </c>
      <c r="X285" s="58" t="s">
        <v>66</v>
      </c>
      <c r="Y285" s="12">
        <f>+'Form20 '!F286</f>
        <v>1</v>
      </c>
      <c r="Z285" s="18">
        <v>6</v>
      </c>
      <c r="AA285" s="64" t="s">
        <v>67</v>
      </c>
      <c r="AB285" s="12">
        <f>+'Form20 '!G286</f>
        <v>0</v>
      </c>
      <c r="AC285" s="18">
        <v>7</v>
      </c>
      <c r="AD285" s="63" t="s">
        <v>68</v>
      </c>
      <c r="AE285" s="12">
        <f>+'Form20 '!H286</f>
        <v>1</v>
      </c>
      <c r="AF285" s="18">
        <v>8</v>
      </c>
      <c r="AG285" s="63" t="s">
        <v>69</v>
      </c>
      <c r="AH285" s="12">
        <f>+'Form20 '!I286</f>
        <v>1</v>
      </c>
      <c r="AI285" s="18">
        <v>9</v>
      </c>
      <c r="AJ285" s="65" t="s">
        <v>70</v>
      </c>
      <c r="AK285" s="12">
        <f>+'Form20 '!J286</f>
        <v>0</v>
      </c>
      <c r="AL285" s="18">
        <v>10</v>
      </c>
      <c r="AM285" s="66" t="s">
        <v>30</v>
      </c>
      <c r="AN285" s="12">
        <f>+'Form20 '!K286</f>
        <v>3</v>
      </c>
      <c r="AO285" s="18">
        <v>11</v>
      </c>
      <c r="AP285" s="66" t="s">
        <v>30</v>
      </c>
      <c r="AQ285" s="12">
        <f>+'Form20 '!L286</f>
        <v>0</v>
      </c>
      <c r="AR285" s="18">
        <v>12</v>
      </c>
      <c r="AS285" s="66" t="s">
        <v>30</v>
      </c>
      <c r="AT285" s="12">
        <f>+'Form20 '!M286</f>
        <v>2</v>
      </c>
      <c r="AU285" s="18">
        <v>13</v>
      </c>
      <c r="AV285" s="66" t="s">
        <v>30</v>
      </c>
      <c r="AW285" s="12">
        <f>+'Form20 '!N286</f>
        <v>5</v>
      </c>
      <c r="AX285" s="18">
        <v>14</v>
      </c>
      <c r="AY285" s="66" t="s">
        <v>30</v>
      </c>
      <c r="AZ285" s="12">
        <f>+'Form20 '!O286</f>
        <v>0</v>
      </c>
      <c r="BA285" s="75">
        <f t="shared" si="9"/>
        <v>584</v>
      </c>
    </row>
    <row r="286" spans="1:53" s="67" customFormat="1" ht="59.25" customHeight="1">
      <c r="A286" s="18">
        <v>333</v>
      </c>
      <c r="B286" s="59">
        <v>280</v>
      </c>
      <c r="C286" s="76" t="s">
        <v>353</v>
      </c>
      <c r="D286" s="61">
        <v>1147</v>
      </c>
      <c r="E286" s="61">
        <v>343</v>
      </c>
      <c r="F286" s="61">
        <v>354</v>
      </c>
      <c r="G286" s="55">
        <v>0</v>
      </c>
      <c r="H286" s="62">
        <f t="shared" si="8"/>
        <v>697</v>
      </c>
      <c r="I286" s="55">
        <v>82</v>
      </c>
      <c r="J286" s="29">
        <v>0</v>
      </c>
      <c r="K286" s="18">
        <v>1</v>
      </c>
      <c r="L286" s="63" t="s">
        <v>29</v>
      </c>
      <c r="M286" s="12">
        <f>+'Form20 '!B287</f>
        <v>293</v>
      </c>
      <c r="N286" s="18">
        <v>2</v>
      </c>
      <c r="O286" s="58" t="s">
        <v>24</v>
      </c>
      <c r="P286" s="12">
        <f>+'Form20 '!C287</f>
        <v>61</v>
      </c>
      <c r="Q286" s="18">
        <v>3</v>
      </c>
      <c r="R286" s="63" t="s">
        <v>28</v>
      </c>
      <c r="S286" s="12">
        <f>+'Form20 '!D287</f>
        <v>318</v>
      </c>
      <c r="T286" s="18">
        <v>4</v>
      </c>
      <c r="U286" s="64" t="s">
        <v>65</v>
      </c>
      <c r="V286" s="12">
        <f>+'Form20 '!E287</f>
        <v>9</v>
      </c>
      <c r="W286" s="18">
        <v>5</v>
      </c>
      <c r="X286" s="58" t="s">
        <v>66</v>
      </c>
      <c r="Y286" s="12">
        <f>+'Form20 '!F287</f>
        <v>2</v>
      </c>
      <c r="Z286" s="18">
        <v>6</v>
      </c>
      <c r="AA286" s="64" t="s">
        <v>67</v>
      </c>
      <c r="AB286" s="12">
        <f>+'Form20 '!G287</f>
        <v>0</v>
      </c>
      <c r="AC286" s="18">
        <v>7</v>
      </c>
      <c r="AD286" s="63" t="s">
        <v>68</v>
      </c>
      <c r="AE286" s="12">
        <f>+'Form20 '!H287</f>
        <v>1</v>
      </c>
      <c r="AF286" s="18">
        <v>8</v>
      </c>
      <c r="AG286" s="63" t="s">
        <v>69</v>
      </c>
      <c r="AH286" s="12">
        <f>+'Form20 '!I287</f>
        <v>2</v>
      </c>
      <c r="AI286" s="18">
        <v>9</v>
      </c>
      <c r="AJ286" s="65" t="s">
        <v>70</v>
      </c>
      <c r="AK286" s="12">
        <f>+'Form20 '!J287</f>
        <v>0</v>
      </c>
      <c r="AL286" s="18">
        <v>10</v>
      </c>
      <c r="AM286" s="66" t="s">
        <v>30</v>
      </c>
      <c r="AN286" s="12">
        <f>+'Form20 '!K287</f>
        <v>2</v>
      </c>
      <c r="AO286" s="18">
        <v>11</v>
      </c>
      <c r="AP286" s="66" t="s">
        <v>30</v>
      </c>
      <c r="AQ286" s="12">
        <f>+'Form20 '!L287</f>
        <v>0</v>
      </c>
      <c r="AR286" s="18">
        <v>12</v>
      </c>
      <c r="AS286" s="66" t="s">
        <v>30</v>
      </c>
      <c r="AT286" s="12">
        <f>+'Form20 '!M287</f>
        <v>3</v>
      </c>
      <c r="AU286" s="18">
        <v>13</v>
      </c>
      <c r="AV286" s="66" t="s">
        <v>30</v>
      </c>
      <c r="AW286" s="12">
        <f>+'Form20 '!N287</f>
        <v>3</v>
      </c>
      <c r="AX286" s="18">
        <v>14</v>
      </c>
      <c r="AY286" s="66" t="s">
        <v>30</v>
      </c>
      <c r="AZ286" s="12">
        <f>+'Form20 '!O287</f>
        <v>2</v>
      </c>
      <c r="BA286" s="75">
        <f t="shared" si="9"/>
        <v>696</v>
      </c>
    </row>
    <row r="287" spans="1:53" s="67" customFormat="1" ht="59.25" customHeight="1">
      <c r="A287" s="18">
        <v>333</v>
      </c>
      <c r="B287" s="59">
        <v>281</v>
      </c>
      <c r="C287" s="76" t="s">
        <v>354</v>
      </c>
      <c r="D287" s="61">
        <v>613</v>
      </c>
      <c r="E287" s="61">
        <v>162</v>
      </c>
      <c r="F287" s="61">
        <v>184</v>
      </c>
      <c r="G287" s="55">
        <v>0</v>
      </c>
      <c r="H287" s="62">
        <f t="shared" si="8"/>
        <v>346</v>
      </c>
      <c r="I287" s="55">
        <v>43</v>
      </c>
      <c r="J287" s="29">
        <v>0</v>
      </c>
      <c r="K287" s="18">
        <v>1</v>
      </c>
      <c r="L287" s="63" t="s">
        <v>29</v>
      </c>
      <c r="M287" s="12">
        <f>+'Form20 '!B288</f>
        <v>124</v>
      </c>
      <c r="N287" s="18">
        <v>2</v>
      </c>
      <c r="O287" s="58" t="s">
        <v>24</v>
      </c>
      <c r="P287" s="12">
        <f>+'Form20 '!C288</f>
        <v>20</v>
      </c>
      <c r="Q287" s="18">
        <v>3</v>
      </c>
      <c r="R287" s="63" t="s">
        <v>28</v>
      </c>
      <c r="S287" s="12">
        <f>+'Form20 '!D288</f>
        <v>188</v>
      </c>
      <c r="T287" s="18">
        <v>4</v>
      </c>
      <c r="U287" s="64" t="s">
        <v>65</v>
      </c>
      <c r="V287" s="12">
        <f>+'Form20 '!E288</f>
        <v>2</v>
      </c>
      <c r="W287" s="18">
        <v>5</v>
      </c>
      <c r="X287" s="58" t="s">
        <v>66</v>
      </c>
      <c r="Y287" s="12">
        <f>+'Form20 '!F288</f>
        <v>0</v>
      </c>
      <c r="Z287" s="18">
        <v>6</v>
      </c>
      <c r="AA287" s="64" t="s">
        <v>67</v>
      </c>
      <c r="AB287" s="12">
        <f>+'Form20 '!G288</f>
        <v>0</v>
      </c>
      <c r="AC287" s="18">
        <v>7</v>
      </c>
      <c r="AD287" s="63" t="s">
        <v>68</v>
      </c>
      <c r="AE287" s="12">
        <f>+'Form20 '!H288</f>
        <v>1</v>
      </c>
      <c r="AF287" s="18">
        <v>8</v>
      </c>
      <c r="AG287" s="63" t="s">
        <v>69</v>
      </c>
      <c r="AH287" s="12">
        <f>+'Form20 '!I288</f>
        <v>0</v>
      </c>
      <c r="AI287" s="18">
        <v>9</v>
      </c>
      <c r="AJ287" s="65" t="s">
        <v>70</v>
      </c>
      <c r="AK287" s="12">
        <f>+'Form20 '!J288</f>
        <v>0</v>
      </c>
      <c r="AL287" s="18">
        <v>10</v>
      </c>
      <c r="AM287" s="66" t="s">
        <v>30</v>
      </c>
      <c r="AN287" s="12">
        <f>+'Form20 '!K288</f>
        <v>1</v>
      </c>
      <c r="AO287" s="18">
        <v>11</v>
      </c>
      <c r="AP287" s="66" t="s">
        <v>30</v>
      </c>
      <c r="AQ287" s="12">
        <f>+'Form20 '!L288</f>
        <v>0</v>
      </c>
      <c r="AR287" s="18">
        <v>12</v>
      </c>
      <c r="AS287" s="66" t="s">
        <v>30</v>
      </c>
      <c r="AT287" s="12">
        <f>+'Form20 '!M288</f>
        <v>4</v>
      </c>
      <c r="AU287" s="18">
        <v>13</v>
      </c>
      <c r="AV287" s="66" t="s">
        <v>30</v>
      </c>
      <c r="AW287" s="12">
        <f>+'Form20 '!N288</f>
        <v>3</v>
      </c>
      <c r="AX287" s="18">
        <v>14</v>
      </c>
      <c r="AY287" s="66" t="s">
        <v>30</v>
      </c>
      <c r="AZ287" s="12">
        <f>+'Form20 '!O288</f>
        <v>2</v>
      </c>
      <c r="BA287" s="75">
        <f t="shared" si="9"/>
        <v>345</v>
      </c>
    </row>
    <row r="288" spans="1:53" s="67" customFormat="1" ht="59.25" customHeight="1">
      <c r="A288" s="18">
        <v>333</v>
      </c>
      <c r="B288" s="59">
        <v>282</v>
      </c>
      <c r="C288" s="76" t="s">
        <v>355</v>
      </c>
      <c r="D288" s="61">
        <v>633</v>
      </c>
      <c r="E288" s="61">
        <v>181</v>
      </c>
      <c r="F288" s="61">
        <v>229</v>
      </c>
      <c r="G288" s="55">
        <v>0</v>
      </c>
      <c r="H288" s="62">
        <f t="shared" si="8"/>
        <v>410</v>
      </c>
      <c r="I288" s="55">
        <v>40</v>
      </c>
      <c r="J288" s="29">
        <v>0</v>
      </c>
      <c r="K288" s="18">
        <v>1</v>
      </c>
      <c r="L288" s="63" t="s">
        <v>29</v>
      </c>
      <c r="M288" s="12">
        <f>+'Form20 '!B289</f>
        <v>308</v>
      </c>
      <c r="N288" s="18">
        <v>2</v>
      </c>
      <c r="O288" s="58" t="s">
        <v>24</v>
      </c>
      <c r="P288" s="12">
        <f>+'Form20 '!C289</f>
        <v>2</v>
      </c>
      <c r="Q288" s="18">
        <v>3</v>
      </c>
      <c r="R288" s="63" t="s">
        <v>28</v>
      </c>
      <c r="S288" s="12">
        <f>+'Form20 '!D289</f>
        <v>78</v>
      </c>
      <c r="T288" s="18">
        <v>4</v>
      </c>
      <c r="U288" s="64" t="s">
        <v>65</v>
      </c>
      <c r="V288" s="12">
        <f>+'Form20 '!E289</f>
        <v>9</v>
      </c>
      <c r="W288" s="18">
        <v>5</v>
      </c>
      <c r="X288" s="58" t="s">
        <v>66</v>
      </c>
      <c r="Y288" s="12">
        <f>+'Form20 '!F289</f>
        <v>1</v>
      </c>
      <c r="Z288" s="18">
        <v>6</v>
      </c>
      <c r="AA288" s="64" t="s">
        <v>67</v>
      </c>
      <c r="AB288" s="12">
        <f>+'Form20 '!G289</f>
        <v>0</v>
      </c>
      <c r="AC288" s="18">
        <v>7</v>
      </c>
      <c r="AD288" s="63" t="s">
        <v>68</v>
      </c>
      <c r="AE288" s="12">
        <f>+'Form20 '!H289</f>
        <v>0</v>
      </c>
      <c r="AF288" s="18">
        <v>8</v>
      </c>
      <c r="AG288" s="63" t="s">
        <v>69</v>
      </c>
      <c r="AH288" s="12">
        <f>+'Form20 '!I289</f>
        <v>0</v>
      </c>
      <c r="AI288" s="18">
        <v>9</v>
      </c>
      <c r="AJ288" s="65" t="s">
        <v>70</v>
      </c>
      <c r="AK288" s="12">
        <f>+'Form20 '!J289</f>
        <v>1</v>
      </c>
      <c r="AL288" s="18">
        <v>10</v>
      </c>
      <c r="AM288" s="66" t="s">
        <v>30</v>
      </c>
      <c r="AN288" s="12">
        <f>+'Form20 '!K289</f>
        <v>0</v>
      </c>
      <c r="AO288" s="18">
        <v>11</v>
      </c>
      <c r="AP288" s="66" t="s">
        <v>30</v>
      </c>
      <c r="AQ288" s="12">
        <f>+'Form20 '!L289</f>
        <v>1</v>
      </c>
      <c r="AR288" s="18">
        <v>12</v>
      </c>
      <c r="AS288" s="66" t="s">
        <v>30</v>
      </c>
      <c r="AT288" s="12">
        <f>+'Form20 '!M289</f>
        <v>1</v>
      </c>
      <c r="AU288" s="18">
        <v>13</v>
      </c>
      <c r="AV288" s="66" t="s">
        <v>30</v>
      </c>
      <c r="AW288" s="12">
        <f>+'Form20 '!N289</f>
        <v>3</v>
      </c>
      <c r="AX288" s="18">
        <v>14</v>
      </c>
      <c r="AY288" s="66" t="s">
        <v>30</v>
      </c>
      <c r="AZ288" s="12">
        <f>+'Form20 '!O289</f>
        <v>2</v>
      </c>
      <c r="BA288" s="75">
        <f t="shared" si="9"/>
        <v>406</v>
      </c>
    </row>
    <row r="289" spans="1:53" s="67" customFormat="1" ht="59.25" customHeight="1">
      <c r="A289" s="18">
        <v>333</v>
      </c>
      <c r="B289" s="59">
        <v>283</v>
      </c>
      <c r="C289" s="76" t="s">
        <v>356</v>
      </c>
      <c r="D289" s="61">
        <v>1041</v>
      </c>
      <c r="E289" s="61">
        <v>277</v>
      </c>
      <c r="F289" s="61">
        <v>318</v>
      </c>
      <c r="G289" s="55">
        <v>0</v>
      </c>
      <c r="H289" s="62">
        <f t="shared" si="8"/>
        <v>595</v>
      </c>
      <c r="I289" s="55">
        <v>33</v>
      </c>
      <c r="J289" s="29">
        <v>0</v>
      </c>
      <c r="K289" s="18">
        <v>1</v>
      </c>
      <c r="L289" s="63" t="s">
        <v>29</v>
      </c>
      <c r="M289" s="12">
        <f>+'Form20 '!B290</f>
        <v>296</v>
      </c>
      <c r="N289" s="18">
        <v>2</v>
      </c>
      <c r="O289" s="58" t="s">
        <v>24</v>
      </c>
      <c r="P289" s="12">
        <f>+'Form20 '!C290</f>
        <v>132</v>
      </c>
      <c r="Q289" s="18">
        <v>3</v>
      </c>
      <c r="R289" s="63" t="s">
        <v>28</v>
      </c>
      <c r="S289" s="12">
        <f>+'Form20 '!D290</f>
        <v>113</v>
      </c>
      <c r="T289" s="18">
        <v>4</v>
      </c>
      <c r="U289" s="64" t="s">
        <v>65</v>
      </c>
      <c r="V289" s="12">
        <f>+'Form20 '!E290</f>
        <v>7</v>
      </c>
      <c r="W289" s="18">
        <v>5</v>
      </c>
      <c r="X289" s="58" t="s">
        <v>66</v>
      </c>
      <c r="Y289" s="12">
        <f>+'Form20 '!F290</f>
        <v>2</v>
      </c>
      <c r="Z289" s="18">
        <v>6</v>
      </c>
      <c r="AA289" s="64" t="s">
        <v>67</v>
      </c>
      <c r="AB289" s="12">
        <f>+'Form20 '!G290</f>
        <v>1</v>
      </c>
      <c r="AC289" s="18">
        <v>7</v>
      </c>
      <c r="AD289" s="63" t="s">
        <v>68</v>
      </c>
      <c r="AE289" s="12">
        <f>+'Form20 '!H290</f>
        <v>1</v>
      </c>
      <c r="AF289" s="18">
        <v>8</v>
      </c>
      <c r="AG289" s="63" t="s">
        <v>69</v>
      </c>
      <c r="AH289" s="12">
        <f>+'Form20 '!I290</f>
        <v>2</v>
      </c>
      <c r="AI289" s="18">
        <v>9</v>
      </c>
      <c r="AJ289" s="65" t="s">
        <v>70</v>
      </c>
      <c r="AK289" s="12">
        <f>+'Form20 '!J290</f>
        <v>1</v>
      </c>
      <c r="AL289" s="18">
        <v>10</v>
      </c>
      <c r="AM289" s="66" t="s">
        <v>30</v>
      </c>
      <c r="AN289" s="12">
        <f>+'Form20 '!K290</f>
        <v>1</v>
      </c>
      <c r="AO289" s="18">
        <v>11</v>
      </c>
      <c r="AP289" s="66" t="s">
        <v>30</v>
      </c>
      <c r="AQ289" s="12">
        <f>+'Form20 '!L290</f>
        <v>2</v>
      </c>
      <c r="AR289" s="18">
        <v>12</v>
      </c>
      <c r="AS289" s="66" t="s">
        <v>30</v>
      </c>
      <c r="AT289" s="12">
        <f>+'Form20 '!M290</f>
        <v>4</v>
      </c>
      <c r="AU289" s="18">
        <v>13</v>
      </c>
      <c r="AV289" s="66" t="s">
        <v>30</v>
      </c>
      <c r="AW289" s="12">
        <f>+'Form20 '!N290</f>
        <v>9</v>
      </c>
      <c r="AX289" s="18">
        <v>14</v>
      </c>
      <c r="AY289" s="66" t="s">
        <v>30</v>
      </c>
      <c r="AZ289" s="12">
        <f>+'Form20 '!O290</f>
        <v>2</v>
      </c>
      <c r="BA289" s="75">
        <f t="shared" si="9"/>
        <v>573</v>
      </c>
    </row>
    <row r="290" spans="1:53" s="67" customFormat="1" ht="59.25" customHeight="1">
      <c r="A290" s="18">
        <v>333</v>
      </c>
      <c r="B290" s="59">
        <v>284</v>
      </c>
      <c r="C290" s="76" t="s">
        <v>357</v>
      </c>
      <c r="D290" s="61">
        <v>817</v>
      </c>
      <c r="E290" s="61">
        <v>187</v>
      </c>
      <c r="F290" s="61">
        <v>231</v>
      </c>
      <c r="G290" s="55">
        <v>0</v>
      </c>
      <c r="H290" s="62">
        <f t="shared" si="8"/>
        <v>418</v>
      </c>
      <c r="I290" s="55">
        <v>45</v>
      </c>
      <c r="J290" s="29">
        <v>0</v>
      </c>
      <c r="K290" s="18">
        <v>1</v>
      </c>
      <c r="L290" s="63" t="s">
        <v>29</v>
      </c>
      <c r="M290" s="12">
        <f>+'Form20 '!B291</f>
        <v>240</v>
      </c>
      <c r="N290" s="18">
        <v>2</v>
      </c>
      <c r="O290" s="58" t="s">
        <v>24</v>
      </c>
      <c r="P290" s="12">
        <f>+'Form20 '!C291</f>
        <v>72</v>
      </c>
      <c r="Q290" s="18">
        <v>3</v>
      </c>
      <c r="R290" s="63" t="s">
        <v>28</v>
      </c>
      <c r="S290" s="12">
        <f>+'Form20 '!D291</f>
        <v>91</v>
      </c>
      <c r="T290" s="18">
        <v>4</v>
      </c>
      <c r="U290" s="64" t="s">
        <v>65</v>
      </c>
      <c r="V290" s="12">
        <f>+'Form20 '!E291</f>
        <v>5</v>
      </c>
      <c r="W290" s="18">
        <v>5</v>
      </c>
      <c r="X290" s="58" t="s">
        <v>66</v>
      </c>
      <c r="Y290" s="12">
        <f>+'Form20 '!F291</f>
        <v>0</v>
      </c>
      <c r="Z290" s="18">
        <v>6</v>
      </c>
      <c r="AA290" s="64" t="s">
        <v>67</v>
      </c>
      <c r="AB290" s="12">
        <f>+'Form20 '!G291</f>
        <v>1</v>
      </c>
      <c r="AC290" s="18">
        <v>7</v>
      </c>
      <c r="AD290" s="63" t="s">
        <v>68</v>
      </c>
      <c r="AE290" s="12">
        <f>+'Form20 '!H291</f>
        <v>0</v>
      </c>
      <c r="AF290" s="18">
        <v>8</v>
      </c>
      <c r="AG290" s="63" t="s">
        <v>69</v>
      </c>
      <c r="AH290" s="12">
        <f>+'Form20 '!I291</f>
        <v>1</v>
      </c>
      <c r="AI290" s="18">
        <v>9</v>
      </c>
      <c r="AJ290" s="65" t="s">
        <v>70</v>
      </c>
      <c r="AK290" s="12">
        <f>+'Form20 '!J291</f>
        <v>1</v>
      </c>
      <c r="AL290" s="18">
        <v>10</v>
      </c>
      <c r="AM290" s="66" t="s">
        <v>30</v>
      </c>
      <c r="AN290" s="12">
        <f>+'Form20 '!K291</f>
        <v>2</v>
      </c>
      <c r="AO290" s="18">
        <v>11</v>
      </c>
      <c r="AP290" s="66" t="s">
        <v>30</v>
      </c>
      <c r="AQ290" s="12">
        <f>+'Form20 '!L291</f>
        <v>1</v>
      </c>
      <c r="AR290" s="18">
        <v>12</v>
      </c>
      <c r="AS290" s="66" t="s">
        <v>30</v>
      </c>
      <c r="AT290" s="12">
        <f>+'Form20 '!M291</f>
        <v>0</v>
      </c>
      <c r="AU290" s="18">
        <v>13</v>
      </c>
      <c r="AV290" s="66" t="s">
        <v>30</v>
      </c>
      <c r="AW290" s="12">
        <f>+'Form20 '!N291</f>
        <v>0</v>
      </c>
      <c r="AX290" s="18">
        <v>14</v>
      </c>
      <c r="AY290" s="66" t="s">
        <v>30</v>
      </c>
      <c r="AZ290" s="12">
        <f>+'Form20 '!O291</f>
        <v>1</v>
      </c>
      <c r="BA290" s="75">
        <f t="shared" si="9"/>
        <v>415</v>
      </c>
    </row>
    <row r="291" spans="1:53" s="67" customFormat="1" ht="59.25" customHeight="1">
      <c r="A291" s="18">
        <v>333</v>
      </c>
      <c r="B291" s="59">
        <v>285</v>
      </c>
      <c r="C291" s="76" t="s">
        <v>358</v>
      </c>
      <c r="D291" s="61">
        <v>714</v>
      </c>
      <c r="E291" s="61">
        <v>206</v>
      </c>
      <c r="F291" s="61">
        <v>240</v>
      </c>
      <c r="G291" s="55">
        <v>0</v>
      </c>
      <c r="H291" s="62">
        <f t="shared" si="8"/>
        <v>446</v>
      </c>
      <c r="I291" s="55">
        <v>360</v>
      </c>
      <c r="J291" s="29">
        <v>0</v>
      </c>
      <c r="K291" s="18">
        <v>1</v>
      </c>
      <c r="L291" s="63" t="s">
        <v>29</v>
      </c>
      <c r="M291" s="12">
        <f>+'Form20 '!B292</f>
        <v>178</v>
      </c>
      <c r="N291" s="18">
        <v>2</v>
      </c>
      <c r="O291" s="58" t="s">
        <v>24</v>
      </c>
      <c r="P291" s="12">
        <f>+'Form20 '!C292</f>
        <v>54</v>
      </c>
      <c r="Q291" s="18">
        <v>3</v>
      </c>
      <c r="R291" s="63" t="s">
        <v>28</v>
      </c>
      <c r="S291" s="12">
        <f>+'Form20 '!D292</f>
        <v>194</v>
      </c>
      <c r="T291" s="18">
        <v>4</v>
      </c>
      <c r="U291" s="64" t="s">
        <v>65</v>
      </c>
      <c r="V291" s="12">
        <f>+'Form20 '!E292</f>
        <v>0</v>
      </c>
      <c r="W291" s="18">
        <v>5</v>
      </c>
      <c r="X291" s="58" t="s">
        <v>66</v>
      </c>
      <c r="Y291" s="12">
        <f>+'Form20 '!F292</f>
        <v>0</v>
      </c>
      <c r="Z291" s="18">
        <v>6</v>
      </c>
      <c r="AA291" s="64" t="s">
        <v>67</v>
      </c>
      <c r="AB291" s="12">
        <f>+'Form20 '!G292</f>
        <v>0</v>
      </c>
      <c r="AC291" s="18">
        <v>7</v>
      </c>
      <c r="AD291" s="63" t="s">
        <v>68</v>
      </c>
      <c r="AE291" s="12">
        <f>+'Form20 '!H292</f>
        <v>0</v>
      </c>
      <c r="AF291" s="18">
        <v>8</v>
      </c>
      <c r="AG291" s="63" t="s">
        <v>69</v>
      </c>
      <c r="AH291" s="12">
        <f>+'Form20 '!I292</f>
        <v>5</v>
      </c>
      <c r="AI291" s="18">
        <v>9</v>
      </c>
      <c r="AJ291" s="65" t="s">
        <v>70</v>
      </c>
      <c r="AK291" s="12">
        <f>+'Form20 '!J292</f>
        <v>1</v>
      </c>
      <c r="AL291" s="18">
        <v>10</v>
      </c>
      <c r="AM291" s="66" t="s">
        <v>30</v>
      </c>
      <c r="AN291" s="12">
        <f>+'Form20 '!K292</f>
        <v>1</v>
      </c>
      <c r="AO291" s="18">
        <v>11</v>
      </c>
      <c r="AP291" s="66" t="s">
        <v>30</v>
      </c>
      <c r="AQ291" s="12">
        <f>+'Form20 '!L292</f>
        <v>1</v>
      </c>
      <c r="AR291" s="18">
        <v>12</v>
      </c>
      <c r="AS291" s="66" t="s">
        <v>30</v>
      </c>
      <c r="AT291" s="12">
        <f>+'Form20 '!M292</f>
        <v>1</v>
      </c>
      <c r="AU291" s="18">
        <v>13</v>
      </c>
      <c r="AV291" s="66" t="s">
        <v>30</v>
      </c>
      <c r="AW291" s="12">
        <f>+'Form20 '!N292</f>
        <v>3</v>
      </c>
      <c r="AX291" s="18">
        <v>14</v>
      </c>
      <c r="AY291" s="66" t="s">
        <v>30</v>
      </c>
      <c r="AZ291" s="12">
        <f>+'Form20 '!O292</f>
        <v>1</v>
      </c>
      <c r="BA291" s="75">
        <f t="shared" si="9"/>
        <v>439</v>
      </c>
    </row>
    <row r="292" spans="1:53" s="67" customFormat="1" ht="59.25" customHeight="1">
      <c r="A292" s="18">
        <v>333</v>
      </c>
      <c r="B292" s="59">
        <v>286</v>
      </c>
      <c r="C292" s="76" t="s">
        <v>359</v>
      </c>
      <c r="D292" s="61">
        <v>721</v>
      </c>
      <c r="E292" s="61">
        <v>228</v>
      </c>
      <c r="F292" s="61">
        <v>238</v>
      </c>
      <c r="G292" s="55">
        <v>0</v>
      </c>
      <c r="H292" s="62">
        <f t="shared" si="8"/>
        <v>466</v>
      </c>
      <c r="I292" s="55">
        <v>25</v>
      </c>
      <c r="J292" s="29">
        <v>0</v>
      </c>
      <c r="K292" s="18">
        <v>1</v>
      </c>
      <c r="L292" s="63" t="s">
        <v>29</v>
      </c>
      <c r="M292" s="12">
        <f>+'Form20 '!B293</f>
        <v>134</v>
      </c>
      <c r="N292" s="18">
        <v>2</v>
      </c>
      <c r="O292" s="58" t="s">
        <v>24</v>
      </c>
      <c r="P292" s="12">
        <f>+'Form20 '!C293</f>
        <v>47</v>
      </c>
      <c r="Q292" s="18">
        <v>3</v>
      </c>
      <c r="R292" s="63" t="s">
        <v>28</v>
      </c>
      <c r="S292" s="12">
        <f>+'Form20 '!D293</f>
        <v>265</v>
      </c>
      <c r="T292" s="18">
        <v>4</v>
      </c>
      <c r="U292" s="64" t="s">
        <v>65</v>
      </c>
      <c r="V292" s="12">
        <f>+'Form20 '!E293</f>
        <v>2</v>
      </c>
      <c r="W292" s="18">
        <v>5</v>
      </c>
      <c r="X292" s="58" t="s">
        <v>66</v>
      </c>
      <c r="Y292" s="12">
        <f>+'Form20 '!F293</f>
        <v>0</v>
      </c>
      <c r="Z292" s="18">
        <v>6</v>
      </c>
      <c r="AA292" s="64" t="s">
        <v>67</v>
      </c>
      <c r="AB292" s="12">
        <f>+'Form20 '!G293</f>
        <v>0</v>
      </c>
      <c r="AC292" s="18">
        <v>7</v>
      </c>
      <c r="AD292" s="63" t="s">
        <v>68</v>
      </c>
      <c r="AE292" s="12">
        <f>+'Form20 '!H293</f>
        <v>1</v>
      </c>
      <c r="AF292" s="18">
        <v>8</v>
      </c>
      <c r="AG292" s="63" t="s">
        <v>69</v>
      </c>
      <c r="AH292" s="12">
        <f>+'Form20 '!I293</f>
        <v>4</v>
      </c>
      <c r="AI292" s="18">
        <v>9</v>
      </c>
      <c r="AJ292" s="65" t="s">
        <v>70</v>
      </c>
      <c r="AK292" s="12">
        <f>+'Form20 '!J293</f>
        <v>1</v>
      </c>
      <c r="AL292" s="18">
        <v>10</v>
      </c>
      <c r="AM292" s="66" t="s">
        <v>30</v>
      </c>
      <c r="AN292" s="12">
        <f>+'Form20 '!K293</f>
        <v>1</v>
      </c>
      <c r="AO292" s="18">
        <v>11</v>
      </c>
      <c r="AP292" s="66" t="s">
        <v>30</v>
      </c>
      <c r="AQ292" s="12">
        <f>+'Form20 '!L293</f>
        <v>2</v>
      </c>
      <c r="AR292" s="18">
        <v>12</v>
      </c>
      <c r="AS292" s="66" t="s">
        <v>30</v>
      </c>
      <c r="AT292" s="12">
        <f>+'Form20 '!M293</f>
        <v>1</v>
      </c>
      <c r="AU292" s="18">
        <v>13</v>
      </c>
      <c r="AV292" s="66" t="s">
        <v>30</v>
      </c>
      <c r="AW292" s="12">
        <f>+'Form20 '!N293</f>
        <v>3</v>
      </c>
      <c r="AX292" s="18">
        <v>14</v>
      </c>
      <c r="AY292" s="66" t="s">
        <v>30</v>
      </c>
      <c r="AZ292" s="12">
        <f>+'Form20 '!O293</f>
        <v>0</v>
      </c>
      <c r="BA292" s="75">
        <f t="shared" si="9"/>
        <v>461</v>
      </c>
    </row>
    <row r="293" spans="1:53" s="67" customFormat="1" ht="59.25" customHeight="1">
      <c r="A293" s="18">
        <v>333</v>
      </c>
      <c r="B293" s="59">
        <v>287</v>
      </c>
      <c r="C293" s="76" t="s">
        <v>360</v>
      </c>
      <c r="D293" s="61">
        <v>594</v>
      </c>
      <c r="E293" s="61">
        <v>209</v>
      </c>
      <c r="F293" s="61">
        <v>229</v>
      </c>
      <c r="G293" s="55">
        <v>0</v>
      </c>
      <c r="H293" s="62">
        <f t="shared" si="8"/>
        <v>438</v>
      </c>
      <c r="I293" s="55">
        <v>303</v>
      </c>
      <c r="J293" s="29">
        <v>0</v>
      </c>
      <c r="K293" s="18">
        <v>1</v>
      </c>
      <c r="L293" s="63" t="s">
        <v>29</v>
      </c>
      <c r="M293" s="12">
        <f>+'Form20 '!B294</f>
        <v>180</v>
      </c>
      <c r="N293" s="18">
        <v>2</v>
      </c>
      <c r="O293" s="58" t="s">
        <v>24</v>
      </c>
      <c r="P293" s="12">
        <f>+'Form20 '!C294</f>
        <v>30</v>
      </c>
      <c r="Q293" s="18">
        <v>3</v>
      </c>
      <c r="R293" s="63" t="s">
        <v>28</v>
      </c>
      <c r="S293" s="12">
        <f>+'Form20 '!D294</f>
        <v>214</v>
      </c>
      <c r="T293" s="18">
        <v>4</v>
      </c>
      <c r="U293" s="64" t="s">
        <v>65</v>
      </c>
      <c r="V293" s="12">
        <f>+'Form20 '!E294</f>
        <v>2</v>
      </c>
      <c r="W293" s="18">
        <v>5</v>
      </c>
      <c r="X293" s="58" t="s">
        <v>66</v>
      </c>
      <c r="Y293" s="12">
        <f>+'Form20 '!F294</f>
        <v>0</v>
      </c>
      <c r="Z293" s="18">
        <v>6</v>
      </c>
      <c r="AA293" s="64" t="s">
        <v>67</v>
      </c>
      <c r="AB293" s="12">
        <f>+'Form20 '!G294</f>
        <v>1</v>
      </c>
      <c r="AC293" s="18">
        <v>7</v>
      </c>
      <c r="AD293" s="63" t="s">
        <v>68</v>
      </c>
      <c r="AE293" s="12">
        <f>+'Form20 '!H294</f>
        <v>0</v>
      </c>
      <c r="AF293" s="18">
        <v>8</v>
      </c>
      <c r="AG293" s="63" t="s">
        <v>69</v>
      </c>
      <c r="AH293" s="12">
        <f>+'Form20 '!I294</f>
        <v>0</v>
      </c>
      <c r="AI293" s="18">
        <v>9</v>
      </c>
      <c r="AJ293" s="65" t="s">
        <v>70</v>
      </c>
      <c r="AK293" s="12">
        <f>+'Form20 '!J294</f>
        <v>2</v>
      </c>
      <c r="AL293" s="18">
        <v>10</v>
      </c>
      <c r="AM293" s="66" t="s">
        <v>30</v>
      </c>
      <c r="AN293" s="12">
        <f>+'Form20 '!K294</f>
        <v>0</v>
      </c>
      <c r="AO293" s="18">
        <v>11</v>
      </c>
      <c r="AP293" s="66" t="s">
        <v>30</v>
      </c>
      <c r="AQ293" s="12">
        <f>+'Form20 '!L294</f>
        <v>1</v>
      </c>
      <c r="AR293" s="18">
        <v>12</v>
      </c>
      <c r="AS293" s="66" t="s">
        <v>30</v>
      </c>
      <c r="AT293" s="12">
        <f>+'Form20 '!M294</f>
        <v>1</v>
      </c>
      <c r="AU293" s="18">
        <v>13</v>
      </c>
      <c r="AV293" s="66" t="s">
        <v>30</v>
      </c>
      <c r="AW293" s="12">
        <f>+'Form20 '!N294</f>
        <v>1</v>
      </c>
      <c r="AX293" s="18">
        <v>14</v>
      </c>
      <c r="AY293" s="66" t="s">
        <v>30</v>
      </c>
      <c r="AZ293" s="12">
        <f>+'Form20 '!O294</f>
        <v>3</v>
      </c>
      <c r="BA293" s="75">
        <f t="shared" si="9"/>
        <v>435</v>
      </c>
    </row>
    <row r="294" spans="1:53" s="67" customFormat="1" ht="59.25" customHeight="1">
      <c r="A294" s="18">
        <v>333</v>
      </c>
      <c r="B294" s="59">
        <v>288</v>
      </c>
      <c r="C294" s="76" t="s">
        <v>361</v>
      </c>
      <c r="D294" s="61">
        <v>613</v>
      </c>
      <c r="E294" s="61">
        <v>178</v>
      </c>
      <c r="F294" s="61">
        <v>219</v>
      </c>
      <c r="G294" s="55">
        <v>0</v>
      </c>
      <c r="H294" s="62">
        <f t="shared" si="8"/>
        <v>397</v>
      </c>
      <c r="I294" s="55">
        <v>40</v>
      </c>
      <c r="J294" s="29">
        <v>0</v>
      </c>
      <c r="K294" s="18">
        <v>1</v>
      </c>
      <c r="L294" s="63" t="s">
        <v>29</v>
      </c>
      <c r="M294" s="12">
        <f>+'Form20 '!B295</f>
        <v>242</v>
      </c>
      <c r="N294" s="18">
        <v>2</v>
      </c>
      <c r="O294" s="58" t="s">
        <v>24</v>
      </c>
      <c r="P294" s="12">
        <f>+'Form20 '!C295</f>
        <v>26</v>
      </c>
      <c r="Q294" s="18">
        <v>3</v>
      </c>
      <c r="R294" s="63" t="s">
        <v>28</v>
      </c>
      <c r="S294" s="12">
        <f>+'Form20 '!D295</f>
        <v>123</v>
      </c>
      <c r="T294" s="18">
        <v>4</v>
      </c>
      <c r="U294" s="64" t="s">
        <v>65</v>
      </c>
      <c r="V294" s="12">
        <f>+'Form20 '!E295</f>
        <v>4</v>
      </c>
      <c r="W294" s="18">
        <v>5</v>
      </c>
      <c r="X294" s="58" t="s">
        <v>66</v>
      </c>
      <c r="Y294" s="12">
        <f>+'Form20 '!F295</f>
        <v>0</v>
      </c>
      <c r="Z294" s="18">
        <v>6</v>
      </c>
      <c r="AA294" s="64" t="s">
        <v>67</v>
      </c>
      <c r="AB294" s="12">
        <f>+'Form20 '!G295</f>
        <v>0</v>
      </c>
      <c r="AC294" s="18">
        <v>7</v>
      </c>
      <c r="AD294" s="63" t="s">
        <v>68</v>
      </c>
      <c r="AE294" s="12">
        <f>+'Form20 '!H295</f>
        <v>0</v>
      </c>
      <c r="AF294" s="18">
        <v>8</v>
      </c>
      <c r="AG294" s="63" t="s">
        <v>69</v>
      </c>
      <c r="AH294" s="12">
        <f>+'Form20 '!I295</f>
        <v>0</v>
      </c>
      <c r="AI294" s="18">
        <v>9</v>
      </c>
      <c r="AJ294" s="65" t="s">
        <v>70</v>
      </c>
      <c r="AK294" s="12">
        <f>+'Form20 '!J295</f>
        <v>1</v>
      </c>
      <c r="AL294" s="18">
        <v>10</v>
      </c>
      <c r="AM294" s="66" t="s">
        <v>30</v>
      </c>
      <c r="AN294" s="12">
        <f>+'Form20 '!K295</f>
        <v>0</v>
      </c>
      <c r="AO294" s="18">
        <v>11</v>
      </c>
      <c r="AP294" s="66" t="s">
        <v>30</v>
      </c>
      <c r="AQ294" s="12">
        <f>+'Form20 '!L295</f>
        <v>1</v>
      </c>
      <c r="AR294" s="18">
        <v>12</v>
      </c>
      <c r="AS294" s="66" t="s">
        <v>30</v>
      </c>
      <c r="AT294" s="12">
        <f>+'Form20 '!M295</f>
        <v>0</v>
      </c>
      <c r="AU294" s="18">
        <v>13</v>
      </c>
      <c r="AV294" s="66" t="s">
        <v>30</v>
      </c>
      <c r="AW294" s="12">
        <f>+'Form20 '!N295</f>
        <v>0</v>
      </c>
      <c r="AX294" s="18">
        <v>14</v>
      </c>
      <c r="AY294" s="66" t="s">
        <v>30</v>
      </c>
      <c r="AZ294" s="12">
        <f>+'Form20 '!O295</f>
        <v>0</v>
      </c>
      <c r="BA294" s="75">
        <f t="shared" si="9"/>
        <v>397</v>
      </c>
    </row>
    <row r="295" spans="1:53" s="67" customFormat="1" ht="59.25" customHeight="1">
      <c r="A295" s="18">
        <v>333</v>
      </c>
      <c r="B295" s="59">
        <v>289</v>
      </c>
      <c r="C295" s="76" t="s">
        <v>362</v>
      </c>
      <c r="D295" s="61">
        <v>898</v>
      </c>
      <c r="E295" s="61">
        <v>258</v>
      </c>
      <c r="F295" s="61">
        <v>277</v>
      </c>
      <c r="G295" s="55">
        <v>0</v>
      </c>
      <c r="H295" s="62">
        <f t="shared" si="8"/>
        <v>535</v>
      </c>
      <c r="I295" s="55">
        <v>135</v>
      </c>
      <c r="J295" s="29">
        <v>0</v>
      </c>
      <c r="K295" s="18">
        <v>1</v>
      </c>
      <c r="L295" s="63" t="s">
        <v>29</v>
      </c>
      <c r="M295" s="12">
        <f>+'Form20 '!B296</f>
        <v>363</v>
      </c>
      <c r="N295" s="18">
        <v>2</v>
      </c>
      <c r="O295" s="58" t="s">
        <v>24</v>
      </c>
      <c r="P295" s="12">
        <f>+'Form20 '!C296</f>
        <v>36</v>
      </c>
      <c r="Q295" s="18">
        <v>3</v>
      </c>
      <c r="R295" s="63" t="s">
        <v>28</v>
      </c>
      <c r="S295" s="12">
        <f>+'Form20 '!D296</f>
        <v>115</v>
      </c>
      <c r="T295" s="18">
        <v>4</v>
      </c>
      <c r="U295" s="64" t="s">
        <v>65</v>
      </c>
      <c r="V295" s="12">
        <f>+'Form20 '!E296</f>
        <v>3</v>
      </c>
      <c r="W295" s="18">
        <v>5</v>
      </c>
      <c r="X295" s="58" t="s">
        <v>66</v>
      </c>
      <c r="Y295" s="12">
        <f>+'Form20 '!F296</f>
        <v>0</v>
      </c>
      <c r="Z295" s="18">
        <v>6</v>
      </c>
      <c r="AA295" s="64" t="s">
        <v>67</v>
      </c>
      <c r="AB295" s="12">
        <f>+'Form20 '!G296</f>
        <v>1</v>
      </c>
      <c r="AC295" s="18">
        <v>7</v>
      </c>
      <c r="AD295" s="63" t="s">
        <v>68</v>
      </c>
      <c r="AE295" s="12">
        <f>+'Form20 '!H296</f>
        <v>0</v>
      </c>
      <c r="AF295" s="18">
        <v>8</v>
      </c>
      <c r="AG295" s="63" t="s">
        <v>69</v>
      </c>
      <c r="AH295" s="12">
        <f>+'Form20 '!I296</f>
        <v>1</v>
      </c>
      <c r="AI295" s="18">
        <v>9</v>
      </c>
      <c r="AJ295" s="65" t="s">
        <v>70</v>
      </c>
      <c r="AK295" s="12">
        <f>+'Form20 '!J296</f>
        <v>4</v>
      </c>
      <c r="AL295" s="18">
        <v>10</v>
      </c>
      <c r="AM295" s="66" t="s">
        <v>30</v>
      </c>
      <c r="AN295" s="12">
        <f>+'Form20 '!K296</f>
        <v>0</v>
      </c>
      <c r="AO295" s="18">
        <v>11</v>
      </c>
      <c r="AP295" s="66" t="s">
        <v>30</v>
      </c>
      <c r="AQ295" s="12">
        <f>+'Form20 '!L296</f>
        <v>1</v>
      </c>
      <c r="AR295" s="18">
        <v>12</v>
      </c>
      <c r="AS295" s="66" t="s">
        <v>30</v>
      </c>
      <c r="AT295" s="12">
        <f>+'Form20 '!M296</f>
        <v>2</v>
      </c>
      <c r="AU295" s="18">
        <v>13</v>
      </c>
      <c r="AV295" s="66" t="s">
        <v>30</v>
      </c>
      <c r="AW295" s="12">
        <f>+'Form20 '!N296</f>
        <v>1</v>
      </c>
      <c r="AX295" s="18">
        <v>14</v>
      </c>
      <c r="AY295" s="66" t="s">
        <v>30</v>
      </c>
      <c r="AZ295" s="12">
        <f>+'Form20 '!O296</f>
        <v>1</v>
      </c>
      <c r="BA295" s="75">
        <f t="shared" si="9"/>
        <v>528</v>
      </c>
    </row>
    <row r="296" spans="1:53" s="67" customFormat="1" ht="59.25" customHeight="1">
      <c r="A296" s="18">
        <v>333</v>
      </c>
      <c r="B296" s="59">
        <v>290</v>
      </c>
      <c r="C296" s="76" t="s">
        <v>363</v>
      </c>
      <c r="D296" s="61">
        <v>787</v>
      </c>
      <c r="E296" s="61">
        <v>207</v>
      </c>
      <c r="F296" s="61">
        <v>261</v>
      </c>
      <c r="G296" s="55">
        <v>0</v>
      </c>
      <c r="H296" s="62">
        <f t="shared" si="8"/>
        <v>468</v>
      </c>
      <c r="I296" s="55">
        <v>18</v>
      </c>
      <c r="J296" s="29">
        <v>0</v>
      </c>
      <c r="K296" s="18">
        <v>1</v>
      </c>
      <c r="L296" s="63" t="s">
        <v>29</v>
      </c>
      <c r="M296" s="12">
        <f>+'Form20 '!B297</f>
        <v>173</v>
      </c>
      <c r="N296" s="18">
        <v>2</v>
      </c>
      <c r="O296" s="58" t="s">
        <v>24</v>
      </c>
      <c r="P296" s="12">
        <f>+'Form20 '!C297</f>
        <v>87</v>
      </c>
      <c r="Q296" s="18">
        <v>3</v>
      </c>
      <c r="R296" s="63" t="s">
        <v>28</v>
      </c>
      <c r="S296" s="12">
        <f>+'Form20 '!D297</f>
        <v>183</v>
      </c>
      <c r="T296" s="18">
        <v>4</v>
      </c>
      <c r="U296" s="64" t="s">
        <v>65</v>
      </c>
      <c r="V296" s="12">
        <f>+'Form20 '!E297</f>
        <v>3</v>
      </c>
      <c r="W296" s="18">
        <v>5</v>
      </c>
      <c r="X296" s="58" t="s">
        <v>66</v>
      </c>
      <c r="Y296" s="12">
        <f>+'Form20 '!F297</f>
        <v>0</v>
      </c>
      <c r="Z296" s="18">
        <v>6</v>
      </c>
      <c r="AA296" s="64" t="s">
        <v>67</v>
      </c>
      <c r="AB296" s="12">
        <f>+'Form20 '!G297</f>
        <v>0</v>
      </c>
      <c r="AC296" s="18">
        <v>7</v>
      </c>
      <c r="AD296" s="63" t="s">
        <v>68</v>
      </c>
      <c r="AE296" s="12">
        <f>+'Form20 '!H297</f>
        <v>0</v>
      </c>
      <c r="AF296" s="18">
        <v>8</v>
      </c>
      <c r="AG296" s="63" t="s">
        <v>69</v>
      </c>
      <c r="AH296" s="12">
        <f>+'Form20 '!I297</f>
        <v>0</v>
      </c>
      <c r="AI296" s="18">
        <v>9</v>
      </c>
      <c r="AJ296" s="65" t="s">
        <v>70</v>
      </c>
      <c r="AK296" s="12">
        <f>+'Form20 '!J297</f>
        <v>13</v>
      </c>
      <c r="AL296" s="18">
        <v>10</v>
      </c>
      <c r="AM296" s="66" t="s">
        <v>30</v>
      </c>
      <c r="AN296" s="12">
        <f>+'Form20 '!K297</f>
        <v>1</v>
      </c>
      <c r="AO296" s="18">
        <v>11</v>
      </c>
      <c r="AP296" s="66" t="s">
        <v>30</v>
      </c>
      <c r="AQ296" s="12">
        <f>+'Form20 '!L297</f>
        <v>0</v>
      </c>
      <c r="AR296" s="18">
        <v>12</v>
      </c>
      <c r="AS296" s="66" t="s">
        <v>30</v>
      </c>
      <c r="AT296" s="12">
        <f>+'Form20 '!M297</f>
        <v>2</v>
      </c>
      <c r="AU296" s="18">
        <v>13</v>
      </c>
      <c r="AV296" s="66" t="s">
        <v>30</v>
      </c>
      <c r="AW296" s="12">
        <f>+'Form20 '!N297</f>
        <v>1</v>
      </c>
      <c r="AX296" s="18">
        <v>14</v>
      </c>
      <c r="AY296" s="66" t="s">
        <v>30</v>
      </c>
      <c r="AZ296" s="12">
        <f>+'Form20 '!O297</f>
        <v>4</v>
      </c>
      <c r="BA296" s="75">
        <f t="shared" si="9"/>
        <v>467</v>
      </c>
    </row>
    <row r="297" spans="1:53" s="67" customFormat="1" ht="59.25" customHeight="1">
      <c r="A297" s="18">
        <v>333</v>
      </c>
      <c r="B297" s="59">
        <v>291</v>
      </c>
      <c r="C297" s="76" t="s">
        <v>364</v>
      </c>
      <c r="D297" s="61">
        <v>711</v>
      </c>
      <c r="E297" s="61">
        <v>172</v>
      </c>
      <c r="F297" s="61">
        <v>235</v>
      </c>
      <c r="G297" s="55">
        <v>0</v>
      </c>
      <c r="H297" s="62">
        <f t="shared" si="8"/>
        <v>407</v>
      </c>
      <c r="I297" s="55">
        <v>33</v>
      </c>
      <c r="J297" s="29">
        <v>0</v>
      </c>
      <c r="K297" s="18">
        <v>1</v>
      </c>
      <c r="L297" s="63" t="s">
        <v>29</v>
      </c>
      <c r="M297" s="12">
        <f>+'Form20 '!B298</f>
        <v>228</v>
      </c>
      <c r="N297" s="18">
        <v>2</v>
      </c>
      <c r="O297" s="58" t="s">
        <v>24</v>
      </c>
      <c r="P297" s="12">
        <f>+'Form20 '!C298</f>
        <v>21</v>
      </c>
      <c r="Q297" s="18">
        <v>3</v>
      </c>
      <c r="R297" s="63" t="s">
        <v>28</v>
      </c>
      <c r="S297" s="12">
        <f>+'Form20 '!D298</f>
        <v>144</v>
      </c>
      <c r="T297" s="18">
        <v>4</v>
      </c>
      <c r="U297" s="64" t="s">
        <v>65</v>
      </c>
      <c r="V297" s="12">
        <f>+'Form20 '!E298</f>
        <v>4</v>
      </c>
      <c r="W297" s="18">
        <v>5</v>
      </c>
      <c r="X297" s="58" t="s">
        <v>66</v>
      </c>
      <c r="Y297" s="12">
        <f>+'Form20 '!F298</f>
        <v>0</v>
      </c>
      <c r="Z297" s="18">
        <v>6</v>
      </c>
      <c r="AA297" s="64" t="s">
        <v>67</v>
      </c>
      <c r="AB297" s="12">
        <f>+'Form20 '!G298</f>
        <v>0</v>
      </c>
      <c r="AC297" s="18">
        <v>7</v>
      </c>
      <c r="AD297" s="63" t="s">
        <v>68</v>
      </c>
      <c r="AE297" s="12">
        <f>+'Form20 '!H298</f>
        <v>0</v>
      </c>
      <c r="AF297" s="18">
        <v>8</v>
      </c>
      <c r="AG297" s="63" t="s">
        <v>69</v>
      </c>
      <c r="AH297" s="12">
        <f>+'Form20 '!I298</f>
        <v>0</v>
      </c>
      <c r="AI297" s="18">
        <v>9</v>
      </c>
      <c r="AJ297" s="65" t="s">
        <v>70</v>
      </c>
      <c r="AK297" s="12">
        <f>+'Form20 '!J298</f>
        <v>0</v>
      </c>
      <c r="AL297" s="18">
        <v>10</v>
      </c>
      <c r="AM297" s="66" t="s">
        <v>30</v>
      </c>
      <c r="AN297" s="12">
        <f>+'Form20 '!K298</f>
        <v>2</v>
      </c>
      <c r="AO297" s="18">
        <v>11</v>
      </c>
      <c r="AP297" s="66" t="s">
        <v>30</v>
      </c>
      <c r="AQ297" s="12">
        <f>+'Form20 '!L298</f>
        <v>1</v>
      </c>
      <c r="AR297" s="18">
        <v>12</v>
      </c>
      <c r="AS297" s="66" t="s">
        <v>30</v>
      </c>
      <c r="AT297" s="12">
        <f>+'Form20 '!M298</f>
        <v>3</v>
      </c>
      <c r="AU297" s="18">
        <v>13</v>
      </c>
      <c r="AV297" s="66" t="s">
        <v>30</v>
      </c>
      <c r="AW297" s="12">
        <f>+'Form20 '!N298</f>
        <v>0</v>
      </c>
      <c r="AX297" s="18">
        <v>14</v>
      </c>
      <c r="AY297" s="66" t="s">
        <v>30</v>
      </c>
      <c r="AZ297" s="12">
        <f>+'Form20 '!O298</f>
        <v>1</v>
      </c>
      <c r="BA297" s="75">
        <f t="shared" si="9"/>
        <v>404</v>
      </c>
    </row>
    <row r="298" spans="1:53" s="67" customFormat="1" ht="59.25" customHeight="1">
      <c r="A298" s="18">
        <v>333</v>
      </c>
      <c r="B298" s="59">
        <v>292</v>
      </c>
      <c r="C298" s="76" t="s">
        <v>365</v>
      </c>
      <c r="D298" s="61">
        <v>1215</v>
      </c>
      <c r="E298" s="61">
        <v>375</v>
      </c>
      <c r="F298" s="61">
        <v>433</v>
      </c>
      <c r="G298" s="55">
        <v>0</v>
      </c>
      <c r="H298" s="62">
        <f t="shared" si="8"/>
        <v>808</v>
      </c>
      <c r="I298" s="55">
        <v>57</v>
      </c>
      <c r="J298" s="29">
        <v>0</v>
      </c>
      <c r="K298" s="18">
        <v>1</v>
      </c>
      <c r="L298" s="63" t="s">
        <v>29</v>
      </c>
      <c r="M298" s="12">
        <f>+'Form20 '!B299</f>
        <v>516</v>
      </c>
      <c r="N298" s="18">
        <v>2</v>
      </c>
      <c r="O298" s="58" t="s">
        <v>24</v>
      </c>
      <c r="P298" s="12">
        <f>+'Form20 '!C299</f>
        <v>31</v>
      </c>
      <c r="Q298" s="18">
        <v>3</v>
      </c>
      <c r="R298" s="63" t="s">
        <v>28</v>
      </c>
      <c r="S298" s="12">
        <f>+'Form20 '!D299</f>
        <v>225</v>
      </c>
      <c r="T298" s="18">
        <v>4</v>
      </c>
      <c r="U298" s="64" t="s">
        <v>65</v>
      </c>
      <c r="V298" s="12">
        <f>+'Form20 '!E299</f>
        <v>26</v>
      </c>
      <c r="W298" s="18">
        <v>5</v>
      </c>
      <c r="X298" s="58" t="s">
        <v>66</v>
      </c>
      <c r="Y298" s="12">
        <f>+'Form20 '!F299</f>
        <v>0</v>
      </c>
      <c r="Z298" s="18">
        <v>6</v>
      </c>
      <c r="AA298" s="64" t="s">
        <v>67</v>
      </c>
      <c r="AB298" s="12">
        <f>+'Form20 '!G299</f>
        <v>0</v>
      </c>
      <c r="AC298" s="18">
        <v>7</v>
      </c>
      <c r="AD298" s="63" t="s">
        <v>68</v>
      </c>
      <c r="AE298" s="12">
        <f>+'Form20 '!H299</f>
        <v>0</v>
      </c>
      <c r="AF298" s="18">
        <v>8</v>
      </c>
      <c r="AG298" s="63" t="s">
        <v>69</v>
      </c>
      <c r="AH298" s="12">
        <f>+'Form20 '!I299</f>
        <v>0</v>
      </c>
      <c r="AI298" s="18">
        <v>9</v>
      </c>
      <c r="AJ298" s="65" t="s">
        <v>70</v>
      </c>
      <c r="AK298" s="12">
        <f>+'Form20 '!J299</f>
        <v>1</v>
      </c>
      <c r="AL298" s="18">
        <v>10</v>
      </c>
      <c r="AM298" s="66" t="s">
        <v>30</v>
      </c>
      <c r="AN298" s="12">
        <f>+'Form20 '!K299</f>
        <v>1</v>
      </c>
      <c r="AO298" s="18">
        <v>11</v>
      </c>
      <c r="AP298" s="66" t="s">
        <v>30</v>
      </c>
      <c r="AQ298" s="12">
        <f>+'Form20 '!L299</f>
        <v>1</v>
      </c>
      <c r="AR298" s="18">
        <v>12</v>
      </c>
      <c r="AS298" s="66" t="s">
        <v>30</v>
      </c>
      <c r="AT298" s="12">
        <f>+'Form20 '!M299</f>
        <v>2</v>
      </c>
      <c r="AU298" s="18">
        <v>13</v>
      </c>
      <c r="AV298" s="66" t="s">
        <v>30</v>
      </c>
      <c r="AW298" s="12">
        <f>+'Form20 '!N299</f>
        <v>0</v>
      </c>
      <c r="AX298" s="18">
        <v>14</v>
      </c>
      <c r="AY298" s="66" t="s">
        <v>30</v>
      </c>
      <c r="AZ298" s="12">
        <f>+'Form20 '!O299</f>
        <v>0</v>
      </c>
      <c r="BA298" s="75">
        <f t="shared" si="9"/>
        <v>803</v>
      </c>
    </row>
    <row r="299" spans="1:53" s="67" customFormat="1" ht="59.25" customHeight="1">
      <c r="A299" s="18">
        <v>333</v>
      </c>
      <c r="B299" s="59">
        <v>293</v>
      </c>
      <c r="C299" s="76" t="s">
        <v>366</v>
      </c>
      <c r="D299" s="61">
        <v>1129</v>
      </c>
      <c r="E299" s="61">
        <v>316</v>
      </c>
      <c r="F299" s="61">
        <v>357</v>
      </c>
      <c r="G299" s="55">
        <v>0</v>
      </c>
      <c r="H299" s="62">
        <f t="shared" si="8"/>
        <v>673</v>
      </c>
      <c r="I299" s="55">
        <v>173</v>
      </c>
      <c r="J299" s="29">
        <v>0</v>
      </c>
      <c r="K299" s="18">
        <v>1</v>
      </c>
      <c r="L299" s="63" t="s">
        <v>29</v>
      </c>
      <c r="M299" s="12">
        <f>+'Form20 '!B300</f>
        <v>353</v>
      </c>
      <c r="N299" s="18">
        <v>2</v>
      </c>
      <c r="O299" s="58" t="s">
        <v>24</v>
      </c>
      <c r="P299" s="12">
        <f>+'Form20 '!C300</f>
        <v>75</v>
      </c>
      <c r="Q299" s="18">
        <v>3</v>
      </c>
      <c r="R299" s="63" t="s">
        <v>28</v>
      </c>
      <c r="S299" s="12">
        <f>+'Form20 '!D300</f>
        <v>213</v>
      </c>
      <c r="T299" s="18">
        <v>4</v>
      </c>
      <c r="U299" s="64" t="s">
        <v>65</v>
      </c>
      <c r="V299" s="12">
        <f>+'Form20 '!E300</f>
        <v>19</v>
      </c>
      <c r="W299" s="18">
        <v>5</v>
      </c>
      <c r="X299" s="58" t="s">
        <v>66</v>
      </c>
      <c r="Y299" s="12">
        <f>+'Form20 '!F300</f>
        <v>1</v>
      </c>
      <c r="Z299" s="18">
        <v>6</v>
      </c>
      <c r="AA299" s="64" t="s">
        <v>67</v>
      </c>
      <c r="AB299" s="12">
        <f>+'Form20 '!G300</f>
        <v>0</v>
      </c>
      <c r="AC299" s="18">
        <v>7</v>
      </c>
      <c r="AD299" s="63" t="s">
        <v>68</v>
      </c>
      <c r="AE299" s="12">
        <f>+'Form20 '!H300</f>
        <v>1</v>
      </c>
      <c r="AF299" s="18">
        <v>8</v>
      </c>
      <c r="AG299" s="63" t="s">
        <v>69</v>
      </c>
      <c r="AH299" s="12">
        <f>+'Form20 '!I300</f>
        <v>0</v>
      </c>
      <c r="AI299" s="18">
        <v>9</v>
      </c>
      <c r="AJ299" s="65" t="s">
        <v>70</v>
      </c>
      <c r="AK299" s="12">
        <f>+'Form20 '!J300</f>
        <v>1</v>
      </c>
      <c r="AL299" s="18">
        <v>10</v>
      </c>
      <c r="AM299" s="66" t="s">
        <v>30</v>
      </c>
      <c r="AN299" s="12">
        <f>+'Form20 '!K300</f>
        <v>1</v>
      </c>
      <c r="AO299" s="18">
        <v>11</v>
      </c>
      <c r="AP299" s="66" t="s">
        <v>30</v>
      </c>
      <c r="AQ299" s="12">
        <f>+'Form20 '!L300</f>
        <v>1</v>
      </c>
      <c r="AR299" s="18">
        <v>12</v>
      </c>
      <c r="AS299" s="66" t="s">
        <v>30</v>
      </c>
      <c r="AT299" s="12">
        <f>+'Form20 '!M300</f>
        <v>2</v>
      </c>
      <c r="AU299" s="18">
        <v>13</v>
      </c>
      <c r="AV299" s="66" t="s">
        <v>30</v>
      </c>
      <c r="AW299" s="12">
        <f>+'Form20 '!N300</f>
        <v>1</v>
      </c>
      <c r="AX299" s="18">
        <v>14</v>
      </c>
      <c r="AY299" s="66" t="s">
        <v>30</v>
      </c>
      <c r="AZ299" s="12">
        <f>+'Form20 '!O300</f>
        <v>3</v>
      </c>
      <c r="BA299" s="75">
        <f t="shared" si="9"/>
        <v>671</v>
      </c>
    </row>
    <row r="300" spans="1:53" s="67" customFormat="1" ht="59.25" customHeight="1">
      <c r="A300" s="18">
        <v>333</v>
      </c>
      <c r="B300" s="59">
        <v>294</v>
      </c>
      <c r="C300" s="76" t="s">
        <v>367</v>
      </c>
      <c r="D300" s="61">
        <v>923</v>
      </c>
      <c r="E300" s="61">
        <v>244</v>
      </c>
      <c r="F300" s="61">
        <v>274</v>
      </c>
      <c r="G300" s="55">
        <v>0</v>
      </c>
      <c r="H300" s="62">
        <f t="shared" si="8"/>
        <v>518</v>
      </c>
      <c r="I300" s="55">
        <v>56</v>
      </c>
      <c r="J300" s="29">
        <v>0</v>
      </c>
      <c r="K300" s="18">
        <v>1</v>
      </c>
      <c r="L300" s="63" t="s">
        <v>29</v>
      </c>
      <c r="M300" s="12">
        <f>+'Form20 '!B301</f>
        <v>149</v>
      </c>
      <c r="N300" s="18">
        <v>2</v>
      </c>
      <c r="O300" s="58" t="s">
        <v>24</v>
      </c>
      <c r="P300" s="12">
        <f>+'Form20 '!C301</f>
        <v>56</v>
      </c>
      <c r="Q300" s="18">
        <v>3</v>
      </c>
      <c r="R300" s="63" t="s">
        <v>28</v>
      </c>
      <c r="S300" s="12">
        <f>+'Form20 '!D301</f>
        <v>302</v>
      </c>
      <c r="T300" s="18">
        <v>4</v>
      </c>
      <c r="U300" s="64" t="s">
        <v>65</v>
      </c>
      <c r="V300" s="12">
        <f>+'Form20 '!E301</f>
        <v>0</v>
      </c>
      <c r="W300" s="18">
        <v>5</v>
      </c>
      <c r="X300" s="58" t="s">
        <v>66</v>
      </c>
      <c r="Y300" s="12">
        <f>+'Form20 '!F301</f>
        <v>0</v>
      </c>
      <c r="Z300" s="18">
        <v>6</v>
      </c>
      <c r="AA300" s="64" t="s">
        <v>67</v>
      </c>
      <c r="AB300" s="12">
        <f>+'Form20 '!G301</f>
        <v>0</v>
      </c>
      <c r="AC300" s="18">
        <v>7</v>
      </c>
      <c r="AD300" s="63" t="s">
        <v>68</v>
      </c>
      <c r="AE300" s="12">
        <f>+'Form20 '!H301</f>
        <v>0</v>
      </c>
      <c r="AF300" s="18">
        <v>8</v>
      </c>
      <c r="AG300" s="63" t="s">
        <v>69</v>
      </c>
      <c r="AH300" s="12">
        <f>+'Form20 '!I301</f>
        <v>0</v>
      </c>
      <c r="AI300" s="18">
        <v>9</v>
      </c>
      <c r="AJ300" s="65" t="s">
        <v>70</v>
      </c>
      <c r="AK300" s="12">
        <f>+'Form20 '!J301</f>
        <v>4</v>
      </c>
      <c r="AL300" s="18">
        <v>10</v>
      </c>
      <c r="AM300" s="66" t="s">
        <v>30</v>
      </c>
      <c r="AN300" s="12">
        <f>+'Form20 '!K301</f>
        <v>0</v>
      </c>
      <c r="AO300" s="18">
        <v>11</v>
      </c>
      <c r="AP300" s="66" t="s">
        <v>30</v>
      </c>
      <c r="AQ300" s="12">
        <f>+'Form20 '!L301</f>
        <v>0</v>
      </c>
      <c r="AR300" s="18">
        <v>12</v>
      </c>
      <c r="AS300" s="66" t="s">
        <v>30</v>
      </c>
      <c r="AT300" s="12">
        <f>+'Form20 '!M301</f>
        <v>3</v>
      </c>
      <c r="AU300" s="18">
        <v>13</v>
      </c>
      <c r="AV300" s="66" t="s">
        <v>30</v>
      </c>
      <c r="AW300" s="12">
        <f>+'Form20 '!N301</f>
        <v>1</v>
      </c>
      <c r="AX300" s="18">
        <v>14</v>
      </c>
      <c r="AY300" s="66" t="s">
        <v>30</v>
      </c>
      <c r="AZ300" s="12">
        <f>+'Form20 '!O301</f>
        <v>0</v>
      </c>
      <c r="BA300" s="75">
        <f t="shared" si="9"/>
        <v>515</v>
      </c>
    </row>
    <row r="301" spans="1:53" s="67" customFormat="1" ht="59.25" customHeight="1">
      <c r="A301" s="18">
        <v>333</v>
      </c>
      <c r="B301" s="59">
        <v>295</v>
      </c>
      <c r="C301" s="76" t="s">
        <v>368</v>
      </c>
      <c r="D301" s="61">
        <v>861</v>
      </c>
      <c r="E301" s="61">
        <v>247</v>
      </c>
      <c r="F301" s="61">
        <v>280</v>
      </c>
      <c r="G301" s="55">
        <v>0</v>
      </c>
      <c r="H301" s="62">
        <f t="shared" si="8"/>
        <v>527</v>
      </c>
      <c r="I301" s="55">
        <v>44</v>
      </c>
      <c r="J301" s="29">
        <v>0</v>
      </c>
      <c r="K301" s="18">
        <v>1</v>
      </c>
      <c r="L301" s="63" t="s">
        <v>29</v>
      </c>
      <c r="M301" s="12">
        <f>+'Form20 '!B302</f>
        <v>296</v>
      </c>
      <c r="N301" s="18">
        <v>2</v>
      </c>
      <c r="O301" s="58" t="s">
        <v>24</v>
      </c>
      <c r="P301" s="12">
        <f>+'Form20 '!C302</f>
        <v>51</v>
      </c>
      <c r="Q301" s="18">
        <v>3</v>
      </c>
      <c r="R301" s="63" t="s">
        <v>28</v>
      </c>
      <c r="S301" s="12">
        <f>+'Form20 '!D302</f>
        <v>143</v>
      </c>
      <c r="T301" s="18">
        <v>4</v>
      </c>
      <c r="U301" s="64" t="s">
        <v>65</v>
      </c>
      <c r="V301" s="12">
        <f>+'Form20 '!E302</f>
        <v>20</v>
      </c>
      <c r="W301" s="18">
        <v>5</v>
      </c>
      <c r="X301" s="58" t="s">
        <v>66</v>
      </c>
      <c r="Y301" s="12">
        <f>+'Form20 '!F302</f>
        <v>1</v>
      </c>
      <c r="Z301" s="18">
        <v>6</v>
      </c>
      <c r="AA301" s="64" t="s">
        <v>67</v>
      </c>
      <c r="AB301" s="12">
        <f>+'Form20 '!G302</f>
        <v>0</v>
      </c>
      <c r="AC301" s="18">
        <v>7</v>
      </c>
      <c r="AD301" s="63" t="s">
        <v>68</v>
      </c>
      <c r="AE301" s="12">
        <f>+'Form20 '!H302</f>
        <v>0</v>
      </c>
      <c r="AF301" s="18">
        <v>8</v>
      </c>
      <c r="AG301" s="63" t="s">
        <v>69</v>
      </c>
      <c r="AH301" s="12">
        <f>+'Form20 '!I302</f>
        <v>9</v>
      </c>
      <c r="AI301" s="18">
        <v>9</v>
      </c>
      <c r="AJ301" s="65" t="s">
        <v>70</v>
      </c>
      <c r="AK301" s="12">
        <f>+'Form20 '!J302</f>
        <v>1</v>
      </c>
      <c r="AL301" s="18">
        <v>10</v>
      </c>
      <c r="AM301" s="66" t="s">
        <v>30</v>
      </c>
      <c r="AN301" s="12">
        <f>+'Form20 '!K302</f>
        <v>0</v>
      </c>
      <c r="AO301" s="18">
        <v>11</v>
      </c>
      <c r="AP301" s="66" t="s">
        <v>30</v>
      </c>
      <c r="AQ301" s="12">
        <f>+'Form20 '!L302</f>
        <v>1</v>
      </c>
      <c r="AR301" s="18">
        <v>12</v>
      </c>
      <c r="AS301" s="66" t="s">
        <v>30</v>
      </c>
      <c r="AT301" s="12">
        <f>+'Form20 '!M302</f>
        <v>2</v>
      </c>
      <c r="AU301" s="18">
        <v>13</v>
      </c>
      <c r="AV301" s="66" t="s">
        <v>30</v>
      </c>
      <c r="AW301" s="12">
        <f>+'Form20 '!N302</f>
        <v>0</v>
      </c>
      <c r="AX301" s="18">
        <v>14</v>
      </c>
      <c r="AY301" s="66" t="s">
        <v>30</v>
      </c>
      <c r="AZ301" s="12">
        <f>+'Form20 '!O302</f>
        <v>2</v>
      </c>
      <c r="BA301" s="75">
        <f t="shared" si="9"/>
        <v>526</v>
      </c>
    </row>
    <row r="302" spans="1:53" s="67" customFormat="1" ht="59.25" customHeight="1">
      <c r="A302" s="18">
        <v>333</v>
      </c>
      <c r="B302" s="59">
        <v>296</v>
      </c>
      <c r="C302" s="76" t="s">
        <v>369</v>
      </c>
      <c r="D302" s="61">
        <v>673</v>
      </c>
      <c r="E302" s="61">
        <v>209</v>
      </c>
      <c r="F302" s="61">
        <v>232</v>
      </c>
      <c r="G302" s="55">
        <v>0</v>
      </c>
      <c r="H302" s="62">
        <f t="shared" si="8"/>
        <v>441</v>
      </c>
      <c r="I302" s="55">
        <v>55</v>
      </c>
      <c r="J302" s="29">
        <v>0</v>
      </c>
      <c r="K302" s="18">
        <v>1</v>
      </c>
      <c r="L302" s="63" t="s">
        <v>29</v>
      </c>
      <c r="M302" s="12">
        <f>+'Form20 '!B303</f>
        <v>251</v>
      </c>
      <c r="N302" s="18">
        <v>2</v>
      </c>
      <c r="O302" s="58" t="s">
        <v>24</v>
      </c>
      <c r="P302" s="12">
        <f>+'Form20 '!C303</f>
        <v>7</v>
      </c>
      <c r="Q302" s="18">
        <v>3</v>
      </c>
      <c r="R302" s="63" t="s">
        <v>28</v>
      </c>
      <c r="S302" s="12">
        <f>+'Form20 '!D303</f>
        <v>154</v>
      </c>
      <c r="T302" s="18">
        <v>4</v>
      </c>
      <c r="U302" s="64" t="s">
        <v>65</v>
      </c>
      <c r="V302" s="12">
        <f>+'Form20 '!E303</f>
        <v>11</v>
      </c>
      <c r="W302" s="18">
        <v>5</v>
      </c>
      <c r="X302" s="58" t="s">
        <v>66</v>
      </c>
      <c r="Y302" s="12">
        <f>+'Form20 '!F303</f>
        <v>4</v>
      </c>
      <c r="Z302" s="18">
        <v>6</v>
      </c>
      <c r="AA302" s="64" t="s">
        <v>67</v>
      </c>
      <c r="AB302" s="12">
        <f>+'Form20 '!G303</f>
        <v>0</v>
      </c>
      <c r="AC302" s="18">
        <v>7</v>
      </c>
      <c r="AD302" s="63" t="s">
        <v>68</v>
      </c>
      <c r="AE302" s="12">
        <f>+'Form20 '!H303</f>
        <v>0</v>
      </c>
      <c r="AF302" s="18">
        <v>8</v>
      </c>
      <c r="AG302" s="63" t="s">
        <v>69</v>
      </c>
      <c r="AH302" s="12">
        <f>+'Form20 '!I303</f>
        <v>0</v>
      </c>
      <c r="AI302" s="18">
        <v>9</v>
      </c>
      <c r="AJ302" s="65" t="s">
        <v>70</v>
      </c>
      <c r="AK302" s="12">
        <f>+'Form20 '!J303</f>
        <v>4</v>
      </c>
      <c r="AL302" s="18">
        <v>10</v>
      </c>
      <c r="AM302" s="66" t="s">
        <v>30</v>
      </c>
      <c r="AN302" s="12">
        <f>+'Form20 '!K303</f>
        <v>0</v>
      </c>
      <c r="AO302" s="18">
        <v>11</v>
      </c>
      <c r="AP302" s="66" t="s">
        <v>30</v>
      </c>
      <c r="AQ302" s="12">
        <f>+'Form20 '!L303</f>
        <v>1</v>
      </c>
      <c r="AR302" s="18">
        <v>12</v>
      </c>
      <c r="AS302" s="66" t="s">
        <v>30</v>
      </c>
      <c r="AT302" s="12">
        <f>+'Form20 '!M303</f>
        <v>0</v>
      </c>
      <c r="AU302" s="18">
        <v>13</v>
      </c>
      <c r="AV302" s="66" t="s">
        <v>30</v>
      </c>
      <c r="AW302" s="12">
        <f>+'Form20 '!N303</f>
        <v>2</v>
      </c>
      <c r="AX302" s="18">
        <v>14</v>
      </c>
      <c r="AY302" s="66" t="s">
        <v>30</v>
      </c>
      <c r="AZ302" s="12">
        <f>+'Form20 '!O303</f>
        <v>1</v>
      </c>
      <c r="BA302" s="75">
        <f t="shared" si="9"/>
        <v>435</v>
      </c>
    </row>
    <row r="303" spans="1:53" s="67" customFormat="1" ht="59.25" customHeight="1">
      <c r="A303" s="18">
        <v>333</v>
      </c>
      <c r="B303" s="59">
        <v>297</v>
      </c>
      <c r="C303" s="76" t="s">
        <v>370</v>
      </c>
      <c r="D303" s="61">
        <v>700</v>
      </c>
      <c r="E303" s="61">
        <v>182</v>
      </c>
      <c r="F303" s="61">
        <v>191</v>
      </c>
      <c r="G303" s="55">
        <v>0</v>
      </c>
      <c r="H303" s="62">
        <f t="shared" si="8"/>
        <v>373</v>
      </c>
      <c r="I303" s="55">
        <v>56</v>
      </c>
      <c r="J303" s="29">
        <v>0</v>
      </c>
      <c r="K303" s="18">
        <v>1</v>
      </c>
      <c r="L303" s="63" t="s">
        <v>29</v>
      </c>
      <c r="M303" s="12">
        <f>+'Form20 '!B304</f>
        <v>201</v>
      </c>
      <c r="N303" s="18">
        <v>2</v>
      </c>
      <c r="O303" s="58" t="s">
        <v>24</v>
      </c>
      <c r="P303" s="12">
        <f>+'Form20 '!C304</f>
        <v>7</v>
      </c>
      <c r="Q303" s="18">
        <v>3</v>
      </c>
      <c r="R303" s="63" t="s">
        <v>28</v>
      </c>
      <c r="S303" s="12">
        <f>+'Form20 '!D304</f>
        <v>151</v>
      </c>
      <c r="T303" s="18">
        <v>4</v>
      </c>
      <c r="U303" s="64" t="s">
        <v>65</v>
      </c>
      <c r="V303" s="12">
        <f>+'Form20 '!E304</f>
        <v>1</v>
      </c>
      <c r="W303" s="18">
        <v>5</v>
      </c>
      <c r="X303" s="58" t="s">
        <v>66</v>
      </c>
      <c r="Y303" s="12">
        <f>+'Form20 '!F304</f>
        <v>0</v>
      </c>
      <c r="Z303" s="18">
        <v>6</v>
      </c>
      <c r="AA303" s="64" t="s">
        <v>67</v>
      </c>
      <c r="AB303" s="12">
        <f>+'Form20 '!G304</f>
        <v>0</v>
      </c>
      <c r="AC303" s="18">
        <v>7</v>
      </c>
      <c r="AD303" s="63" t="s">
        <v>68</v>
      </c>
      <c r="AE303" s="12">
        <f>+'Form20 '!H304</f>
        <v>0</v>
      </c>
      <c r="AF303" s="18">
        <v>8</v>
      </c>
      <c r="AG303" s="63" t="s">
        <v>69</v>
      </c>
      <c r="AH303" s="12">
        <f>+'Form20 '!I304</f>
        <v>0</v>
      </c>
      <c r="AI303" s="18">
        <v>9</v>
      </c>
      <c r="AJ303" s="65" t="s">
        <v>70</v>
      </c>
      <c r="AK303" s="12">
        <f>+'Form20 '!J304</f>
        <v>1</v>
      </c>
      <c r="AL303" s="18">
        <v>10</v>
      </c>
      <c r="AM303" s="66" t="s">
        <v>30</v>
      </c>
      <c r="AN303" s="12">
        <f>+'Form20 '!K304</f>
        <v>1</v>
      </c>
      <c r="AO303" s="18">
        <v>11</v>
      </c>
      <c r="AP303" s="66" t="s">
        <v>30</v>
      </c>
      <c r="AQ303" s="12">
        <f>+'Form20 '!L304</f>
        <v>0</v>
      </c>
      <c r="AR303" s="18">
        <v>12</v>
      </c>
      <c r="AS303" s="66" t="s">
        <v>30</v>
      </c>
      <c r="AT303" s="12">
        <f>+'Form20 '!M304</f>
        <v>0</v>
      </c>
      <c r="AU303" s="18">
        <v>13</v>
      </c>
      <c r="AV303" s="66" t="s">
        <v>30</v>
      </c>
      <c r="AW303" s="12">
        <f>+'Form20 '!N304</f>
        <v>2</v>
      </c>
      <c r="AX303" s="18">
        <v>14</v>
      </c>
      <c r="AY303" s="66" t="s">
        <v>30</v>
      </c>
      <c r="AZ303" s="12">
        <f>+'Form20 '!O304</f>
        <v>0</v>
      </c>
      <c r="BA303" s="75">
        <f t="shared" si="9"/>
        <v>364</v>
      </c>
    </row>
    <row r="304" spans="1:53" s="67" customFormat="1" ht="59.25" customHeight="1">
      <c r="A304" s="18">
        <v>333</v>
      </c>
      <c r="B304" s="59">
        <v>298</v>
      </c>
      <c r="C304" s="76" t="s">
        <v>371</v>
      </c>
      <c r="D304" s="61">
        <v>999</v>
      </c>
      <c r="E304" s="61">
        <v>272</v>
      </c>
      <c r="F304" s="61">
        <v>274</v>
      </c>
      <c r="G304" s="55">
        <v>0</v>
      </c>
      <c r="H304" s="62">
        <f t="shared" si="8"/>
        <v>546</v>
      </c>
      <c r="I304" s="55">
        <v>48</v>
      </c>
      <c r="J304" s="29">
        <v>0</v>
      </c>
      <c r="K304" s="18">
        <v>1</v>
      </c>
      <c r="L304" s="63" t="s">
        <v>29</v>
      </c>
      <c r="M304" s="12">
        <f>+'Form20 '!B305</f>
        <v>275</v>
      </c>
      <c r="N304" s="18">
        <v>2</v>
      </c>
      <c r="O304" s="58" t="s">
        <v>24</v>
      </c>
      <c r="P304" s="12">
        <f>+'Form20 '!C305</f>
        <v>18</v>
      </c>
      <c r="Q304" s="18">
        <v>3</v>
      </c>
      <c r="R304" s="63" t="s">
        <v>28</v>
      </c>
      <c r="S304" s="12">
        <f>+'Form20 '!D305</f>
        <v>229</v>
      </c>
      <c r="T304" s="18">
        <v>4</v>
      </c>
      <c r="U304" s="64" t="s">
        <v>65</v>
      </c>
      <c r="V304" s="12">
        <f>+'Form20 '!E305</f>
        <v>9</v>
      </c>
      <c r="W304" s="18">
        <v>5</v>
      </c>
      <c r="X304" s="58" t="s">
        <v>66</v>
      </c>
      <c r="Y304" s="12">
        <f>+'Form20 '!F305</f>
        <v>0</v>
      </c>
      <c r="Z304" s="18">
        <v>6</v>
      </c>
      <c r="AA304" s="64" t="s">
        <v>67</v>
      </c>
      <c r="AB304" s="12">
        <f>+'Form20 '!G305</f>
        <v>1</v>
      </c>
      <c r="AC304" s="18">
        <v>7</v>
      </c>
      <c r="AD304" s="63" t="s">
        <v>68</v>
      </c>
      <c r="AE304" s="12">
        <f>+'Form20 '!H305</f>
        <v>0</v>
      </c>
      <c r="AF304" s="18">
        <v>8</v>
      </c>
      <c r="AG304" s="63" t="s">
        <v>69</v>
      </c>
      <c r="AH304" s="12">
        <f>+'Form20 '!I305</f>
        <v>0</v>
      </c>
      <c r="AI304" s="18">
        <v>9</v>
      </c>
      <c r="AJ304" s="65" t="s">
        <v>70</v>
      </c>
      <c r="AK304" s="12">
        <f>+'Form20 '!J305</f>
        <v>1</v>
      </c>
      <c r="AL304" s="18">
        <v>10</v>
      </c>
      <c r="AM304" s="66" t="s">
        <v>30</v>
      </c>
      <c r="AN304" s="12">
        <f>+'Form20 '!K305</f>
        <v>1</v>
      </c>
      <c r="AO304" s="18">
        <v>11</v>
      </c>
      <c r="AP304" s="66" t="s">
        <v>30</v>
      </c>
      <c r="AQ304" s="12">
        <f>+'Form20 '!L305</f>
        <v>3</v>
      </c>
      <c r="AR304" s="18">
        <v>12</v>
      </c>
      <c r="AS304" s="66" t="s">
        <v>30</v>
      </c>
      <c r="AT304" s="12">
        <f>+'Form20 '!M305</f>
        <v>2</v>
      </c>
      <c r="AU304" s="18">
        <v>13</v>
      </c>
      <c r="AV304" s="66" t="s">
        <v>30</v>
      </c>
      <c r="AW304" s="12">
        <f>+'Form20 '!N305</f>
        <v>2</v>
      </c>
      <c r="AX304" s="18">
        <v>14</v>
      </c>
      <c r="AY304" s="66" t="s">
        <v>30</v>
      </c>
      <c r="AZ304" s="12">
        <f>+'Form20 '!O305</f>
        <v>2</v>
      </c>
      <c r="BA304" s="75">
        <f t="shared" si="9"/>
        <v>543</v>
      </c>
    </row>
    <row r="305" spans="1:53" s="67" customFormat="1" ht="59.25" customHeight="1">
      <c r="A305" s="18">
        <v>333</v>
      </c>
      <c r="B305" s="59">
        <v>299</v>
      </c>
      <c r="C305" s="76" t="s">
        <v>372</v>
      </c>
      <c r="D305" s="61">
        <v>835</v>
      </c>
      <c r="E305" s="61">
        <v>233</v>
      </c>
      <c r="F305" s="61">
        <v>293</v>
      </c>
      <c r="G305" s="55">
        <v>0</v>
      </c>
      <c r="H305" s="62">
        <f t="shared" si="8"/>
        <v>526</v>
      </c>
      <c r="I305" s="55">
        <v>35</v>
      </c>
      <c r="J305" s="29">
        <v>0</v>
      </c>
      <c r="K305" s="18">
        <v>1</v>
      </c>
      <c r="L305" s="63" t="s">
        <v>29</v>
      </c>
      <c r="M305" s="12">
        <f>+'Form20 '!B306</f>
        <v>316</v>
      </c>
      <c r="N305" s="18">
        <v>2</v>
      </c>
      <c r="O305" s="58" t="s">
        <v>24</v>
      </c>
      <c r="P305" s="12">
        <f>+'Form20 '!C306</f>
        <v>15</v>
      </c>
      <c r="Q305" s="18">
        <v>3</v>
      </c>
      <c r="R305" s="63" t="s">
        <v>28</v>
      </c>
      <c r="S305" s="12">
        <f>+'Form20 '!D306</f>
        <v>174</v>
      </c>
      <c r="T305" s="18">
        <v>4</v>
      </c>
      <c r="U305" s="64" t="s">
        <v>65</v>
      </c>
      <c r="V305" s="12">
        <f>+'Form20 '!E306</f>
        <v>12</v>
      </c>
      <c r="W305" s="18">
        <v>5</v>
      </c>
      <c r="X305" s="58" t="s">
        <v>66</v>
      </c>
      <c r="Y305" s="12">
        <f>+'Form20 '!F306</f>
        <v>1</v>
      </c>
      <c r="Z305" s="18">
        <v>6</v>
      </c>
      <c r="AA305" s="64" t="s">
        <v>67</v>
      </c>
      <c r="AB305" s="12">
        <f>+'Form20 '!G306</f>
        <v>1</v>
      </c>
      <c r="AC305" s="18">
        <v>7</v>
      </c>
      <c r="AD305" s="63" t="s">
        <v>68</v>
      </c>
      <c r="AE305" s="12">
        <f>+'Form20 '!H306</f>
        <v>0</v>
      </c>
      <c r="AF305" s="18">
        <v>8</v>
      </c>
      <c r="AG305" s="63" t="s">
        <v>69</v>
      </c>
      <c r="AH305" s="12">
        <f>+'Form20 '!I306</f>
        <v>1</v>
      </c>
      <c r="AI305" s="18">
        <v>9</v>
      </c>
      <c r="AJ305" s="65" t="s">
        <v>70</v>
      </c>
      <c r="AK305" s="12">
        <f>+'Form20 '!J306</f>
        <v>1</v>
      </c>
      <c r="AL305" s="18">
        <v>10</v>
      </c>
      <c r="AM305" s="66" t="s">
        <v>30</v>
      </c>
      <c r="AN305" s="12">
        <f>+'Form20 '!K306</f>
        <v>0</v>
      </c>
      <c r="AO305" s="18">
        <v>11</v>
      </c>
      <c r="AP305" s="66" t="s">
        <v>30</v>
      </c>
      <c r="AQ305" s="12">
        <f>+'Form20 '!L306</f>
        <v>1</v>
      </c>
      <c r="AR305" s="18">
        <v>12</v>
      </c>
      <c r="AS305" s="66" t="s">
        <v>30</v>
      </c>
      <c r="AT305" s="12">
        <f>+'Form20 '!M306</f>
        <v>0</v>
      </c>
      <c r="AU305" s="18">
        <v>13</v>
      </c>
      <c r="AV305" s="66" t="s">
        <v>30</v>
      </c>
      <c r="AW305" s="12">
        <f>+'Form20 '!N306</f>
        <v>1</v>
      </c>
      <c r="AX305" s="18">
        <v>14</v>
      </c>
      <c r="AY305" s="66" t="s">
        <v>30</v>
      </c>
      <c r="AZ305" s="12">
        <f>+'Form20 '!O306</f>
        <v>0</v>
      </c>
      <c r="BA305" s="75">
        <f t="shared" si="9"/>
        <v>523</v>
      </c>
    </row>
    <row r="306" spans="1:53" s="67" customFormat="1" ht="59.25" customHeight="1">
      <c r="A306" s="18">
        <v>333</v>
      </c>
      <c r="B306" s="59">
        <v>300</v>
      </c>
      <c r="C306" s="76" t="s">
        <v>373</v>
      </c>
      <c r="D306" s="61">
        <v>739</v>
      </c>
      <c r="E306" s="61">
        <v>217</v>
      </c>
      <c r="F306" s="61">
        <v>272</v>
      </c>
      <c r="G306" s="55">
        <v>0</v>
      </c>
      <c r="H306" s="62">
        <f t="shared" si="8"/>
        <v>489</v>
      </c>
      <c r="I306" s="55">
        <v>55</v>
      </c>
      <c r="J306" s="29">
        <v>0</v>
      </c>
      <c r="K306" s="18">
        <v>1</v>
      </c>
      <c r="L306" s="63" t="s">
        <v>29</v>
      </c>
      <c r="M306" s="12">
        <f>+'Form20 '!B307</f>
        <v>217</v>
      </c>
      <c r="N306" s="18">
        <v>2</v>
      </c>
      <c r="O306" s="58" t="s">
        <v>24</v>
      </c>
      <c r="P306" s="12">
        <f>+'Form20 '!C307</f>
        <v>25</v>
      </c>
      <c r="Q306" s="18">
        <v>3</v>
      </c>
      <c r="R306" s="63" t="s">
        <v>28</v>
      </c>
      <c r="S306" s="12">
        <f>+'Form20 '!D307</f>
        <v>186</v>
      </c>
      <c r="T306" s="18">
        <v>4</v>
      </c>
      <c r="U306" s="64" t="s">
        <v>65</v>
      </c>
      <c r="V306" s="12">
        <f>+'Form20 '!E307</f>
        <v>9</v>
      </c>
      <c r="W306" s="18">
        <v>5</v>
      </c>
      <c r="X306" s="58" t="s">
        <v>66</v>
      </c>
      <c r="Y306" s="12">
        <f>+'Form20 '!F307</f>
        <v>6</v>
      </c>
      <c r="Z306" s="18">
        <v>6</v>
      </c>
      <c r="AA306" s="64" t="s">
        <v>67</v>
      </c>
      <c r="AB306" s="12">
        <f>+'Form20 '!G307</f>
        <v>4</v>
      </c>
      <c r="AC306" s="18">
        <v>7</v>
      </c>
      <c r="AD306" s="63" t="s">
        <v>68</v>
      </c>
      <c r="AE306" s="12">
        <f>+'Form20 '!H307</f>
        <v>4</v>
      </c>
      <c r="AF306" s="18">
        <v>8</v>
      </c>
      <c r="AG306" s="63" t="s">
        <v>69</v>
      </c>
      <c r="AH306" s="12">
        <f>+'Form20 '!I307</f>
        <v>6</v>
      </c>
      <c r="AI306" s="18">
        <v>9</v>
      </c>
      <c r="AJ306" s="65" t="s">
        <v>70</v>
      </c>
      <c r="AK306" s="12">
        <f>+'Form20 '!J307</f>
        <v>5</v>
      </c>
      <c r="AL306" s="18">
        <v>10</v>
      </c>
      <c r="AM306" s="66" t="s">
        <v>30</v>
      </c>
      <c r="AN306" s="12">
        <f>+'Form20 '!K307</f>
        <v>4</v>
      </c>
      <c r="AO306" s="18">
        <v>11</v>
      </c>
      <c r="AP306" s="66" t="s">
        <v>30</v>
      </c>
      <c r="AQ306" s="12">
        <f>+'Form20 '!L307</f>
        <v>4</v>
      </c>
      <c r="AR306" s="18">
        <v>12</v>
      </c>
      <c r="AS306" s="66" t="s">
        <v>30</v>
      </c>
      <c r="AT306" s="12">
        <f>+'Form20 '!M307</f>
        <v>5</v>
      </c>
      <c r="AU306" s="18">
        <v>13</v>
      </c>
      <c r="AV306" s="66" t="s">
        <v>30</v>
      </c>
      <c r="AW306" s="12">
        <f>+'Form20 '!N307</f>
        <v>5</v>
      </c>
      <c r="AX306" s="18">
        <v>14</v>
      </c>
      <c r="AY306" s="66" t="s">
        <v>30</v>
      </c>
      <c r="AZ306" s="12">
        <f>+'Form20 '!O307</f>
        <v>4</v>
      </c>
      <c r="BA306" s="75">
        <f t="shared" si="9"/>
        <v>484</v>
      </c>
    </row>
    <row r="307" spans="1:53" s="67" customFormat="1" ht="59.25" customHeight="1">
      <c r="A307" s="18">
        <v>333</v>
      </c>
      <c r="B307" s="59">
        <v>301</v>
      </c>
      <c r="C307" s="76" t="s">
        <v>374</v>
      </c>
      <c r="D307" s="61">
        <v>650</v>
      </c>
      <c r="E307" s="61">
        <v>182</v>
      </c>
      <c r="F307" s="61">
        <v>231</v>
      </c>
      <c r="G307" s="55">
        <v>0</v>
      </c>
      <c r="H307" s="62">
        <f t="shared" si="8"/>
        <v>413</v>
      </c>
      <c r="I307" s="55">
        <v>29</v>
      </c>
      <c r="J307" s="29">
        <v>0</v>
      </c>
      <c r="K307" s="18">
        <v>1</v>
      </c>
      <c r="L307" s="63" t="s">
        <v>29</v>
      </c>
      <c r="M307" s="12">
        <f>+'Form20 '!B308</f>
        <v>131</v>
      </c>
      <c r="N307" s="18">
        <v>2</v>
      </c>
      <c r="O307" s="58" t="s">
        <v>24</v>
      </c>
      <c r="P307" s="12">
        <f>+'Form20 '!C308</f>
        <v>97</v>
      </c>
      <c r="Q307" s="18">
        <v>3</v>
      </c>
      <c r="R307" s="63" t="s">
        <v>28</v>
      </c>
      <c r="S307" s="12">
        <f>+'Form20 '!D308</f>
        <v>171</v>
      </c>
      <c r="T307" s="18">
        <v>4</v>
      </c>
      <c r="U307" s="64" t="s">
        <v>65</v>
      </c>
      <c r="V307" s="12">
        <f>+'Form20 '!E308</f>
        <v>1</v>
      </c>
      <c r="W307" s="18">
        <v>5</v>
      </c>
      <c r="X307" s="58" t="s">
        <v>66</v>
      </c>
      <c r="Y307" s="12">
        <f>+'Form20 '!F308</f>
        <v>2</v>
      </c>
      <c r="Z307" s="18">
        <v>6</v>
      </c>
      <c r="AA307" s="64" t="s">
        <v>67</v>
      </c>
      <c r="AB307" s="12">
        <f>+'Form20 '!G308</f>
        <v>0</v>
      </c>
      <c r="AC307" s="18">
        <v>7</v>
      </c>
      <c r="AD307" s="63" t="s">
        <v>68</v>
      </c>
      <c r="AE307" s="12">
        <f>+'Form20 '!H308</f>
        <v>0</v>
      </c>
      <c r="AF307" s="18">
        <v>8</v>
      </c>
      <c r="AG307" s="63" t="s">
        <v>69</v>
      </c>
      <c r="AH307" s="12">
        <f>+'Form20 '!I308</f>
        <v>0</v>
      </c>
      <c r="AI307" s="18">
        <v>9</v>
      </c>
      <c r="AJ307" s="65" t="s">
        <v>70</v>
      </c>
      <c r="AK307" s="12">
        <f>+'Form20 '!J308</f>
        <v>0</v>
      </c>
      <c r="AL307" s="18">
        <v>10</v>
      </c>
      <c r="AM307" s="66" t="s">
        <v>30</v>
      </c>
      <c r="AN307" s="12">
        <f>+'Form20 '!K308</f>
        <v>0</v>
      </c>
      <c r="AO307" s="18">
        <v>11</v>
      </c>
      <c r="AP307" s="66" t="s">
        <v>30</v>
      </c>
      <c r="AQ307" s="12">
        <f>+'Form20 '!L308</f>
        <v>1</v>
      </c>
      <c r="AR307" s="18">
        <v>12</v>
      </c>
      <c r="AS307" s="66" t="s">
        <v>30</v>
      </c>
      <c r="AT307" s="12">
        <f>+'Form20 '!M308</f>
        <v>2</v>
      </c>
      <c r="AU307" s="18">
        <v>13</v>
      </c>
      <c r="AV307" s="66" t="s">
        <v>30</v>
      </c>
      <c r="AW307" s="12">
        <f>+'Form20 '!N308</f>
        <v>1</v>
      </c>
      <c r="AX307" s="18">
        <v>14</v>
      </c>
      <c r="AY307" s="66" t="s">
        <v>30</v>
      </c>
      <c r="AZ307" s="12">
        <f>+'Form20 '!O308</f>
        <v>3</v>
      </c>
      <c r="BA307" s="75">
        <f t="shared" si="9"/>
        <v>409</v>
      </c>
    </row>
    <row r="308" spans="1:53" s="67" customFormat="1" ht="59.25" customHeight="1">
      <c r="A308" s="18">
        <v>333</v>
      </c>
      <c r="B308" s="59">
        <v>302</v>
      </c>
      <c r="C308" s="76" t="s">
        <v>375</v>
      </c>
      <c r="D308" s="61">
        <v>1143</v>
      </c>
      <c r="E308" s="61">
        <v>355</v>
      </c>
      <c r="F308" s="61">
        <v>381</v>
      </c>
      <c r="G308" s="55">
        <v>0</v>
      </c>
      <c r="H308" s="62">
        <f t="shared" si="8"/>
        <v>736</v>
      </c>
      <c r="I308" s="55">
        <v>65</v>
      </c>
      <c r="J308" s="29">
        <v>0</v>
      </c>
      <c r="K308" s="18">
        <v>1</v>
      </c>
      <c r="L308" s="63" t="s">
        <v>29</v>
      </c>
      <c r="M308" s="12">
        <f>+'Form20 '!B309</f>
        <v>338</v>
      </c>
      <c r="N308" s="18">
        <v>2</v>
      </c>
      <c r="O308" s="58" t="s">
        <v>24</v>
      </c>
      <c r="P308" s="12">
        <f>+'Form20 '!C309</f>
        <v>32</v>
      </c>
      <c r="Q308" s="18">
        <v>3</v>
      </c>
      <c r="R308" s="63" t="s">
        <v>28</v>
      </c>
      <c r="S308" s="12">
        <f>+'Form20 '!D309</f>
        <v>339</v>
      </c>
      <c r="T308" s="18">
        <v>4</v>
      </c>
      <c r="U308" s="64" t="s">
        <v>65</v>
      </c>
      <c r="V308" s="12">
        <f>+'Form20 '!E309</f>
        <v>7</v>
      </c>
      <c r="W308" s="18">
        <v>5</v>
      </c>
      <c r="X308" s="58" t="s">
        <v>66</v>
      </c>
      <c r="Y308" s="12">
        <f>+'Form20 '!F309</f>
        <v>2</v>
      </c>
      <c r="Z308" s="18">
        <v>6</v>
      </c>
      <c r="AA308" s="64" t="s">
        <v>67</v>
      </c>
      <c r="AB308" s="12">
        <f>+'Form20 '!G309</f>
        <v>0</v>
      </c>
      <c r="AC308" s="18">
        <v>7</v>
      </c>
      <c r="AD308" s="63" t="s">
        <v>68</v>
      </c>
      <c r="AE308" s="12">
        <f>+'Form20 '!H309</f>
        <v>0</v>
      </c>
      <c r="AF308" s="18">
        <v>8</v>
      </c>
      <c r="AG308" s="63" t="s">
        <v>69</v>
      </c>
      <c r="AH308" s="12">
        <f>+'Form20 '!I309</f>
        <v>0</v>
      </c>
      <c r="AI308" s="18">
        <v>9</v>
      </c>
      <c r="AJ308" s="65" t="s">
        <v>70</v>
      </c>
      <c r="AK308" s="12">
        <f>+'Form20 '!J309</f>
        <v>2</v>
      </c>
      <c r="AL308" s="18">
        <v>10</v>
      </c>
      <c r="AM308" s="66" t="s">
        <v>30</v>
      </c>
      <c r="AN308" s="12">
        <f>+'Form20 '!K309</f>
        <v>1</v>
      </c>
      <c r="AO308" s="18">
        <v>11</v>
      </c>
      <c r="AP308" s="66" t="s">
        <v>30</v>
      </c>
      <c r="AQ308" s="12">
        <f>+'Form20 '!L309</f>
        <v>3</v>
      </c>
      <c r="AR308" s="18">
        <v>12</v>
      </c>
      <c r="AS308" s="66" t="s">
        <v>30</v>
      </c>
      <c r="AT308" s="12">
        <f>+'Form20 '!M309</f>
        <v>0</v>
      </c>
      <c r="AU308" s="18">
        <v>13</v>
      </c>
      <c r="AV308" s="66" t="s">
        <v>30</v>
      </c>
      <c r="AW308" s="12">
        <f>+'Form20 '!N309</f>
        <v>4</v>
      </c>
      <c r="AX308" s="18">
        <v>14</v>
      </c>
      <c r="AY308" s="66" t="s">
        <v>30</v>
      </c>
      <c r="AZ308" s="12">
        <f>+'Form20 '!O309</f>
        <v>0</v>
      </c>
      <c r="BA308" s="75">
        <f t="shared" si="9"/>
        <v>728</v>
      </c>
    </row>
    <row r="309" spans="1:53" s="67" customFormat="1" ht="59.25" customHeight="1">
      <c r="A309" s="18">
        <v>333</v>
      </c>
      <c r="B309" s="59">
        <v>303</v>
      </c>
      <c r="C309" s="76" t="s">
        <v>376</v>
      </c>
      <c r="D309" s="61">
        <v>1140</v>
      </c>
      <c r="E309" s="61">
        <v>305</v>
      </c>
      <c r="F309" s="61">
        <v>381</v>
      </c>
      <c r="G309" s="55">
        <v>0</v>
      </c>
      <c r="H309" s="62">
        <f t="shared" si="8"/>
        <v>686</v>
      </c>
      <c r="I309" s="55">
        <v>50</v>
      </c>
      <c r="J309" s="29">
        <v>0</v>
      </c>
      <c r="K309" s="18">
        <v>1</v>
      </c>
      <c r="L309" s="63" t="s">
        <v>29</v>
      </c>
      <c r="M309" s="12">
        <f>+'Form20 '!B310</f>
        <v>300</v>
      </c>
      <c r="N309" s="18">
        <v>2</v>
      </c>
      <c r="O309" s="58" t="s">
        <v>24</v>
      </c>
      <c r="P309" s="12">
        <f>+'Form20 '!C310</f>
        <v>21</v>
      </c>
      <c r="Q309" s="18">
        <v>3</v>
      </c>
      <c r="R309" s="63" t="s">
        <v>28</v>
      </c>
      <c r="S309" s="12">
        <f>+'Form20 '!D310</f>
        <v>339</v>
      </c>
      <c r="T309" s="18">
        <v>4</v>
      </c>
      <c r="U309" s="64" t="s">
        <v>65</v>
      </c>
      <c r="V309" s="12">
        <f>+'Form20 '!E310</f>
        <v>4</v>
      </c>
      <c r="W309" s="18">
        <v>5</v>
      </c>
      <c r="X309" s="58" t="s">
        <v>66</v>
      </c>
      <c r="Y309" s="12">
        <f>+'Form20 '!F310</f>
        <v>0</v>
      </c>
      <c r="Z309" s="18">
        <v>6</v>
      </c>
      <c r="AA309" s="64" t="s">
        <v>67</v>
      </c>
      <c r="AB309" s="12">
        <f>+'Form20 '!G310</f>
        <v>0</v>
      </c>
      <c r="AC309" s="18">
        <v>7</v>
      </c>
      <c r="AD309" s="63" t="s">
        <v>68</v>
      </c>
      <c r="AE309" s="12">
        <f>+'Form20 '!H310</f>
        <v>1</v>
      </c>
      <c r="AF309" s="18">
        <v>8</v>
      </c>
      <c r="AG309" s="63" t="s">
        <v>69</v>
      </c>
      <c r="AH309" s="12">
        <f>+'Form20 '!I310</f>
        <v>2</v>
      </c>
      <c r="AI309" s="18">
        <v>9</v>
      </c>
      <c r="AJ309" s="65" t="s">
        <v>70</v>
      </c>
      <c r="AK309" s="12">
        <f>+'Form20 '!J310</f>
        <v>6</v>
      </c>
      <c r="AL309" s="18">
        <v>10</v>
      </c>
      <c r="AM309" s="66" t="s">
        <v>30</v>
      </c>
      <c r="AN309" s="12">
        <f>+'Form20 '!K310</f>
        <v>1</v>
      </c>
      <c r="AO309" s="18">
        <v>11</v>
      </c>
      <c r="AP309" s="66" t="s">
        <v>30</v>
      </c>
      <c r="AQ309" s="12">
        <f>+'Form20 '!L310</f>
        <v>2</v>
      </c>
      <c r="AR309" s="18">
        <v>12</v>
      </c>
      <c r="AS309" s="66" t="s">
        <v>30</v>
      </c>
      <c r="AT309" s="12">
        <f>+'Form20 '!M310</f>
        <v>0</v>
      </c>
      <c r="AU309" s="18">
        <v>13</v>
      </c>
      <c r="AV309" s="66" t="s">
        <v>30</v>
      </c>
      <c r="AW309" s="12">
        <f>+'Form20 '!N310</f>
        <v>4</v>
      </c>
      <c r="AX309" s="18">
        <v>14</v>
      </c>
      <c r="AY309" s="66" t="s">
        <v>30</v>
      </c>
      <c r="AZ309" s="12">
        <f>+'Form20 '!O310</f>
        <v>1</v>
      </c>
      <c r="BA309" s="75">
        <f t="shared" si="9"/>
        <v>681</v>
      </c>
    </row>
    <row r="310" spans="1:53" s="67" customFormat="1" ht="59.25" customHeight="1">
      <c r="A310" s="18">
        <v>333</v>
      </c>
      <c r="B310" s="59">
        <v>304</v>
      </c>
      <c r="C310" s="76" t="s">
        <v>377</v>
      </c>
      <c r="D310" s="61">
        <v>1013</v>
      </c>
      <c r="E310" s="61">
        <v>270</v>
      </c>
      <c r="F310" s="61">
        <v>302</v>
      </c>
      <c r="G310" s="55">
        <v>0</v>
      </c>
      <c r="H310" s="62">
        <f t="shared" si="8"/>
        <v>572</v>
      </c>
      <c r="I310" s="55">
        <v>41</v>
      </c>
      <c r="J310" s="29">
        <v>0</v>
      </c>
      <c r="K310" s="18">
        <v>1</v>
      </c>
      <c r="L310" s="63" t="s">
        <v>29</v>
      </c>
      <c r="M310" s="12">
        <f>+'Form20 '!B311</f>
        <v>412</v>
      </c>
      <c r="N310" s="18">
        <v>2</v>
      </c>
      <c r="O310" s="58" t="s">
        <v>24</v>
      </c>
      <c r="P310" s="12">
        <f>+'Form20 '!C311</f>
        <v>17</v>
      </c>
      <c r="Q310" s="18">
        <v>3</v>
      </c>
      <c r="R310" s="63" t="s">
        <v>28</v>
      </c>
      <c r="S310" s="12">
        <f>+'Form20 '!D311</f>
        <v>120</v>
      </c>
      <c r="T310" s="18">
        <v>4</v>
      </c>
      <c r="U310" s="64" t="s">
        <v>65</v>
      </c>
      <c r="V310" s="12">
        <f>+'Form20 '!E311</f>
        <v>2</v>
      </c>
      <c r="W310" s="18">
        <v>5</v>
      </c>
      <c r="X310" s="58" t="s">
        <v>66</v>
      </c>
      <c r="Y310" s="12">
        <f>+'Form20 '!F311</f>
        <v>0</v>
      </c>
      <c r="Z310" s="18">
        <v>6</v>
      </c>
      <c r="AA310" s="64" t="s">
        <v>67</v>
      </c>
      <c r="AB310" s="12">
        <f>+'Form20 '!G311</f>
        <v>1</v>
      </c>
      <c r="AC310" s="18">
        <v>7</v>
      </c>
      <c r="AD310" s="63" t="s">
        <v>68</v>
      </c>
      <c r="AE310" s="12">
        <f>+'Form20 '!H311</f>
        <v>0</v>
      </c>
      <c r="AF310" s="18">
        <v>8</v>
      </c>
      <c r="AG310" s="63" t="s">
        <v>69</v>
      </c>
      <c r="AH310" s="12">
        <f>+'Form20 '!I311</f>
        <v>5</v>
      </c>
      <c r="AI310" s="18">
        <v>9</v>
      </c>
      <c r="AJ310" s="65" t="s">
        <v>70</v>
      </c>
      <c r="AK310" s="12">
        <f>+'Form20 '!J311</f>
        <v>0</v>
      </c>
      <c r="AL310" s="18">
        <v>10</v>
      </c>
      <c r="AM310" s="66" t="s">
        <v>30</v>
      </c>
      <c r="AN310" s="12">
        <f>+'Form20 '!K311</f>
        <v>0</v>
      </c>
      <c r="AO310" s="18">
        <v>11</v>
      </c>
      <c r="AP310" s="66" t="s">
        <v>30</v>
      </c>
      <c r="AQ310" s="12">
        <f>+'Form20 '!L311</f>
        <v>3</v>
      </c>
      <c r="AR310" s="18">
        <v>12</v>
      </c>
      <c r="AS310" s="66" t="s">
        <v>30</v>
      </c>
      <c r="AT310" s="12">
        <f>+'Form20 '!M311</f>
        <v>0</v>
      </c>
      <c r="AU310" s="18">
        <v>13</v>
      </c>
      <c r="AV310" s="66" t="s">
        <v>30</v>
      </c>
      <c r="AW310" s="12">
        <f>+'Form20 '!N311</f>
        <v>2</v>
      </c>
      <c r="AX310" s="18">
        <v>14</v>
      </c>
      <c r="AY310" s="66" t="s">
        <v>30</v>
      </c>
      <c r="AZ310" s="12">
        <f>+'Form20 '!O311</f>
        <v>0</v>
      </c>
      <c r="BA310" s="75">
        <f t="shared" si="9"/>
        <v>562</v>
      </c>
    </row>
    <row r="311" spans="1:53" s="67" customFormat="1" ht="59.25" customHeight="1">
      <c r="A311" s="18">
        <v>333</v>
      </c>
      <c r="B311" s="59">
        <v>305</v>
      </c>
      <c r="C311" s="76" t="s">
        <v>378</v>
      </c>
      <c r="D311" s="61">
        <v>1040</v>
      </c>
      <c r="E311" s="61">
        <v>306</v>
      </c>
      <c r="F311" s="61">
        <v>333</v>
      </c>
      <c r="G311" s="55">
        <v>0</v>
      </c>
      <c r="H311" s="62">
        <f t="shared" si="8"/>
        <v>639</v>
      </c>
      <c r="I311" s="55">
        <v>135</v>
      </c>
      <c r="J311" s="29">
        <v>0</v>
      </c>
      <c r="K311" s="18">
        <v>1</v>
      </c>
      <c r="L311" s="63" t="s">
        <v>29</v>
      </c>
      <c r="M311" s="12">
        <f>+'Form20 '!B312</f>
        <v>294</v>
      </c>
      <c r="N311" s="18">
        <v>2</v>
      </c>
      <c r="O311" s="58" t="s">
        <v>24</v>
      </c>
      <c r="P311" s="12">
        <f>+'Form20 '!C312</f>
        <v>16</v>
      </c>
      <c r="Q311" s="18">
        <v>3</v>
      </c>
      <c r="R311" s="63" t="s">
        <v>28</v>
      </c>
      <c r="S311" s="12">
        <f>+'Form20 '!D312</f>
        <v>261</v>
      </c>
      <c r="T311" s="18">
        <v>4</v>
      </c>
      <c r="U311" s="64" t="s">
        <v>65</v>
      </c>
      <c r="V311" s="12">
        <f>+'Form20 '!E312</f>
        <v>15</v>
      </c>
      <c r="W311" s="18">
        <v>5</v>
      </c>
      <c r="X311" s="58" t="s">
        <v>66</v>
      </c>
      <c r="Y311" s="12">
        <f>+'Form20 '!F312</f>
        <v>3</v>
      </c>
      <c r="Z311" s="18">
        <v>6</v>
      </c>
      <c r="AA311" s="64" t="s">
        <v>67</v>
      </c>
      <c r="AB311" s="12">
        <f>+'Form20 '!G312</f>
        <v>3</v>
      </c>
      <c r="AC311" s="18">
        <v>7</v>
      </c>
      <c r="AD311" s="63" t="s">
        <v>68</v>
      </c>
      <c r="AE311" s="12">
        <f>+'Form20 '!H312</f>
        <v>4</v>
      </c>
      <c r="AF311" s="18">
        <v>8</v>
      </c>
      <c r="AG311" s="63" t="s">
        <v>69</v>
      </c>
      <c r="AH311" s="12">
        <f>+'Form20 '!I312</f>
        <v>4</v>
      </c>
      <c r="AI311" s="18">
        <v>9</v>
      </c>
      <c r="AJ311" s="65" t="s">
        <v>70</v>
      </c>
      <c r="AK311" s="12">
        <f>+'Form20 '!J312</f>
        <v>3</v>
      </c>
      <c r="AL311" s="18">
        <v>10</v>
      </c>
      <c r="AM311" s="66" t="s">
        <v>30</v>
      </c>
      <c r="AN311" s="12">
        <f>+'Form20 '!K312</f>
        <v>3</v>
      </c>
      <c r="AO311" s="18">
        <v>11</v>
      </c>
      <c r="AP311" s="66" t="s">
        <v>30</v>
      </c>
      <c r="AQ311" s="12">
        <f>+'Form20 '!L312</f>
        <v>6</v>
      </c>
      <c r="AR311" s="18">
        <v>12</v>
      </c>
      <c r="AS311" s="66" t="s">
        <v>30</v>
      </c>
      <c r="AT311" s="12">
        <f>+'Form20 '!M312</f>
        <v>6</v>
      </c>
      <c r="AU311" s="18">
        <v>13</v>
      </c>
      <c r="AV311" s="66" t="s">
        <v>30</v>
      </c>
      <c r="AW311" s="12">
        <f>+'Form20 '!N312</f>
        <v>9</v>
      </c>
      <c r="AX311" s="18">
        <v>14</v>
      </c>
      <c r="AY311" s="66" t="s">
        <v>30</v>
      </c>
      <c r="AZ311" s="12">
        <f>+'Form20 '!O312</f>
        <v>4</v>
      </c>
      <c r="BA311" s="75">
        <f t="shared" si="9"/>
        <v>631</v>
      </c>
    </row>
    <row r="312" spans="1:53" s="67" customFormat="1" ht="59.25" customHeight="1">
      <c r="A312" s="18">
        <v>333</v>
      </c>
      <c r="B312" s="59">
        <v>306</v>
      </c>
      <c r="C312" s="76" t="s">
        <v>379</v>
      </c>
      <c r="D312" s="61">
        <v>1013</v>
      </c>
      <c r="E312" s="61">
        <v>248</v>
      </c>
      <c r="F312" s="61">
        <v>284</v>
      </c>
      <c r="G312" s="55">
        <v>0</v>
      </c>
      <c r="H312" s="62">
        <f t="shared" si="8"/>
        <v>532</v>
      </c>
      <c r="I312" s="55">
        <v>50</v>
      </c>
      <c r="J312" s="29">
        <v>0</v>
      </c>
      <c r="K312" s="18">
        <v>1</v>
      </c>
      <c r="L312" s="63" t="s">
        <v>29</v>
      </c>
      <c r="M312" s="12">
        <f>+'Form20 '!B313</f>
        <v>283</v>
      </c>
      <c r="N312" s="18">
        <v>2</v>
      </c>
      <c r="O312" s="58" t="s">
        <v>24</v>
      </c>
      <c r="P312" s="12">
        <f>+'Form20 '!C313</f>
        <v>104</v>
      </c>
      <c r="Q312" s="18">
        <v>3</v>
      </c>
      <c r="R312" s="63" t="s">
        <v>28</v>
      </c>
      <c r="S312" s="12">
        <f>+'Form20 '!D313</f>
        <v>130</v>
      </c>
      <c r="T312" s="18">
        <v>4</v>
      </c>
      <c r="U312" s="64" t="s">
        <v>65</v>
      </c>
      <c r="V312" s="12">
        <f>+'Form20 '!E313</f>
        <v>6</v>
      </c>
      <c r="W312" s="18">
        <v>5</v>
      </c>
      <c r="X312" s="58" t="s">
        <v>66</v>
      </c>
      <c r="Y312" s="12">
        <f>+'Form20 '!F313</f>
        <v>0</v>
      </c>
      <c r="Z312" s="18">
        <v>6</v>
      </c>
      <c r="AA312" s="64" t="s">
        <v>67</v>
      </c>
      <c r="AB312" s="12">
        <f>+'Form20 '!G313</f>
        <v>0</v>
      </c>
      <c r="AC312" s="18">
        <v>7</v>
      </c>
      <c r="AD312" s="63" t="s">
        <v>68</v>
      </c>
      <c r="AE312" s="12">
        <f>+'Form20 '!H313</f>
        <v>1</v>
      </c>
      <c r="AF312" s="18">
        <v>8</v>
      </c>
      <c r="AG312" s="63" t="s">
        <v>69</v>
      </c>
      <c r="AH312" s="12">
        <f>+'Form20 '!I313</f>
        <v>2</v>
      </c>
      <c r="AI312" s="18">
        <v>9</v>
      </c>
      <c r="AJ312" s="65" t="s">
        <v>70</v>
      </c>
      <c r="AK312" s="12">
        <f>+'Form20 '!J313</f>
        <v>0</v>
      </c>
      <c r="AL312" s="18">
        <v>10</v>
      </c>
      <c r="AM312" s="66" t="s">
        <v>30</v>
      </c>
      <c r="AN312" s="12">
        <f>+'Form20 '!K313</f>
        <v>0</v>
      </c>
      <c r="AO312" s="18">
        <v>11</v>
      </c>
      <c r="AP312" s="66" t="s">
        <v>30</v>
      </c>
      <c r="AQ312" s="12">
        <f>+'Form20 '!L313</f>
        <v>1</v>
      </c>
      <c r="AR312" s="18">
        <v>12</v>
      </c>
      <c r="AS312" s="66" t="s">
        <v>30</v>
      </c>
      <c r="AT312" s="12">
        <f>+'Form20 '!M313</f>
        <v>1</v>
      </c>
      <c r="AU312" s="18">
        <v>13</v>
      </c>
      <c r="AV312" s="66" t="s">
        <v>30</v>
      </c>
      <c r="AW312" s="12">
        <f>+'Form20 '!N313</f>
        <v>1</v>
      </c>
      <c r="AX312" s="18">
        <v>14</v>
      </c>
      <c r="AY312" s="66" t="s">
        <v>30</v>
      </c>
      <c r="AZ312" s="12">
        <f>+'Form20 '!O313</f>
        <v>1</v>
      </c>
      <c r="BA312" s="75">
        <f t="shared" si="9"/>
        <v>530</v>
      </c>
    </row>
    <row r="313" spans="1:53" s="67" customFormat="1" ht="59.25" customHeight="1">
      <c r="A313" s="18">
        <v>333</v>
      </c>
      <c r="B313" s="59">
        <v>307</v>
      </c>
      <c r="C313" s="76" t="s">
        <v>380</v>
      </c>
      <c r="D313" s="61">
        <v>773</v>
      </c>
      <c r="E313" s="61">
        <v>180</v>
      </c>
      <c r="F313" s="61">
        <v>188</v>
      </c>
      <c r="G313" s="55">
        <v>0</v>
      </c>
      <c r="H313" s="62">
        <f t="shared" si="8"/>
        <v>368</v>
      </c>
      <c r="I313" s="55">
        <v>15</v>
      </c>
      <c r="J313" s="29">
        <v>0</v>
      </c>
      <c r="K313" s="18">
        <v>1</v>
      </c>
      <c r="L313" s="63" t="s">
        <v>29</v>
      </c>
      <c r="M313" s="12">
        <f>+'Form20 '!B314</f>
        <v>213</v>
      </c>
      <c r="N313" s="18">
        <v>2</v>
      </c>
      <c r="O313" s="58" t="s">
        <v>24</v>
      </c>
      <c r="P313" s="12">
        <f>+'Form20 '!C314</f>
        <v>19</v>
      </c>
      <c r="Q313" s="18">
        <v>3</v>
      </c>
      <c r="R313" s="63" t="s">
        <v>28</v>
      </c>
      <c r="S313" s="12">
        <f>+'Form20 '!D314</f>
        <v>128</v>
      </c>
      <c r="T313" s="18">
        <v>4</v>
      </c>
      <c r="U313" s="64" t="s">
        <v>65</v>
      </c>
      <c r="V313" s="12">
        <f>+'Form20 '!E314</f>
        <v>3</v>
      </c>
      <c r="W313" s="18">
        <v>5</v>
      </c>
      <c r="X313" s="58" t="s">
        <v>66</v>
      </c>
      <c r="Y313" s="12">
        <f>+'Form20 '!F314</f>
        <v>1</v>
      </c>
      <c r="Z313" s="18">
        <v>6</v>
      </c>
      <c r="AA313" s="64" t="s">
        <v>67</v>
      </c>
      <c r="AB313" s="12">
        <f>+'Form20 '!G314</f>
        <v>0</v>
      </c>
      <c r="AC313" s="18">
        <v>7</v>
      </c>
      <c r="AD313" s="63" t="s">
        <v>68</v>
      </c>
      <c r="AE313" s="12">
        <f>+'Form20 '!H314</f>
        <v>0</v>
      </c>
      <c r="AF313" s="18">
        <v>8</v>
      </c>
      <c r="AG313" s="63" t="s">
        <v>69</v>
      </c>
      <c r="AH313" s="12">
        <f>+'Form20 '!I314</f>
        <v>1</v>
      </c>
      <c r="AI313" s="18">
        <v>9</v>
      </c>
      <c r="AJ313" s="65" t="s">
        <v>70</v>
      </c>
      <c r="AK313" s="12">
        <f>+'Form20 '!J314</f>
        <v>1</v>
      </c>
      <c r="AL313" s="18">
        <v>10</v>
      </c>
      <c r="AM313" s="66" t="s">
        <v>30</v>
      </c>
      <c r="AN313" s="12">
        <f>+'Form20 '!K314</f>
        <v>0</v>
      </c>
      <c r="AO313" s="18">
        <v>11</v>
      </c>
      <c r="AP313" s="66" t="s">
        <v>30</v>
      </c>
      <c r="AQ313" s="12">
        <f>+'Form20 '!L314</f>
        <v>0</v>
      </c>
      <c r="AR313" s="18">
        <v>12</v>
      </c>
      <c r="AS313" s="66" t="s">
        <v>30</v>
      </c>
      <c r="AT313" s="12">
        <f>+'Form20 '!M314</f>
        <v>0</v>
      </c>
      <c r="AU313" s="18">
        <v>13</v>
      </c>
      <c r="AV313" s="66" t="s">
        <v>30</v>
      </c>
      <c r="AW313" s="12">
        <f>+'Form20 '!N314</f>
        <v>0</v>
      </c>
      <c r="AX313" s="18">
        <v>14</v>
      </c>
      <c r="AY313" s="66" t="s">
        <v>30</v>
      </c>
      <c r="AZ313" s="12">
        <f>+'Form20 '!O314</f>
        <v>0</v>
      </c>
      <c r="BA313" s="75">
        <f t="shared" si="9"/>
        <v>366</v>
      </c>
    </row>
    <row r="314" spans="1:53" s="67" customFormat="1" ht="59.25" customHeight="1">
      <c r="A314" s="18">
        <v>333</v>
      </c>
      <c r="B314" s="59">
        <v>308</v>
      </c>
      <c r="C314" s="76" t="s">
        <v>381</v>
      </c>
      <c r="D314" s="61">
        <v>1056</v>
      </c>
      <c r="E314" s="61">
        <v>269</v>
      </c>
      <c r="F314" s="61">
        <v>285</v>
      </c>
      <c r="G314" s="55">
        <v>0</v>
      </c>
      <c r="H314" s="62">
        <f t="shared" si="8"/>
        <v>554</v>
      </c>
      <c r="I314" s="55">
        <v>94</v>
      </c>
      <c r="J314" s="29">
        <v>0</v>
      </c>
      <c r="K314" s="18">
        <v>1</v>
      </c>
      <c r="L314" s="63" t="s">
        <v>29</v>
      </c>
      <c r="M314" s="12">
        <f>+'Form20 '!B315</f>
        <v>362</v>
      </c>
      <c r="N314" s="18">
        <v>2</v>
      </c>
      <c r="O314" s="58" t="s">
        <v>24</v>
      </c>
      <c r="P314" s="12">
        <f>+'Form20 '!C315</f>
        <v>15</v>
      </c>
      <c r="Q314" s="18">
        <v>3</v>
      </c>
      <c r="R314" s="63" t="s">
        <v>28</v>
      </c>
      <c r="S314" s="12">
        <f>+'Form20 '!D315</f>
        <v>165</v>
      </c>
      <c r="T314" s="18">
        <v>4</v>
      </c>
      <c r="U314" s="64" t="s">
        <v>65</v>
      </c>
      <c r="V314" s="12">
        <f>+'Form20 '!E315</f>
        <v>4</v>
      </c>
      <c r="W314" s="18">
        <v>5</v>
      </c>
      <c r="X314" s="58" t="s">
        <v>66</v>
      </c>
      <c r="Y314" s="12">
        <f>+'Form20 '!F315</f>
        <v>0</v>
      </c>
      <c r="Z314" s="18">
        <v>6</v>
      </c>
      <c r="AA314" s="64" t="s">
        <v>67</v>
      </c>
      <c r="AB314" s="12">
        <f>+'Form20 '!G315</f>
        <v>1</v>
      </c>
      <c r="AC314" s="18">
        <v>7</v>
      </c>
      <c r="AD314" s="63" t="s">
        <v>68</v>
      </c>
      <c r="AE314" s="12">
        <f>+'Form20 '!H315</f>
        <v>0</v>
      </c>
      <c r="AF314" s="18">
        <v>8</v>
      </c>
      <c r="AG314" s="63" t="s">
        <v>69</v>
      </c>
      <c r="AH314" s="12">
        <f>+'Form20 '!I315</f>
        <v>0</v>
      </c>
      <c r="AI314" s="18">
        <v>9</v>
      </c>
      <c r="AJ314" s="65" t="s">
        <v>70</v>
      </c>
      <c r="AK314" s="12">
        <f>+'Form20 '!J315</f>
        <v>0</v>
      </c>
      <c r="AL314" s="18">
        <v>10</v>
      </c>
      <c r="AM314" s="66" t="s">
        <v>30</v>
      </c>
      <c r="AN314" s="12">
        <f>+'Form20 '!K315</f>
        <v>0</v>
      </c>
      <c r="AO314" s="18">
        <v>11</v>
      </c>
      <c r="AP314" s="66" t="s">
        <v>30</v>
      </c>
      <c r="AQ314" s="12">
        <f>+'Form20 '!L315</f>
        <v>0</v>
      </c>
      <c r="AR314" s="18">
        <v>12</v>
      </c>
      <c r="AS314" s="66" t="s">
        <v>30</v>
      </c>
      <c r="AT314" s="12">
        <f>+'Form20 '!M315</f>
        <v>0</v>
      </c>
      <c r="AU314" s="18">
        <v>13</v>
      </c>
      <c r="AV314" s="66" t="s">
        <v>30</v>
      </c>
      <c r="AW314" s="12">
        <f>+'Form20 '!N315</f>
        <v>0</v>
      </c>
      <c r="AX314" s="18">
        <v>14</v>
      </c>
      <c r="AY314" s="66" t="s">
        <v>30</v>
      </c>
      <c r="AZ314" s="12">
        <f>+'Form20 '!O315</f>
        <v>0</v>
      </c>
      <c r="BA314" s="75">
        <f t="shared" si="9"/>
        <v>547</v>
      </c>
    </row>
    <row r="315" spans="1:53" s="67" customFormat="1" ht="59.25" customHeight="1">
      <c r="A315" s="18">
        <v>333</v>
      </c>
      <c r="B315" s="59">
        <v>309</v>
      </c>
      <c r="C315" s="76" t="s">
        <v>382</v>
      </c>
      <c r="D315" s="61">
        <v>1123</v>
      </c>
      <c r="E315" s="61">
        <v>355</v>
      </c>
      <c r="F315" s="61">
        <v>363</v>
      </c>
      <c r="G315" s="55">
        <v>0</v>
      </c>
      <c r="H315" s="62">
        <f t="shared" si="8"/>
        <v>718</v>
      </c>
      <c r="I315" s="55">
        <v>66</v>
      </c>
      <c r="J315" s="29">
        <v>0</v>
      </c>
      <c r="K315" s="18">
        <v>1</v>
      </c>
      <c r="L315" s="63" t="s">
        <v>29</v>
      </c>
      <c r="M315" s="12">
        <f>+'Form20 '!B316</f>
        <v>426</v>
      </c>
      <c r="N315" s="18">
        <v>2</v>
      </c>
      <c r="O315" s="58" t="s">
        <v>24</v>
      </c>
      <c r="P315" s="12">
        <f>+'Form20 '!C316</f>
        <v>52</v>
      </c>
      <c r="Q315" s="18">
        <v>3</v>
      </c>
      <c r="R315" s="63" t="s">
        <v>28</v>
      </c>
      <c r="S315" s="12">
        <f>+'Form20 '!D316</f>
        <v>215</v>
      </c>
      <c r="T315" s="18">
        <v>4</v>
      </c>
      <c r="U315" s="64" t="s">
        <v>65</v>
      </c>
      <c r="V315" s="12">
        <f>+'Form20 '!E316</f>
        <v>8</v>
      </c>
      <c r="W315" s="18">
        <v>5</v>
      </c>
      <c r="X315" s="58" t="s">
        <v>66</v>
      </c>
      <c r="Y315" s="12">
        <f>+'Form20 '!F316</f>
        <v>0</v>
      </c>
      <c r="Z315" s="18">
        <v>6</v>
      </c>
      <c r="AA315" s="64" t="s">
        <v>67</v>
      </c>
      <c r="AB315" s="12">
        <f>+'Form20 '!G316</f>
        <v>1</v>
      </c>
      <c r="AC315" s="18">
        <v>7</v>
      </c>
      <c r="AD315" s="63" t="s">
        <v>68</v>
      </c>
      <c r="AE315" s="12">
        <f>+'Form20 '!H316</f>
        <v>0</v>
      </c>
      <c r="AF315" s="18">
        <v>8</v>
      </c>
      <c r="AG315" s="63" t="s">
        <v>69</v>
      </c>
      <c r="AH315" s="12">
        <f>+'Form20 '!I316</f>
        <v>2</v>
      </c>
      <c r="AI315" s="18">
        <v>9</v>
      </c>
      <c r="AJ315" s="65" t="s">
        <v>70</v>
      </c>
      <c r="AK315" s="12">
        <f>+'Form20 '!J316</f>
        <v>0</v>
      </c>
      <c r="AL315" s="18">
        <v>10</v>
      </c>
      <c r="AM315" s="66" t="s">
        <v>30</v>
      </c>
      <c r="AN315" s="12">
        <f>+'Form20 '!K316</f>
        <v>2</v>
      </c>
      <c r="AO315" s="18">
        <v>11</v>
      </c>
      <c r="AP315" s="66" t="s">
        <v>30</v>
      </c>
      <c r="AQ315" s="12">
        <f>+'Form20 '!L316</f>
        <v>0</v>
      </c>
      <c r="AR315" s="18">
        <v>12</v>
      </c>
      <c r="AS315" s="66" t="s">
        <v>30</v>
      </c>
      <c r="AT315" s="12">
        <f>+'Form20 '!M316</f>
        <v>2</v>
      </c>
      <c r="AU315" s="18">
        <v>13</v>
      </c>
      <c r="AV315" s="66" t="s">
        <v>30</v>
      </c>
      <c r="AW315" s="12">
        <f>+'Form20 '!N316</f>
        <v>1</v>
      </c>
      <c r="AX315" s="18">
        <v>14</v>
      </c>
      <c r="AY315" s="66" t="s">
        <v>30</v>
      </c>
      <c r="AZ315" s="12">
        <f>+'Form20 '!O316</f>
        <v>0</v>
      </c>
      <c r="BA315" s="75">
        <f t="shared" si="9"/>
        <v>709</v>
      </c>
    </row>
    <row r="316" spans="1:53" s="67" customFormat="1" ht="59.25" customHeight="1">
      <c r="A316" s="18">
        <v>333</v>
      </c>
      <c r="B316" s="59">
        <v>310</v>
      </c>
      <c r="C316" s="76" t="s">
        <v>383</v>
      </c>
      <c r="D316" s="61">
        <v>1012</v>
      </c>
      <c r="E316" s="61">
        <v>287</v>
      </c>
      <c r="F316" s="61">
        <v>295</v>
      </c>
      <c r="G316" s="55">
        <v>0</v>
      </c>
      <c r="H316" s="62">
        <f t="shared" si="8"/>
        <v>582</v>
      </c>
      <c r="I316" s="55">
        <v>55</v>
      </c>
      <c r="J316" s="29">
        <v>0</v>
      </c>
      <c r="K316" s="18">
        <v>1</v>
      </c>
      <c r="L316" s="63" t="s">
        <v>29</v>
      </c>
      <c r="M316" s="12">
        <f>+'Form20 '!B317</f>
        <v>227</v>
      </c>
      <c r="N316" s="18">
        <v>2</v>
      </c>
      <c r="O316" s="58" t="s">
        <v>24</v>
      </c>
      <c r="P316" s="12">
        <f>+'Form20 '!C317</f>
        <v>14</v>
      </c>
      <c r="Q316" s="18">
        <v>3</v>
      </c>
      <c r="R316" s="63" t="s">
        <v>28</v>
      </c>
      <c r="S316" s="12">
        <f>+'Form20 '!D317</f>
        <v>293</v>
      </c>
      <c r="T316" s="18">
        <v>4</v>
      </c>
      <c r="U316" s="64" t="s">
        <v>65</v>
      </c>
      <c r="V316" s="12">
        <f>+'Form20 '!E317</f>
        <v>26</v>
      </c>
      <c r="W316" s="18">
        <v>5</v>
      </c>
      <c r="X316" s="58" t="s">
        <v>66</v>
      </c>
      <c r="Y316" s="12">
        <f>+'Form20 '!F317</f>
        <v>1</v>
      </c>
      <c r="Z316" s="18">
        <v>6</v>
      </c>
      <c r="AA316" s="64" t="s">
        <v>67</v>
      </c>
      <c r="AB316" s="12">
        <f>+'Form20 '!G317</f>
        <v>1</v>
      </c>
      <c r="AC316" s="18">
        <v>7</v>
      </c>
      <c r="AD316" s="63" t="s">
        <v>68</v>
      </c>
      <c r="AE316" s="12">
        <f>+'Form20 '!H317</f>
        <v>0</v>
      </c>
      <c r="AF316" s="18">
        <v>8</v>
      </c>
      <c r="AG316" s="63" t="s">
        <v>69</v>
      </c>
      <c r="AH316" s="12">
        <f>+'Form20 '!I317</f>
        <v>1</v>
      </c>
      <c r="AI316" s="18">
        <v>9</v>
      </c>
      <c r="AJ316" s="65" t="s">
        <v>70</v>
      </c>
      <c r="AK316" s="12">
        <f>+'Form20 '!J317</f>
        <v>6</v>
      </c>
      <c r="AL316" s="18">
        <v>10</v>
      </c>
      <c r="AM316" s="66" t="s">
        <v>30</v>
      </c>
      <c r="AN316" s="12">
        <f>+'Form20 '!K317</f>
        <v>0</v>
      </c>
      <c r="AO316" s="18">
        <v>11</v>
      </c>
      <c r="AP316" s="66" t="s">
        <v>30</v>
      </c>
      <c r="AQ316" s="12">
        <f>+'Form20 '!L317</f>
        <v>1</v>
      </c>
      <c r="AR316" s="18">
        <v>12</v>
      </c>
      <c r="AS316" s="66" t="s">
        <v>30</v>
      </c>
      <c r="AT316" s="12">
        <f>+'Form20 '!M317</f>
        <v>4</v>
      </c>
      <c r="AU316" s="18">
        <v>13</v>
      </c>
      <c r="AV316" s="66" t="s">
        <v>30</v>
      </c>
      <c r="AW316" s="12">
        <f>+'Form20 '!N317</f>
        <v>2</v>
      </c>
      <c r="AX316" s="18">
        <v>14</v>
      </c>
      <c r="AY316" s="66" t="s">
        <v>30</v>
      </c>
      <c r="AZ316" s="12">
        <f>+'Form20 '!O317</f>
        <v>0</v>
      </c>
      <c r="BA316" s="75">
        <f t="shared" si="9"/>
        <v>576</v>
      </c>
    </row>
    <row r="317" spans="1:53" s="67" customFormat="1" ht="59.25" customHeight="1">
      <c r="A317" s="18">
        <v>333</v>
      </c>
      <c r="B317" s="59">
        <v>311</v>
      </c>
      <c r="C317" s="76" t="s">
        <v>384</v>
      </c>
      <c r="D317" s="61">
        <v>751</v>
      </c>
      <c r="E317" s="61">
        <v>244</v>
      </c>
      <c r="F317" s="61">
        <v>272</v>
      </c>
      <c r="G317" s="55">
        <v>0</v>
      </c>
      <c r="H317" s="62">
        <f t="shared" si="8"/>
        <v>516</v>
      </c>
      <c r="I317" s="55">
        <v>85</v>
      </c>
      <c r="J317" s="29">
        <v>0</v>
      </c>
      <c r="K317" s="18">
        <v>1</v>
      </c>
      <c r="L317" s="63" t="s">
        <v>29</v>
      </c>
      <c r="M317" s="12">
        <f>+'Form20 '!B318</f>
        <v>335</v>
      </c>
      <c r="N317" s="18">
        <v>2</v>
      </c>
      <c r="O317" s="58" t="s">
        <v>24</v>
      </c>
      <c r="P317" s="12">
        <f>+'Form20 '!C318</f>
        <v>38</v>
      </c>
      <c r="Q317" s="18">
        <v>3</v>
      </c>
      <c r="R317" s="63" t="s">
        <v>28</v>
      </c>
      <c r="S317" s="12">
        <f>+'Form20 '!D318</f>
        <v>115</v>
      </c>
      <c r="T317" s="18">
        <v>4</v>
      </c>
      <c r="U317" s="64" t="s">
        <v>65</v>
      </c>
      <c r="V317" s="12">
        <f>+'Form20 '!E318</f>
        <v>18</v>
      </c>
      <c r="W317" s="18">
        <v>5</v>
      </c>
      <c r="X317" s="58" t="s">
        <v>66</v>
      </c>
      <c r="Y317" s="12">
        <f>+'Form20 '!F318</f>
        <v>1</v>
      </c>
      <c r="Z317" s="18">
        <v>6</v>
      </c>
      <c r="AA317" s="64" t="s">
        <v>67</v>
      </c>
      <c r="AB317" s="12">
        <f>+'Form20 '!G318</f>
        <v>0</v>
      </c>
      <c r="AC317" s="18">
        <v>7</v>
      </c>
      <c r="AD317" s="63" t="s">
        <v>68</v>
      </c>
      <c r="AE317" s="12">
        <f>+'Form20 '!H318</f>
        <v>0</v>
      </c>
      <c r="AF317" s="18">
        <v>8</v>
      </c>
      <c r="AG317" s="63" t="s">
        <v>69</v>
      </c>
      <c r="AH317" s="12">
        <f>+'Form20 '!I318</f>
        <v>3</v>
      </c>
      <c r="AI317" s="18">
        <v>9</v>
      </c>
      <c r="AJ317" s="65" t="s">
        <v>70</v>
      </c>
      <c r="AK317" s="12">
        <f>+'Form20 '!J318</f>
        <v>0</v>
      </c>
      <c r="AL317" s="18">
        <v>10</v>
      </c>
      <c r="AM317" s="66" t="s">
        <v>30</v>
      </c>
      <c r="AN317" s="12">
        <f>+'Form20 '!K318</f>
        <v>1</v>
      </c>
      <c r="AO317" s="18">
        <v>11</v>
      </c>
      <c r="AP317" s="66" t="s">
        <v>30</v>
      </c>
      <c r="AQ317" s="12">
        <f>+'Form20 '!L318</f>
        <v>2</v>
      </c>
      <c r="AR317" s="18">
        <v>12</v>
      </c>
      <c r="AS317" s="66" t="s">
        <v>30</v>
      </c>
      <c r="AT317" s="12">
        <f>+'Form20 '!M318</f>
        <v>1</v>
      </c>
      <c r="AU317" s="18">
        <v>13</v>
      </c>
      <c r="AV317" s="66" t="s">
        <v>30</v>
      </c>
      <c r="AW317" s="12">
        <f>+'Form20 '!N318</f>
        <v>0</v>
      </c>
      <c r="AX317" s="18">
        <v>14</v>
      </c>
      <c r="AY317" s="66" t="s">
        <v>30</v>
      </c>
      <c r="AZ317" s="12">
        <f>+'Form20 '!O318</f>
        <v>0</v>
      </c>
      <c r="BA317" s="75">
        <f t="shared" si="9"/>
        <v>514</v>
      </c>
    </row>
    <row r="318" spans="1:53" s="67" customFormat="1" ht="59.25" customHeight="1">
      <c r="A318" s="18">
        <v>333</v>
      </c>
      <c r="B318" s="59">
        <v>312</v>
      </c>
      <c r="C318" s="76" t="s">
        <v>385</v>
      </c>
      <c r="D318" s="61">
        <v>741</v>
      </c>
      <c r="E318" s="61">
        <v>223</v>
      </c>
      <c r="F318" s="61">
        <v>257</v>
      </c>
      <c r="G318" s="55">
        <v>0</v>
      </c>
      <c r="H318" s="62">
        <f t="shared" si="8"/>
        <v>480</v>
      </c>
      <c r="I318" s="55">
        <v>30</v>
      </c>
      <c r="J318" s="29">
        <v>0</v>
      </c>
      <c r="K318" s="18">
        <v>1</v>
      </c>
      <c r="L318" s="63" t="s">
        <v>29</v>
      </c>
      <c r="M318" s="12">
        <f>+'Form20 '!B319</f>
        <v>354</v>
      </c>
      <c r="N318" s="18">
        <v>2</v>
      </c>
      <c r="O318" s="58" t="s">
        <v>24</v>
      </c>
      <c r="P318" s="12">
        <f>+'Form20 '!C319</f>
        <v>1</v>
      </c>
      <c r="Q318" s="18">
        <v>3</v>
      </c>
      <c r="R318" s="63" t="s">
        <v>28</v>
      </c>
      <c r="S318" s="12">
        <f>+'Form20 '!D319</f>
        <v>92</v>
      </c>
      <c r="T318" s="18">
        <v>4</v>
      </c>
      <c r="U318" s="64" t="s">
        <v>65</v>
      </c>
      <c r="V318" s="12">
        <f>+'Form20 '!E319</f>
        <v>24</v>
      </c>
      <c r="W318" s="18">
        <v>5</v>
      </c>
      <c r="X318" s="58" t="s">
        <v>66</v>
      </c>
      <c r="Y318" s="12">
        <f>+'Form20 '!F319</f>
        <v>1</v>
      </c>
      <c r="Z318" s="18">
        <v>6</v>
      </c>
      <c r="AA318" s="64" t="s">
        <v>67</v>
      </c>
      <c r="AB318" s="12">
        <f>+'Form20 '!G319</f>
        <v>0</v>
      </c>
      <c r="AC318" s="18">
        <v>7</v>
      </c>
      <c r="AD318" s="63" t="s">
        <v>68</v>
      </c>
      <c r="AE318" s="12">
        <f>+'Form20 '!H319</f>
        <v>0</v>
      </c>
      <c r="AF318" s="18">
        <v>8</v>
      </c>
      <c r="AG318" s="63" t="s">
        <v>69</v>
      </c>
      <c r="AH318" s="12">
        <f>+'Form20 '!I319</f>
        <v>0</v>
      </c>
      <c r="AI318" s="18">
        <v>9</v>
      </c>
      <c r="AJ318" s="65" t="s">
        <v>70</v>
      </c>
      <c r="AK318" s="12">
        <f>+'Form20 '!J319</f>
        <v>0</v>
      </c>
      <c r="AL318" s="18">
        <v>10</v>
      </c>
      <c r="AM318" s="66" t="s">
        <v>30</v>
      </c>
      <c r="AN318" s="12">
        <f>+'Form20 '!K319</f>
        <v>0</v>
      </c>
      <c r="AO318" s="18">
        <v>11</v>
      </c>
      <c r="AP318" s="66" t="s">
        <v>30</v>
      </c>
      <c r="AQ318" s="12">
        <f>+'Form20 '!L319</f>
        <v>0</v>
      </c>
      <c r="AR318" s="18">
        <v>12</v>
      </c>
      <c r="AS318" s="66" t="s">
        <v>30</v>
      </c>
      <c r="AT318" s="12">
        <f>+'Form20 '!M319</f>
        <v>2</v>
      </c>
      <c r="AU318" s="18">
        <v>13</v>
      </c>
      <c r="AV318" s="66" t="s">
        <v>30</v>
      </c>
      <c r="AW318" s="12">
        <f>+'Form20 '!N319</f>
        <v>1</v>
      </c>
      <c r="AX318" s="18">
        <v>14</v>
      </c>
      <c r="AY318" s="66" t="s">
        <v>30</v>
      </c>
      <c r="AZ318" s="12">
        <f>+'Form20 '!O319</f>
        <v>1</v>
      </c>
      <c r="BA318" s="75">
        <f t="shared" si="9"/>
        <v>476</v>
      </c>
    </row>
    <row r="319" spans="1:53" s="67" customFormat="1" ht="59.25" customHeight="1">
      <c r="A319" s="18">
        <v>333</v>
      </c>
      <c r="B319" s="59">
        <v>313</v>
      </c>
      <c r="C319" s="76" t="s">
        <v>386</v>
      </c>
      <c r="D319" s="61">
        <v>1098</v>
      </c>
      <c r="E319" s="61">
        <v>352</v>
      </c>
      <c r="F319" s="61">
        <v>335</v>
      </c>
      <c r="G319" s="55">
        <v>0</v>
      </c>
      <c r="H319" s="62">
        <f t="shared" si="8"/>
        <v>687</v>
      </c>
      <c r="I319" s="55">
        <v>87</v>
      </c>
      <c r="J319" s="29">
        <v>0</v>
      </c>
      <c r="K319" s="18">
        <v>1</v>
      </c>
      <c r="L319" s="63" t="s">
        <v>29</v>
      </c>
      <c r="M319" s="12">
        <f>+'Form20 '!B320</f>
        <v>369</v>
      </c>
      <c r="N319" s="18">
        <v>2</v>
      </c>
      <c r="O319" s="58" t="s">
        <v>24</v>
      </c>
      <c r="P319" s="12">
        <f>+'Form20 '!C320</f>
        <v>19</v>
      </c>
      <c r="Q319" s="18">
        <v>3</v>
      </c>
      <c r="R319" s="63" t="s">
        <v>28</v>
      </c>
      <c r="S319" s="12">
        <f>+'Form20 '!D320</f>
        <v>271</v>
      </c>
      <c r="T319" s="18">
        <v>4</v>
      </c>
      <c r="U319" s="64" t="s">
        <v>65</v>
      </c>
      <c r="V319" s="12">
        <f>+'Form20 '!E320</f>
        <v>11</v>
      </c>
      <c r="W319" s="18">
        <v>5</v>
      </c>
      <c r="X319" s="58" t="s">
        <v>66</v>
      </c>
      <c r="Y319" s="12">
        <f>+'Form20 '!F320</f>
        <v>0</v>
      </c>
      <c r="Z319" s="18">
        <v>6</v>
      </c>
      <c r="AA319" s="64" t="s">
        <v>67</v>
      </c>
      <c r="AB319" s="12">
        <f>+'Form20 '!G320</f>
        <v>2</v>
      </c>
      <c r="AC319" s="18">
        <v>7</v>
      </c>
      <c r="AD319" s="63" t="s">
        <v>68</v>
      </c>
      <c r="AE319" s="12">
        <f>+'Form20 '!H320</f>
        <v>2</v>
      </c>
      <c r="AF319" s="18">
        <v>8</v>
      </c>
      <c r="AG319" s="63" t="s">
        <v>69</v>
      </c>
      <c r="AH319" s="12">
        <f>+'Form20 '!I320</f>
        <v>1</v>
      </c>
      <c r="AI319" s="18">
        <v>9</v>
      </c>
      <c r="AJ319" s="65" t="s">
        <v>70</v>
      </c>
      <c r="AK319" s="12">
        <f>+'Form20 '!J320</f>
        <v>0</v>
      </c>
      <c r="AL319" s="18">
        <v>10</v>
      </c>
      <c r="AM319" s="66" t="s">
        <v>30</v>
      </c>
      <c r="AN319" s="12">
        <f>+'Form20 '!K320</f>
        <v>0</v>
      </c>
      <c r="AO319" s="18">
        <v>11</v>
      </c>
      <c r="AP319" s="66" t="s">
        <v>30</v>
      </c>
      <c r="AQ319" s="12">
        <f>+'Form20 '!L320</f>
        <v>1</v>
      </c>
      <c r="AR319" s="18">
        <v>12</v>
      </c>
      <c r="AS319" s="66" t="s">
        <v>30</v>
      </c>
      <c r="AT319" s="12">
        <f>+'Form20 '!M320</f>
        <v>3</v>
      </c>
      <c r="AU319" s="18">
        <v>13</v>
      </c>
      <c r="AV319" s="66" t="s">
        <v>30</v>
      </c>
      <c r="AW319" s="12">
        <f>+'Form20 '!N320</f>
        <v>3</v>
      </c>
      <c r="AX319" s="18">
        <v>14</v>
      </c>
      <c r="AY319" s="66" t="s">
        <v>30</v>
      </c>
      <c r="AZ319" s="12">
        <f>+'Form20 '!O320</f>
        <v>1</v>
      </c>
      <c r="BA319" s="75">
        <f t="shared" si="9"/>
        <v>683</v>
      </c>
    </row>
    <row r="320" spans="1:53" s="67" customFormat="1" ht="59.25" customHeight="1">
      <c r="A320" s="18">
        <v>333</v>
      </c>
      <c r="B320" s="59">
        <v>314</v>
      </c>
      <c r="C320" s="76" t="s">
        <v>387</v>
      </c>
      <c r="D320" s="61">
        <v>971</v>
      </c>
      <c r="E320" s="61">
        <v>334</v>
      </c>
      <c r="F320" s="61">
        <v>313</v>
      </c>
      <c r="G320" s="55">
        <v>0</v>
      </c>
      <c r="H320" s="62">
        <f t="shared" si="8"/>
        <v>647</v>
      </c>
      <c r="I320" s="55">
        <v>30</v>
      </c>
      <c r="J320" s="29">
        <v>0</v>
      </c>
      <c r="K320" s="18">
        <v>1</v>
      </c>
      <c r="L320" s="63" t="s">
        <v>29</v>
      </c>
      <c r="M320" s="12">
        <f>+'Form20 '!B321</f>
        <v>336</v>
      </c>
      <c r="N320" s="18">
        <v>2</v>
      </c>
      <c r="O320" s="58" t="s">
        <v>24</v>
      </c>
      <c r="P320" s="12">
        <f>+'Form20 '!C321</f>
        <v>50</v>
      </c>
      <c r="Q320" s="18">
        <v>3</v>
      </c>
      <c r="R320" s="63" t="s">
        <v>28</v>
      </c>
      <c r="S320" s="12">
        <f>+'Form20 '!D321</f>
        <v>236</v>
      </c>
      <c r="T320" s="18">
        <v>4</v>
      </c>
      <c r="U320" s="64" t="s">
        <v>65</v>
      </c>
      <c r="V320" s="12">
        <f>+'Form20 '!E321</f>
        <v>4</v>
      </c>
      <c r="W320" s="18">
        <v>5</v>
      </c>
      <c r="X320" s="58" t="s">
        <v>66</v>
      </c>
      <c r="Y320" s="12">
        <f>+'Form20 '!F321</f>
        <v>0</v>
      </c>
      <c r="Z320" s="18">
        <v>6</v>
      </c>
      <c r="AA320" s="64" t="s">
        <v>67</v>
      </c>
      <c r="AB320" s="12">
        <f>+'Form20 '!G321</f>
        <v>0</v>
      </c>
      <c r="AC320" s="18">
        <v>7</v>
      </c>
      <c r="AD320" s="63" t="s">
        <v>68</v>
      </c>
      <c r="AE320" s="12">
        <f>+'Form20 '!H321</f>
        <v>0</v>
      </c>
      <c r="AF320" s="18">
        <v>8</v>
      </c>
      <c r="AG320" s="63" t="s">
        <v>69</v>
      </c>
      <c r="AH320" s="12">
        <f>+'Form20 '!I321</f>
        <v>3</v>
      </c>
      <c r="AI320" s="18">
        <v>9</v>
      </c>
      <c r="AJ320" s="65" t="s">
        <v>70</v>
      </c>
      <c r="AK320" s="12">
        <f>+'Form20 '!J321</f>
        <v>2</v>
      </c>
      <c r="AL320" s="18">
        <v>10</v>
      </c>
      <c r="AM320" s="66" t="s">
        <v>30</v>
      </c>
      <c r="AN320" s="12">
        <f>+'Form20 '!K321</f>
        <v>0</v>
      </c>
      <c r="AO320" s="18">
        <v>11</v>
      </c>
      <c r="AP320" s="66" t="s">
        <v>30</v>
      </c>
      <c r="AQ320" s="12">
        <f>+'Form20 '!L321</f>
        <v>3</v>
      </c>
      <c r="AR320" s="18">
        <v>12</v>
      </c>
      <c r="AS320" s="66" t="s">
        <v>30</v>
      </c>
      <c r="AT320" s="12">
        <f>+'Form20 '!M321</f>
        <v>4</v>
      </c>
      <c r="AU320" s="18">
        <v>13</v>
      </c>
      <c r="AV320" s="66" t="s">
        <v>30</v>
      </c>
      <c r="AW320" s="12">
        <f>+'Form20 '!N321</f>
        <v>1</v>
      </c>
      <c r="AX320" s="18">
        <v>14</v>
      </c>
      <c r="AY320" s="66" t="s">
        <v>30</v>
      </c>
      <c r="AZ320" s="12">
        <f>+'Form20 '!O321</f>
        <v>2</v>
      </c>
      <c r="BA320" s="75">
        <f t="shared" si="9"/>
        <v>641</v>
      </c>
    </row>
    <row r="321" spans="1:53" s="67" customFormat="1" ht="59.25" customHeight="1">
      <c r="A321" s="18">
        <v>333</v>
      </c>
      <c r="B321" s="59">
        <v>315</v>
      </c>
      <c r="C321" s="76" t="s">
        <v>388</v>
      </c>
      <c r="D321" s="61">
        <v>316</v>
      </c>
      <c r="E321" s="61">
        <v>110</v>
      </c>
      <c r="F321" s="61">
        <v>131</v>
      </c>
      <c r="G321" s="55">
        <v>0</v>
      </c>
      <c r="H321" s="62">
        <f t="shared" si="8"/>
        <v>241</v>
      </c>
      <c r="I321" s="55">
        <v>7</v>
      </c>
      <c r="J321" s="29">
        <v>0</v>
      </c>
      <c r="K321" s="18">
        <v>1</v>
      </c>
      <c r="L321" s="63" t="s">
        <v>29</v>
      </c>
      <c r="M321" s="12">
        <f>+'Form20 '!B322</f>
        <v>194</v>
      </c>
      <c r="N321" s="18">
        <v>2</v>
      </c>
      <c r="O321" s="58" t="s">
        <v>24</v>
      </c>
      <c r="P321" s="12">
        <f>+'Form20 '!C322</f>
        <v>7</v>
      </c>
      <c r="Q321" s="18">
        <v>3</v>
      </c>
      <c r="R321" s="63" t="s">
        <v>28</v>
      </c>
      <c r="S321" s="12">
        <f>+'Form20 '!D322</f>
        <v>39</v>
      </c>
      <c r="T321" s="18">
        <v>4</v>
      </c>
      <c r="U321" s="64" t="s">
        <v>65</v>
      </c>
      <c r="V321" s="12">
        <f>+'Form20 '!E322</f>
        <v>0</v>
      </c>
      <c r="W321" s="18">
        <v>5</v>
      </c>
      <c r="X321" s="58" t="s">
        <v>66</v>
      </c>
      <c r="Y321" s="12">
        <f>+'Form20 '!F322</f>
        <v>0</v>
      </c>
      <c r="Z321" s="18">
        <v>6</v>
      </c>
      <c r="AA321" s="64" t="s">
        <v>67</v>
      </c>
      <c r="AB321" s="12">
        <f>+'Form20 '!G322</f>
        <v>0</v>
      </c>
      <c r="AC321" s="18">
        <v>7</v>
      </c>
      <c r="AD321" s="63" t="s">
        <v>68</v>
      </c>
      <c r="AE321" s="12">
        <f>+'Form20 '!H322</f>
        <v>0</v>
      </c>
      <c r="AF321" s="18">
        <v>8</v>
      </c>
      <c r="AG321" s="63" t="s">
        <v>69</v>
      </c>
      <c r="AH321" s="12">
        <f>+'Form20 '!I322</f>
        <v>0</v>
      </c>
      <c r="AI321" s="18">
        <v>9</v>
      </c>
      <c r="AJ321" s="65" t="s">
        <v>70</v>
      </c>
      <c r="AK321" s="12">
        <f>+'Form20 '!J322</f>
        <v>0</v>
      </c>
      <c r="AL321" s="18">
        <v>10</v>
      </c>
      <c r="AM321" s="66" t="s">
        <v>30</v>
      </c>
      <c r="AN321" s="12">
        <f>+'Form20 '!K322</f>
        <v>0</v>
      </c>
      <c r="AO321" s="18">
        <v>11</v>
      </c>
      <c r="AP321" s="66" t="s">
        <v>30</v>
      </c>
      <c r="AQ321" s="12">
        <f>+'Form20 '!L322</f>
        <v>0</v>
      </c>
      <c r="AR321" s="18">
        <v>12</v>
      </c>
      <c r="AS321" s="66" t="s">
        <v>30</v>
      </c>
      <c r="AT321" s="12">
        <f>+'Form20 '!M322</f>
        <v>0</v>
      </c>
      <c r="AU321" s="18">
        <v>13</v>
      </c>
      <c r="AV321" s="66" t="s">
        <v>30</v>
      </c>
      <c r="AW321" s="12">
        <f>+'Form20 '!N322</f>
        <v>0</v>
      </c>
      <c r="AX321" s="18">
        <v>14</v>
      </c>
      <c r="AY321" s="66" t="s">
        <v>30</v>
      </c>
      <c r="AZ321" s="12">
        <f>+'Form20 '!O322</f>
        <v>0</v>
      </c>
      <c r="BA321" s="75">
        <f t="shared" si="9"/>
        <v>240</v>
      </c>
    </row>
    <row r="322" spans="1:53" s="67" customFormat="1" ht="59.25" customHeight="1">
      <c r="A322" s="18">
        <v>333</v>
      </c>
      <c r="B322" s="59">
        <v>316</v>
      </c>
      <c r="C322" s="76" t="s">
        <v>389</v>
      </c>
      <c r="D322" s="61">
        <v>1143</v>
      </c>
      <c r="E322" s="61">
        <v>427</v>
      </c>
      <c r="F322" s="61">
        <v>423</v>
      </c>
      <c r="G322" s="55">
        <v>0</v>
      </c>
      <c r="H322" s="62">
        <f t="shared" si="8"/>
        <v>850</v>
      </c>
      <c r="I322" s="55">
        <v>141</v>
      </c>
      <c r="J322" s="29">
        <v>0</v>
      </c>
      <c r="K322" s="18">
        <v>1</v>
      </c>
      <c r="L322" s="63" t="s">
        <v>29</v>
      </c>
      <c r="M322" s="12">
        <f>+'Form20 '!B323</f>
        <v>386</v>
      </c>
      <c r="N322" s="18">
        <v>2</v>
      </c>
      <c r="O322" s="58" t="s">
        <v>24</v>
      </c>
      <c r="P322" s="12">
        <f>+'Form20 '!C323</f>
        <v>133</v>
      </c>
      <c r="Q322" s="18">
        <v>3</v>
      </c>
      <c r="R322" s="63" t="s">
        <v>28</v>
      </c>
      <c r="S322" s="12">
        <f>+'Form20 '!D323</f>
        <v>299</v>
      </c>
      <c r="T322" s="18">
        <v>4</v>
      </c>
      <c r="U322" s="64" t="s">
        <v>65</v>
      </c>
      <c r="V322" s="12">
        <f>+'Form20 '!E323</f>
        <v>10</v>
      </c>
      <c r="W322" s="18">
        <v>5</v>
      </c>
      <c r="X322" s="58" t="s">
        <v>66</v>
      </c>
      <c r="Y322" s="12">
        <f>+'Form20 '!F323</f>
        <v>0</v>
      </c>
      <c r="Z322" s="18">
        <v>6</v>
      </c>
      <c r="AA322" s="64" t="s">
        <v>67</v>
      </c>
      <c r="AB322" s="12">
        <f>+'Form20 '!G323</f>
        <v>0</v>
      </c>
      <c r="AC322" s="18">
        <v>7</v>
      </c>
      <c r="AD322" s="63" t="s">
        <v>68</v>
      </c>
      <c r="AE322" s="12">
        <f>+'Form20 '!H323</f>
        <v>1</v>
      </c>
      <c r="AF322" s="18">
        <v>8</v>
      </c>
      <c r="AG322" s="63" t="s">
        <v>69</v>
      </c>
      <c r="AH322" s="12">
        <f>+'Form20 '!I323</f>
        <v>0</v>
      </c>
      <c r="AI322" s="18">
        <v>9</v>
      </c>
      <c r="AJ322" s="65" t="s">
        <v>70</v>
      </c>
      <c r="AK322" s="12">
        <f>+'Form20 '!J323</f>
        <v>3</v>
      </c>
      <c r="AL322" s="18">
        <v>10</v>
      </c>
      <c r="AM322" s="66" t="s">
        <v>30</v>
      </c>
      <c r="AN322" s="12">
        <f>+'Form20 '!K323</f>
        <v>2</v>
      </c>
      <c r="AO322" s="18">
        <v>11</v>
      </c>
      <c r="AP322" s="66" t="s">
        <v>30</v>
      </c>
      <c r="AQ322" s="12">
        <f>+'Form20 '!L323</f>
        <v>2</v>
      </c>
      <c r="AR322" s="18">
        <v>12</v>
      </c>
      <c r="AS322" s="66" t="s">
        <v>30</v>
      </c>
      <c r="AT322" s="12">
        <f>+'Form20 '!M323</f>
        <v>5</v>
      </c>
      <c r="AU322" s="18">
        <v>13</v>
      </c>
      <c r="AV322" s="66" t="s">
        <v>30</v>
      </c>
      <c r="AW322" s="12">
        <f>+'Form20 '!N323</f>
        <v>3</v>
      </c>
      <c r="AX322" s="18">
        <v>14</v>
      </c>
      <c r="AY322" s="66" t="s">
        <v>30</v>
      </c>
      <c r="AZ322" s="12">
        <f>+'Form20 '!O323</f>
        <v>2</v>
      </c>
      <c r="BA322" s="75">
        <f t="shared" si="9"/>
        <v>846</v>
      </c>
    </row>
    <row r="323" spans="1:53" s="67" customFormat="1" ht="59.25" customHeight="1">
      <c r="A323" s="18">
        <v>333</v>
      </c>
      <c r="B323" s="59">
        <v>317</v>
      </c>
      <c r="C323" s="76" t="s">
        <v>390</v>
      </c>
      <c r="D323" s="61">
        <v>987</v>
      </c>
      <c r="E323" s="61">
        <v>308</v>
      </c>
      <c r="F323" s="61">
        <v>303</v>
      </c>
      <c r="G323" s="55">
        <v>0</v>
      </c>
      <c r="H323" s="62">
        <f t="shared" si="8"/>
        <v>611</v>
      </c>
      <c r="I323" s="55">
        <v>117</v>
      </c>
      <c r="J323" s="29">
        <v>0</v>
      </c>
      <c r="K323" s="68">
        <v>1</v>
      </c>
      <c r="L323" s="63" t="s">
        <v>29</v>
      </c>
      <c r="M323" s="12">
        <f>+'Form20 '!B324</f>
        <v>286</v>
      </c>
      <c r="N323" s="68">
        <v>2</v>
      </c>
      <c r="O323" s="58" t="s">
        <v>24</v>
      </c>
      <c r="P323" s="12">
        <f>+'Form20 '!C324</f>
        <v>40</v>
      </c>
      <c r="Q323" s="68">
        <v>3</v>
      </c>
      <c r="R323" s="63" t="s">
        <v>28</v>
      </c>
      <c r="S323" s="12">
        <f>+'Form20 '!D324</f>
        <v>281</v>
      </c>
      <c r="T323" s="68">
        <v>4</v>
      </c>
      <c r="U323" s="64" t="s">
        <v>65</v>
      </c>
      <c r="V323" s="12">
        <f>+'Form20 '!E324</f>
        <v>2</v>
      </c>
      <c r="W323" s="68">
        <v>5</v>
      </c>
      <c r="X323" s="58" t="s">
        <v>66</v>
      </c>
      <c r="Y323" s="12">
        <f>+'Form20 '!F324</f>
        <v>1</v>
      </c>
      <c r="Z323" s="18">
        <v>6</v>
      </c>
      <c r="AA323" s="64" t="s">
        <v>67</v>
      </c>
      <c r="AB323" s="12">
        <f>+'Form20 '!G324</f>
        <v>0</v>
      </c>
      <c r="AC323" s="68">
        <v>7</v>
      </c>
      <c r="AD323" s="63" t="s">
        <v>68</v>
      </c>
      <c r="AE323" s="12">
        <f>+'Form20 '!H324</f>
        <v>0</v>
      </c>
      <c r="AF323" s="68">
        <v>8</v>
      </c>
      <c r="AG323" s="63" t="s">
        <v>69</v>
      </c>
      <c r="AH323" s="12">
        <f>+'Form20 '!I324</f>
        <v>0</v>
      </c>
      <c r="AI323" s="68">
        <v>9</v>
      </c>
      <c r="AJ323" s="65" t="s">
        <v>70</v>
      </c>
      <c r="AK323" s="12">
        <f>+'Form20 '!J324</f>
        <v>0</v>
      </c>
      <c r="AL323" s="68">
        <v>10</v>
      </c>
      <c r="AM323" s="66" t="s">
        <v>30</v>
      </c>
      <c r="AN323" s="12">
        <f>+'Form20 '!K324</f>
        <v>0</v>
      </c>
      <c r="AO323" s="18">
        <v>11</v>
      </c>
      <c r="AP323" s="66" t="s">
        <v>30</v>
      </c>
      <c r="AQ323" s="12">
        <f>+'Form20 '!L324</f>
        <v>0</v>
      </c>
      <c r="AR323" s="18">
        <v>12</v>
      </c>
      <c r="AS323" s="66" t="s">
        <v>30</v>
      </c>
      <c r="AT323" s="12">
        <f>+'Form20 '!M324</f>
        <v>0</v>
      </c>
      <c r="AU323" s="18">
        <v>13</v>
      </c>
      <c r="AV323" s="66" t="s">
        <v>30</v>
      </c>
      <c r="AW323" s="12">
        <f>+'Form20 '!N324</f>
        <v>0</v>
      </c>
      <c r="AX323" s="18">
        <v>14</v>
      </c>
      <c r="AY323" s="66" t="s">
        <v>30</v>
      </c>
      <c r="AZ323" s="12">
        <f>+'Form20 '!O324</f>
        <v>0</v>
      </c>
      <c r="BA323" s="75">
        <f t="shared" si="9"/>
        <v>610</v>
      </c>
    </row>
    <row r="324" spans="1:53" s="67" customFormat="1" ht="59.25" customHeight="1">
      <c r="A324" s="18">
        <v>333</v>
      </c>
      <c r="B324" s="59">
        <v>318</v>
      </c>
      <c r="C324" s="76" t="s">
        <v>391</v>
      </c>
      <c r="D324" s="61">
        <v>1028</v>
      </c>
      <c r="E324" s="61">
        <v>334</v>
      </c>
      <c r="F324" s="61">
        <v>283</v>
      </c>
      <c r="G324" s="55">
        <v>0</v>
      </c>
      <c r="H324" s="62">
        <f t="shared" si="8"/>
        <v>617</v>
      </c>
      <c r="I324" s="55">
        <v>118</v>
      </c>
      <c r="J324" s="29">
        <v>0</v>
      </c>
      <c r="K324" s="68">
        <v>1</v>
      </c>
      <c r="L324" s="63" t="s">
        <v>29</v>
      </c>
      <c r="M324" s="12">
        <f>+'Form20 '!B325</f>
        <v>285</v>
      </c>
      <c r="N324" s="68">
        <v>2</v>
      </c>
      <c r="O324" s="58" t="s">
        <v>24</v>
      </c>
      <c r="P324" s="12">
        <f>+'Form20 '!C325</f>
        <v>103</v>
      </c>
      <c r="Q324" s="68">
        <v>3</v>
      </c>
      <c r="R324" s="63" t="s">
        <v>28</v>
      </c>
      <c r="S324" s="12">
        <f>+'Form20 '!D325</f>
        <v>212</v>
      </c>
      <c r="T324" s="68">
        <v>4</v>
      </c>
      <c r="U324" s="64" t="s">
        <v>65</v>
      </c>
      <c r="V324" s="12">
        <f>+'Form20 '!E325</f>
        <v>0</v>
      </c>
      <c r="W324" s="68">
        <v>5</v>
      </c>
      <c r="X324" s="58" t="s">
        <v>66</v>
      </c>
      <c r="Y324" s="12">
        <f>+'Form20 '!F325</f>
        <v>0</v>
      </c>
      <c r="Z324" s="18">
        <v>6</v>
      </c>
      <c r="AA324" s="64" t="s">
        <v>67</v>
      </c>
      <c r="AB324" s="12">
        <f>+'Form20 '!G325</f>
        <v>0</v>
      </c>
      <c r="AC324" s="68">
        <v>7</v>
      </c>
      <c r="AD324" s="63" t="s">
        <v>68</v>
      </c>
      <c r="AE324" s="12">
        <f>+'Form20 '!H325</f>
        <v>1</v>
      </c>
      <c r="AF324" s="68">
        <v>8</v>
      </c>
      <c r="AG324" s="63" t="s">
        <v>69</v>
      </c>
      <c r="AH324" s="12">
        <f>+'Form20 '!I325</f>
        <v>1</v>
      </c>
      <c r="AI324" s="68">
        <v>9</v>
      </c>
      <c r="AJ324" s="65" t="s">
        <v>70</v>
      </c>
      <c r="AK324" s="12">
        <f>+'Form20 '!J325</f>
        <v>9</v>
      </c>
      <c r="AL324" s="68">
        <v>10</v>
      </c>
      <c r="AM324" s="66" t="s">
        <v>30</v>
      </c>
      <c r="AN324" s="12">
        <f>+'Form20 '!K325</f>
        <v>0</v>
      </c>
      <c r="AO324" s="18">
        <v>11</v>
      </c>
      <c r="AP324" s="66" t="s">
        <v>30</v>
      </c>
      <c r="AQ324" s="12">
        <f>+'Form20 '!L325</f>
        <v>1</v>
      </c>
      <c r="AR324" s="18">
        <v>12</v>
      </c>
      <c r="AS324" s="66" t="s">
        <v>30</v>
      </c>
      <c r="AT324" s="12">
        <f>+'Form20 '!M325</f>
        <v>0</v>
      </c>
      <c r="AU324" s="18">
        <v>13</v>
      </c>
      <c r="AV324" s="66" t="s">
        <v>30</v>
      </c>
      <c r="AW324" s="12">
        <f>+'Form20 '!N325</f>
        <v>2</v>
      </c>
      <c r="AX324" s="18">
        <v>14</v>
      </c>
      <c r="AY324" s="66" t="s">
        <v>30</v>
      </c>
      <c r="AZ324" s="12">
        <f>+'Form20 '!O325</f>
        <v>0</v>
      </c>
      <c r="BA324" s="75">
        <f t="shared" si="9"/>
        <v>614</v>
      </c>
    </row>
    <row r="325" spans="1:53" s="67" customFormat="1" ht="59.25" customHeight="1">
      <c r="A325" s="18">
        <v>333</v>
      </c>
      <c r="B325" s="59">
        <v>319</v>
      </c>
      <c r="C325" s="76" t="s">
        <v>392</v>
      </c>
      <c r="D325" s="61">
        <v>804</v>
      </c>
      <c r="E325" s="61">
        <v>180</v>
      </c>
      <c r="F325" s="61">
        <v>135</v>
      </c>
      <c r="G325" s="55">
        <v>0</v>
      </c>
      <c r="H325" s="62">
        <f t="shared" si="8"/>
        <v>315</v>
      </c>
      <c r="I325" s="55">
        <v>103</v>
      </c>
      <c r="J325" s="29">
        <v>0</v>
      </c>
      <c r="K325" s="68">
        <v>1</v>
      </c>
      <c r="L325" s="63" t="s">
        <v>29</v>
      </c>
      <c r="M325" s="12">
        <f>+'Form20 '!B326</f>
        <v>144</v>
      </c>
      <c r="N325" s="68">
        <v>2</v>
      </c>
      <c r="O325" s="58" t="s">
        <v>24</v>
      </c>
      <c r="P325" s="12">
        <f>+'Form20 '!C326</f>
        <v>57</v>
      </c>
      <c r="Q325" s="68">
        <v>3</v>
      </c>
      <c r="R325" s="63" t="s">
        <v>28</v>
      </c>
      <c r="S325" s="12">
        <f>+'Form20 '!D326</f>
        <v>109</v>
      </c>
      <c r="T325" s="68">
        <v>4</v>
      </c>
      <c r="U325" s="64" t="s">
        <v>65</v>
      </c>
      <c r="V325" s="12">
        <f>+'Form20 '!E326</f>
        <v>0</v>
      </c>
      <c r="W325" s="68">
        <v>5</v>
      </c>
      <c r="X325" s="58" t="s">
        <v>66</v>
      </c>
      <c r="Y325" s="12">
        <f>+'Form20 '!F326</f>
        <v>0</v>
      </c>
      <c r="Z325" s="18">
        <v>6</v>
      </c>
      <c r="AA325" s="64" t="s">
        <v>67</v>
      </c>
      <c r="AB325" s="12">
        <f>+'Form20 '!G326</f>
        <v>1</v>
      </c>
      <c r="AC325" s="68">
        <v>7</v>
      </c>
      <c r="AD325" s="63" t="s">
        <v>68</v>
      </c>
      <c r="AE325" s="12">
        <f>+'Form20 '!H326</f>
        <v>0</v>
      </c>
      <c r="AF325" s="68">
        <v>8</v>
      </c>
      <c r="AG325" s="63" t="s">
        <v>69</v>
      </c>
      <c r="AH325" s="12">
        <f>+'Form20 '!I326</f>
        <v>0</v>
      </c>
      <c r="AI325" s="68">
        <v>9</v>
      </c>
      <c r="AJ325" s="65" t="s">
        <v>70</v>
      </c>
      <c r="AK325" s="12">
        <f>+'Form20 '!J326</f>
        <v>4</v>
      </c>
      <c r="AL325" s="68">
        <v>10</v>
      </c>
      <c r="AM325" s="66" t="s">
        <v>30</v>
      </c>
      <c r="AN325" s="12">
        <f>+'Form20 '!K326</f>
        <v>0</v>
      </c>
      <c r="AO325" s="18">
        <v>11</v>
      </c>
      <c r="AP325" s="66" t="s">
        <v>30</v>
      </c>
      <c r="AQ325" s="12">
        <f>+'Form20 '!L326</f>
        <v>0</v>
      </c>
      <c r="AR325" s="18">
        <v>12</v>
      </c>
      <c r="AS325" s="66" t="s">
        <v>30</v>
      </c>
      <c r="AT325" s="12">
        <f>+'Form20 '!M326</f>
        <v>0</v>
      </c>
      <c r="AU325" s="18">
        <v>13</v>
      </c>
      <c r="AV325" s="66" t="s">
        <v>30</v>
      </c>
      <c r="AW325" s="12">
        <f>+'Form20 '!N326</f>
        <v>0</v>
      </c>
      <c r="AX325" s="18">
        <v>14</v>
      </c>
      <c r="AY325" s="66" t="s">
        <v>30</v>
      </c>
      <c r="AZ325" s="12">
        <f>+'Form20 '!O326</f>
        <v>0</v>
      </c>
      <c r="BA325" s="75">
        <f t="shared" si="9"/>
        <v>315</v>
      </c>
    </row>
    <row r="326" spans="1:53" s="67" customFormat="1" ht="59.25" customHeight="1">
      <c r="A326" s="18">
        <v>333</v>
      </c>
      <c r="B326" s="59">
        <v>320</v>
      </c>
      <c r="C326" s="76" t="s">
        <v>393</v>
      </c>
      <c r="D326" s="61">
        <v>1043</v>
      </c>
      <c r="E326" s="61">
        <v>302</v>
      </c>
      <c r="F326" s="61">
        <v>266</v>
      </c>
      <c r="G326" s="55">
        <v>0</v>
      </c>
      <c r="H326" s="62">
        <f t="shared" si="8"/>
        <v>568</v>
      </c>
      <c r="I326" s="55">
        <v>320</v>
      </c>
      <c r="J326" s="29">
        <v>0</v>
      </c>
      <c r="K326" s="68">
        <v>1</v>
      </c>
      <c r="L326" s="63" t="s">
        <v>29</v>
      </c>
      <c r="M326" s="12">
        <f>+'Form20 '!B327</f>
        <v>311</v>
      </c>
      <c r="N326" s="68">
        <v>2</v>
      </c>
      <c r="O326" s="58" t="s">
        <v>24</v>
      </c>
      <c r="P326" s="12">
        <f>+'Form20 '!C327</f>
        <v>66</v>
      </c>
      <c r="Q326" s="68">
        <v>3</v>
      </c>
      <c r="R326" s="63" t="s">
        <v>28</v>
      </c>
      <c r="S326" s="12">
        <f>+'Form20 '!D327</f>
        <v>176</v>
      </c>
      <c r="T326" s="68">
        <v>4</v>
      </c>
      <c r="U326" s="64" t="s">
        <v>65</v>
      </c>
      <c r="V326" s="12">
        <f>+'Form20 '!E327</f>
        <v>4</v>
      </c>
      <c r="W326" s="68">
        <v>5</v>
      </c>
      <c r="X326" s="58" t="s">
        <v>66</v>
      </c>
      <c r="Y326" s="12">
        <f>+'Form20 '!F327</f>
        <v>0</v>
      </c>
      <c r="Z326" s="18">
        <v>6</v>
      </c>
      <c r="AA326" s="64" t="s">
        <v>67</v>
      </c>
      <c r="AB326" s="12">
        <f>+'Form20 '!G327</f>
        <v>0</v>
      </c>
      <c r="AC326" s="68">
        <v>7</v>
      </c>
      <c r="AD326" s="63" t="s">
        <v>68</v>
      </c>
      <c r="AE326" s="12">
        <f>+'Form20 '!H327</f>
        <v>0</v>
      </c>
      <c r="AF326" s="68">
        <v>8</v>
      </c>
      <c r="AG326" s="63" t="s">
        <v>69</v>
      </c>
      <c r="AH326" s="12">
        <f>+'Form20 '!I327</f>
        <v>0</v>
      </c>
      <c r="AI326" s="68">
        <v>9</v>
      </c>
      <c r="AJ326" s="65" t="s">
        <v>70</v>
      </c>
      <c r="AK326" s="12">
        <f>+'Form20 '!J327</f>
        <v>9</v>
      </c>
      <c r="AL326" s="68">
        <v>10</v>
      </c>
      <c r="AM326" s="66" t="s">
        <v>30</v>
      </c>
      <c r="AN326" s="12">
        <f>+'Form20 '!K327</f>
        <v>0</v>
      </c>
      <c r="AO326" s="18">
        <v>11</v>
      </c>
      <c r="AP326" s="66" t="s">
        <v>30</v>
      </c>
      <c r="AQ326" s="12">
        <f>+'Form20 '!L327</f>
        <v>1</v>
      </c>
      <c r="AR326" s="18">
        <v>12</v>
      </c>
      <c r="AS326" s="66" t="s">
        <v>30</v>
      </c>
      <c r="AT326" s="12">
        <f>+'Form20 '!M327</f>
        <v>1</v>
      </c>
      <c r="AU326" s="18">
        <v>13</v>
      </c>
      <c r="AV326" s="66" t="s">
        <v>30</v>
      </c>
      <c r="AW326" s="12">
        <f>+'Form20 '!N327</f>
        <v>0</v>
      </c>
      <c r="AX326" s="18">
        <v>14</v>
      </c>
      <c r="AY326" s="66" t="s">
        <v>30</v>
      </c>
      <c r="AZ326" s="12">
        <f>+'Form20 '!O327</f>
        <v>0</v>
      </c>
      <c r="BA326" s="75">
        <f t="shared" si="9"/>
        <v>568</v>
      </c>
    </row>
    <row r="327" spans="1:53" s="67" customFormat="1" ht="59.25" customHeight="1">
      <c r="A327" s="18">
        <v>333</v>
      </c>
      <c r="B327" s="59">
        <v>321</v>
      </c>
      <c r="C327" s="76" t="s">
        <v>394</v>
      </c>
      <c r="D327" s="61">
        <v>995</v>
      </c>
      <c r="E327" s="61">
        <v>265</v>
      </c>
      <c r="F327" s="61">
        <v>205</v>
      </c>
      <c r="G327" s="55">
        <v>0</v>
      </c>
      <c r="H327" s="62">
        <f t="shared" si="8"/>
        <v>470</v>
      </c>
      <c r="I327" s="55">
        <v>107</v>
      </c>
      <c r="J327" s="29">
        <v>0</v>
      </c>
      <c r="K327" s="68">
        <v>1</v>
      </c>
      <c r="L327" s="63" t="s">
        <v>29</v>
      </c>
      <c r="M327" s="12">
        <f>+'Form20 '!B328</f>
        <v>336</v>
      </c>
      <c r="N327" s="68">
        <v>2</v>
      </c>
      <c r="O327" s="58" t="s">
        <v>24</v>
      </c>
      <c r="P327" s="12">
        <f>+'Form20 '!C328</f>
        <v>24</v>
      </c>
      <c r="Q327" s="68">
        <v>3</v>
      </c>
      <c r="R327" s="63" t="s">
        <v>28</v>
      </c>
      <c r="S327" s="12">
        <f>+'Form20 '!D328</f>
        <v>101</v>
      </c>
      <c r="T327" s="68">
        <v>4</v>
      </c>
      <c r="U327" s="64" t="s">
        <v>65</v>
      </c>
      <c r="V327" s="12">
        <f>+'Form20 '!E328</f>
        <v>0</v>
      </c>
      <c r="W327" s="68">
        <v>5</v>
      </c>
      <c r="X327" s="58" t="s">
        <v>66</v>
      </c>
      <c r="Y327" s="12">
        <f>+'Form20 '!F328</f>
        <v>0</v>
      </c>
      <c r="Z327" s="18">
        <v>6</v>
      </c>
      <c r="AA327" s="64" t="s">
        <v>67</v>
      </c>
      <c r="AB327" s="12">
        <f>+'Form20 '!G328</f>
        <v>0</v>
      </c>
      <c r="AC327" s="68">
        <v>7</v>
      </c>
      <c r="AD327" s="63" t="s">
        <v>68</v>
      </c>
      <c r="AE327" s="12">
        <f>+'Form20 '!H328</f>
        <v>0</v>
      </c>
      <c r="AF327" s="68">
        <v>8</v>
      </c>
      <c r="AG327" s="63" t="s">
        <v>69</v>
      </c>
      <c r="AH327" s="12">
        <f>+'Form20 '!I328</f>
        <v>0</v>
      </c>
      <c r="AI327" s="68">
        <v>9</v>
      </c>
      <c r="AJ327" s="65" t="s">
        <v>70</v>
      </c>
      <c r="AK327" s="12">
        <f>+'Form20 '!J328</f>
        <v>3</v>
      </c>
      <c r="AL327" s="68">
        <v>10</v>
      </c>
      <c r="AM327" s="66" t="s">
        <v>30</v>
      </c>
      <c r="AN327" s="12">
        <f>+'Form20 '!K328</f>
        <v>0</v>
      </c>
      <c r="AO327" s="18">
        <v>11</v>
      </c>
      <c r="AP327" s="66" t="s">
        <v>30</v>
      </c>
      <c r="AQ327" s="12">
        <f>+'Form20 '!L328</f>
        <v>0</v>
      </c>
      <c r="AR327" s="18">
        <v>12</v>
      </c>
      <c r="AS327" s="66" t="s">
        <v>30</v>
      </c>
      <c r="AT327" s="12">
        <f>+'Form20 '!M328</f>
        <v>1</v>
      </c>
      <c r="AU327" s="18">
        <v>13</v>
      </c>
      <c r="AV327" s="66" t="s">
        <v>30</v>
      </c>
      <c r="AW327" s="12">
        <f>+'Form20 '!N328</f>
        <v>1</v>
      </c>
      <c r="AX327" s="18">
        <v>14</v>
      </c>
      <c r="AY327" s="66" t="s">
        <v>30</v>
      </c>
      <c r="AZ327" s="12">
        <f>+'Form20 '!O328</f>
        <v>2</v>
      </c>
      <c r="BA327" s="75">
        <f t="shared" si="9"/>
        <v>468</v>
      </c>
    </row>
    <row r="328" spans="1:53" s="67" customFormat="1" ht="59.25" customHeight="1">
      <c r="A328" s="18">
        <v>333</v>
      </c>
      <c r="B328" s="59">
        <v>322</v>
      </c>
      <c r="C328" s="76" t="s">
        <v>395</v>
      </c>
      <c r="D328" s="61">
        <v>1094</v>
      </c>
      <c r="E328" s="61">
        <v>313</v>
      </c>
      <c r="F328" s="61">
        <v>299</v>
      </c>
      <c r="G328" s="55">
        <v>0</v>
      </c>
      <c r="H328" s="62">
        <f t="shared" ref="H328:H391" si="10">E328+F328+G328</f>
        <v>612</v>
      </c>
      <c r="I328" s="55">
        <v>81</v>
      </c>
      <c r="J328" s="29">
        <v>0</v>
      </c>
      <c r="K328" s="68">
        <v>1</v>
      </c>
      <c r="L328" s="63" t="s">
        <v>29</v>
      </c>
      <c r="M328" s="12">
        <f>+'Form20 '!B329</f>
        <v>396</v>
      </c>
      <c r="N328" s="68">
        <v>2</v>
      </c>
      <c r="O328" s="58" t="s">
        <v>24</v>
      </c>
      <c r="P328" s="12">
        <f>+'Form20 '!C329</f>
        <v>92</v>
      </c>
      <c r="Q328" s="68">
        <v>3</v>
      </c>
      <c r="R328" s="63" t="s">
        <v>28</v>
      </c>
      <c r="S328" s="12">
        <f>+'Form20 '!D329</f>
        <v>117</v>
      </c>
      <c r="T328" s="68">
        <v>4</v>
      </c>
      <c r="U328" s="64" t="s">
        <v>65</v>
      </c>
      <c r="V328" s="12">
        <f>+'Form20 '!E329</f>
        <v>2</v>
      </c>
      <c r="W328" s="68">
        <v>5</v>
      </c>
      <c r="X328" s="58" t="s">
        <v>66</v>
      </c>
      <c r="Y328" s="12">
        <f>+'Form20 '!F329</f>
        <v>0</v>
      </c>
      <c r="Z328" s="18">
        <v>6</v>
      </c>
      <c r="AA328" s="64" t="s">
        <v>67</v>
      </c>
      <c r="AB328" s="12">
        <f>+'Form20 '!G329</f>
        <v>0</v>
      </c>
      <c r="AC328" s="68">
        <v>7</v>
      </c>
      <c r="AD328" s="63" t="s">
        <v>68</v>
      </c>
      <c r="AE328" s="12">
        <f>+'Form20 '!H329</f>
        <v>1</v>
      </c>
      <c r="AF328" s="68">
        <v>8</v>
      </c>
      <c r="AG328" s="63" t="s">
        <v>69</v>
      </c>
      <c r="AH328" s="12">
        <f>+'Form20 '!I329</f>
        <v>0</v>
      </c>
      <c r="AI328" s="68">
        <v>9</v>
      </c>
      <c r="AJ328" s="65" t="s">
        <v>70</v>
      </c>
      <c r="AK328" s="12">
        <f>+'Form20 '!J329</f>
        <v>2</v>
      </c>
      <c r="AL328" s="68">
        <v>10</v>
      </c>
      <c r="AM328" s="66" t="s">
        <v>30</v>
      </c>
      <c r="AN328" s="12">
        <f>+'Form20 '!K329</f>
        <v>0</v>
      </c>
      <c r="AO328" s="18">
        <v>11</v>
      </c>
      <c r="AP328" s="66" t="s">
        <v>30</v>
      </c>
      <c r="AQ328" s="12">
        <f>+'Form20 '!L329</f>
        <v>0</v>
      </c>
      <c r="AR328" s="18">
        <v>12</v>
      </c>
      <c r="AS328" s="66" t="s">
        <v>30</v>
      </c>
      <c r="AT328" s="12">
        <f>+'Form20 '!M329</f>
        <v>0</v>
      </c>
      <c r="AU328" s="18">
        <v>13</v>
      </c>
      <c r="AV328" s="66" t="s">
        <v>30</v>
      </c>
      <c r="AW328" s="12">
        <f>+'Form20 '!N329</f>
        <v>0</v>
      </c>
      <c r="AX328" s="18">
        <v>14</v>
      </c>
      <c r="AY328" s="66" t="s">
        <v>30</v>
      </c>
      <c r="AZ328" s="12">
        <f>+'Form20 '!O329</f>
        <v>0</v>
      </c>
      <c r="BA328" s="75">
        <f t="shared" ref="BA328:BA391" si="11">AZ328+AW328+AT328+AQ328+AN328+AK328+AH328+AE328+AB328+Y328+V328+S328+P328+M328</f>
        <v>610</v>
      </c>
    </row>
    <row r="329" spans="1:53" s="67" customFormat="1" ht="59.25" customHeight="1">
      <c r="A329" s="18">
        <v>333</v>
      </c>
      <c r="B329" s="59">
        <v>323</v>
      </c>
      <c r="C329" s="76" t="s">
        <v>396</v>
      </c>
      <c r="D329" s="61">
        <v>960</v>
      </c>
      <c r="E329" s="61">
        <v>240</v>
      </c>
      <c r="F329" s="61">
        <v>230</v>
      </c>
      <c r="G329" s="55">
        <v>0</v>
      </c>
      <c r="H329" s="62">
        <f t="shared" si="10"/>
        <v>470</v>
      </c>
      <c r="I329" s="55">
        <v>102</v>
      </c>
      <c r="J329" s="29">
        <v>0</v>
      </c>
      <c r="K329" s="68">
        <v>1</v>
      </c>
      <c r="L329" s="63" t="s">
        <v>29</v>
      </c>
      <c r="M329" s="12">
        <f>+'Form20 '!B330</f>
        <v>183</v>
      </c>
      <c r="N329" s="68">
        <v>2</v>
      </c>
      <c r="O329" s="58" t="s">
        <v>24</v>
      </c>
      <c r="P329" s="12">
        <f>+'Form20 '!C330</f>
        <v>80</v>
      </c>
      <c r="Q329" s="68">
        <v>3</v>
      </c>
      <c r="R329" s="63" t="s">
        <v>28</v>
      </c>
      <c r="S329" s="12">
        <f>+'Form20 '!D330</f>
        <v>188</v>
      </c>
      <c r="T329" s="68">
        <v>4</v>
      </c>
      <c r="U329" s="64" t="s">
        <v>65</v>
      </c>
      <c r="V329" s="12">
        <f>+'Form20 '!E330</f>
        <v>1</v>
      </c>
      <c r="W329" s="68">
        <v>5</v>
      </c>
      <c r="X329" s="58" t="s">
        <v>66</v>
      </c>
      <c r="Y329" s="12">
        <f>+'Form20 '!F330</f>
        <v>0</v>
      </c>
      <c r="Z329" s="18">
        <v>6</v>
      </c>
      <c r="AA329" s="64" t="s">
        <v>67</v>
      </c>
      <c r="AB329" s="12">
        <f>+'Form20 '!G330</f>
        <v>0</v>
      </c>
      <c r="AC329" s="68">
        <v>7</v>
      </c>
      <c r="AD329" s="63" t="s">
        <v>68</v>
      </c>
      <c r="AE329" s="12">
        <f>+'Form20 '!H330</f>
        <v>0</v>
      </c>
      <c r="AF329" s="68">
        <v>8</v>
      </c>
      <c r="AG329" s="63" t="s">
        <v>69</v>
      </c>
      <c r="AH329" s="12">
        <f>+'Form20 '!I330</f>
        <v>0</v>
      </c>
      <c r="AI329" s="68">
        <v>9</v>
      </c>
      <c r="AJ329" s="65" t="s">
        <v>70</v>
      </c>
      <c r="AK329" s="12">
        <f>+'Form20 '!J330</f>
        <v>15</v>
      </c>
      <c r="AL329" s="68">
        <v>10</v>
      </c>
      <c r="AM329" s="66" t="s">
        <v>30</v>
      </c>
      <c r="AN329" s="12">
        <f>+'Form20 '!K330</f>
        <v>0</v>
      </c>
      <c r="AO329" s="18">
        <v>11</v>
      </c>
      <c r="AP329" s="66" t="s">
        <v>30</v>
      </c>
      <c r="AQ329" s="12">
        <f>+'Form20 '!L330</f>
        <v>1</v>
      </c>
      <c r="AR329" s="18">
        <v>12</v>
      </c>
      <c r="AS329" s="66" t="s">
        <v>30</v>
      </c>
      <c r="AT329" s="12">
        <f>+'Form20 '!M330</f>
        <v>0</v>
      </c>
      <c r="AU329" s="18">
        <v>13</v>
      </c>
      <c r="AV329" s="66" t="s">
        <v>30</v>
      </c>
      <c r="AW329" s="12">
        <f>+'Form20 '!N330</f>
        <v>0</v>
      </c>
      <c r="AX329" s="18">
        <v>14</v>
      </c>
      <c r="AY329" s="66" t="s">
        <v>30</v>
      </c>
      <c r="AZ329" s="12">
        <f>+'Form20 '!O330</f>
        <v>1</v>
      </c>
      <c r="BA329" s="75">
        <f t="shared" si="11"/>
        <v>469</v>
      </c>
    </row>
    <row r="330" spans="1:53" s="67" customFormat="1" ht="59.25" customHeight="1">
      <c r="A330" s="18">
        <v>333</v>
      </c>
      <c r="B330" s="59">
        <v>324</v>
      </c>
      <c r="C330" s="76" t="s">
        <v>397</v>
      </c>
      <c r="D330" s="61">
        <v>994</v>
      </c>
      <c r="E330" s="61">
        <v>285</v>
      </c>
      <c r="F330" s="61">
        <v>276</v>
      </c>
      <c r="G330" s="55">
        <v>0</v>
      </c>
      <c r="H330" s="62">
        <f t="shared" si="10"/>
        <v>561</v>
      </c>
      <c r="I330" s="55">
        <v>90</v>
      </c>
      <c r="J330" s="29">
        <v>0</v>
      </c>
      <c r="K330" s="68">
        <v>1</v>
      </c>
      <c r="L330" s="63" t="s">
        <v>29</v>
      </c>
      <c r="M330" s="12">
        <f>+'Form20 '!B331</f>
        <v>198</v>
      </c>
      <c r="N330" s="68">
        <v>2</v>
      </c>
      <c r="O330" s="58" t="s">
        <v>24</v>
      </c>
      <c r="P330" s="12">
        <f>+'Form20 '!C331</f>
        <v>82</v>
      </c>
      <c r="Q330" s="68">
        <v>3</v>
      </c>
      <c r="R330" s="63" t="s">
        <v>28</v>
      </c>
      <c r="S330" s="12">
        <f>+'Form20 '!D331</f>
        <v>262</v>
      </c>
      <c r="T330" s="68">
        <v>4</v>
      </c>
      <c r="U330" s="64" t="s">
        <v>65</v>
      </c>
      <c r="V330" s="12">
        <f>+'Form20 '!E331</f>
        <v>1</v>
      </c>
      <c r="W330" s="68">
        <v>5</v>
      </c>
      <c r="X330" s="58" t="s">
        <v>66</v>
      </c>
      <c r="Y330" s="12">
        <f>+'Form20 '!F331</f>
        <v>0</v>
      </c>
      <c r="Z330" s="18">
        <v>6</v>
      </c>
      <c r="AA330" s="64" t="s">
        <v>67</v>
      </c>
      <c r="AB330" s="12">
        <f>+'Form20 '!G331</f>
        <v>0</v>
      </c>
      <c r="AC330" s="68">
        <v>7</v>
      </c>
      <c r="AD330" s="63" t="s">
        <v>68</v>
      </c>
      <c r="AE330" s="12">
        <f>+'Form20 '!H331</f>
        <v>3</v>
      </c>
      <c r="AF330" s="68">
        <v>8</v>
      </c>
      <c r="AG330" s="63" t="s">
        <v>69</v>
      </c>
      <c r="AH330" s="12">
        <f>+'Form20 '!I331</f>
        <v>1</v>
      </c>
      <c r="AI330" s="68">
        <v>9</v>
      </c>
      <c r="AJ330" s="65" t="s">
        <v>70</v>
      </c>
      <c r="AK330" s="12">
        <f>+'Form20 '!J331</f>
        <v>6</v>
      </c>
      <c r="AL330" s="68">
        <v>10</v>
      </c>
      <c r="AM330" s="66" t="s">
        <v>30</v>
      </c>
      <c r="AN330" s="12">
        <f>+'Form20 '!K331</f>
        <v>1</v>
      </c>
      <c r="AO330" s="18">
        <v>11</v>
      </c>
      <c r="AP330" s="66" t="s">
        <v>30</v>
      </c>
      <c r="AQ330" s="12">
        <f>+'Form20 '!L331</f>
        <v>0</v>
      </c>
      <c r="AR330" s="18">
        <v>12</v>
      </c>
      <c r="AS330" s="66" t="s">
        <v>30</v>
      </c>
      <c r="AT330" s="12">
        <f>+'Form20 '!M331</f>
        <v>2</v>
      </c>
      <c r="AU330" s="18">
        <v>13</v>
      </c>
      <c r="AV330" s="66" t="s">
        <v>30</v>
      </c>
      <c r="AW330" s="12">
        <f>+'Form20 '!N331</f>
        <v>2</v>
      </c>
      <c r="AX330" s="18">
        <v>14</v>
      </c>
      <c r="AY330" s="66" t="s">
        <v>30</v>
      </c>
      <c r="AZ330" s="12">
        <f>+'Form20 '!O331</f>
        <v>2</v>
      </c>
      <c r="BA330" s="75">
        <f t="shared" si="11"/>
        <v>560</v>
      </c>
    </row>
    <row r="331" spans="1:53" s="67" customFormat="1" ht="59.25" customHeight="1">
      <c r="A331" s="18">
        <v>333</v>
      </c>
      <c r="B331" s="59">
        <v>325</v>
      </c>
      <c r="C331" s="76" t="s">
        <v>398</v>
      </c>
      <c r="D331" s="61">
        <v>1098</v>
      </c>
      <c r="E331" s="61">
        <v>285</v>
      </c>
      <c r="F331" s="61">
        <v>271</v>
      </c>
      <c r="G331" s="55">
        <v>0</v>
      </c>
      <c r="H331" s="62">
        <f t="shared" si="10"/>
        <v>556</v>
      </c>
      <c r="I331" s="55">
        <v>158</v>
      </c>
      <c r="J331" s="29">
        <v>0</v>
      </c>
      <c r="K331" s="68">
        <v>1</v>
      </c>
      <c r="L331" s="63" t="s">
        <v>29</v>
      </c>
      <c r="M331" s="12">
        <f>+'Form20 '!B332</f>
        <v>378</v>
      </c>
      <c r="N331" s="68">
        <v>2</v>
      </c>
      <c r="O331" s="58" t="s">
        <v>24</v>
      </c>
      <c r="P331" s="12">
        <f>+'Form20 '!C332</f>
        <v>34</v>
      </c>
      <c r="Q331" s="68">
        <v>3</v>
      </c>
      <c r="R331" s="63" t="s">
        <v>28</v>
      </c>
      <c r="S331" s="12">
        <f>+'Form20 '!D332</f>
        <v>121</v>
      </c>
      <c r="T331" s="68">
        <v>4</v>
      </c>
      <c r="U331" s="64" t="s">
        <v>65</v>
      </c>
      <c r="V331" s="12">
        <f>+'Form20 '!E332</f>
        <v>4</v>
      </c>
      <c r="W331" s="68">
        <v>5</v>
      </c>
      <c r="X331" s="58" t="s">
        <v>66</v>
      </c>
      <c r="Y331" s="12">
        <f>+'Form20 '!F332</f>
        <v>0</v>
      </c>
      <c r="Z331" s="18">
        <v>6</v>
      </c>
      <c r="AA331" s="64" t="s">
        <v>67</v>
      </c>
      <c r="AB331" s="12">
        <f>+'Form20 '!G332</f>
        <v>0</v>
      </c>
      <c r="AC331" s="68">
        <v>7</v>
      </c>
      <c r="AD331" s="63" t="s">
        <v>68</v>
      </c>
      <c r="AE331" s="12">
        <f>+'Form20 '!H332</f>
        <v>0</v>
      </c>
      <c r="AF331" s="68">
        <v>8</v>
      </c>
      <c r="AG331" s="63" t="s">
        <v>69</v>
      </c>
      <c r="AH331" s="12">
        <f>+'Form20 '!I332</f>
        <v>0</v>
      </c>
      <c r="AI331" s="68">
        <v>9</v>
      </c>
      <c r="AJ331" s="65" t="s">
        <v>70</v>
      </c>
      <c r="AK331" s="12">
        <f>+'Form20 '!J332</f>
        <v>12</v>
      </c>
      <c r="AL331" s="68">
        <v>10</v>
      </c>
      <c r="AM331" s="66" t="s">
        <v>30</v>
      </c>
      <c r="AN331" s="12">
        <f>+'Form20 '!K332</f>
        <v>1</v>
      </c>
      <c r="AO331" s="18">
        <v>11</v>
      </c>
      <c r="AP331" s="66" t="s">
        <v>30</v>
      </c>
      <c r="AQ331" s="12">
        <f>+'Form20 '!L332</f>
        <v>0</v>
      </c>
      <c r="AR331" s="18">
        <v>12</v>
      </c>
      <c r="AS331" s="66" t="s">
        <v>30</v>
      </c>
      <c r="AT331" s="12">
        <f>+'Form20 '!M332</f>
        <v>1</v>
      </c>
      <c r="AU331" s="18">
        <v>13</v>
      </c>
      <c r="AV331" s="66" t="s">
        <v>30</v>
      </c>
      <c r="AW331" s="12">
        <f>+'Form20 '!N332</f>
        <v>1</v>
      </c>
      <c r="AX331" s="18">
        <v>14</v>
      </c>
      <c r="AY331" s="66" t="s">
        <v>30</v>
      </c>
      <c r="AZ331" s="12">
        <f>+'Form20 '!O332</f>
        <v>0</v>
      </c>
      <c r="BA331" s="75">
        <f t="shared" si="11"/>
        <v>552</v>
      </c>
    </row>
    <row r="332" spans="1:53" s="67" customFormat="1" ht="59.25" customHeight="1">
      <c r="A332" s="18">
        <v>333</v>
      </c>
      <c r="B332" s="59">
        <v>326</v>
      </c>
      <c r="C332" s="76" t="s">
        <v>399</v>
      </c>
      <c r="D332" s="61">
        <v>1141</v>
      </c>
      <c r="E332" s="61">
        <v>194</v>
      </c>
      <c r="F332" s="61">
        <v>203</v>
      </c>
      <c r="G332" s="55">
        <v>0</v>
      </c>
      <c r="H332" s="62">
        <f t="shared" si="10"/>
        <v>397</v>
      </c>
      <c r="I332" s="55">
        <v>97</v>
      </c>
      <c r="J332" s="29">
        <v>0</v>
      </c>
      <c r="K332" s="68">
        <v>1</v>
      </c>
      <c r="L332" s="63" t="s">
        <v>29</v>
      </c>
      <c r="M332" s="12">
        <f>+'Form20 '!B333</f>
        <v>221</v>
      </c>
      <c r="N332" s="68">
        <v>2</v>
      </c>
      <c r="O332" s="58" t="s">
        <v>24</v>
      </c>
      <c r="P332" s="12">
        <f>+'Form20 '!C333</f>
        <v>18</v>
      </c>
      <c r="Q332" s="68">
        <v>3</v>
      </c>
      <c r="R332" s="63" t="s">
        <v>28</v>
      </c>
      <c r="S332" s="12">
        <f>+'Form20 '!D333</f>
        <v>140</v>
      </c>
      <c r="T332" s="68">
        <v>4</v>
      </c>
      <c r="U332" s="64" t="s">
        <v>65</v>
      </c>
      <c r="V332" s="12">
        <f>+'Form20 '!E333</f>
        <v>2</v>
      </c>
      <c r="W332" s="68">
        <v>5</v>
      </c>
      <c r="X332" s="58" t="s">
        <v>66</v>
      </c>
      <c r="Y332" s="12">
        <f>+'Form20 '!F333</f>
        <v>1</v>
      </c>
      <c r="Z332" s="18">
        <v>6</v>
      </c>
      <c r="AA332" s="64" t="s">
        <v>67</v>
      </c>
      <c r="AB332" s="12">
        <f>+'Form20 '!G333</f>
        <v>0</v>
      </c>
      <c r="AC332" s="68">
        <v>7</v>
      </c>
      <c r="AD332" s="63" t="s">
        <v>68</v>
      </c>
      <c r="AE332" s="12">
        <f>+'Form20 '!H333</f>
        <v>1</v>
      </c>
      <c r="AF332" s="68">
        <v>8</v>
      </c>
      <c r="AG332" s="63" t="s">
        <v>69</v>
      </c>
      <c r="AH332" s="12">
        <f>+'Form20 '!I333</f>
        <v>0</v>
      </c>
      <c r="AI332" s="68">
        <v>9</v>
      </c>
      <c r="AJ332" s="65" t="s">
        <v>70</v>
      </c>
      <c r="AK332" s="12">
        <f>+'Form20 '!J333</f>
        <v>11</v>
      </c>
      <c r="AL332" s="68">
        <v>10</v>
      </c>
      <c r="AM332" s="66" t="s">
        <v>30</v>
      </c>
      <c r="AN332" s="12">
        <f>+'Form20 '!K333</f>
        <v>0</v>
      </c>
      <c r="AO332" s="18">
        <v>11</v>
      </c>
      <c r="AP332" s="66" t="s">
        <v>30</v>
      </c>
      <c r="AQ332" s="12">
        <f>+'Form20 '!L333</f>
        <v>0</v>
      </c>
      <c r="AR332" s="18">
        <v>12</v>
      </c>
      <c r="AS332" s="66" t="s">
        <v>30</v>
      </c>
      <c r="AT332" s="12">
        <f>+'Form20 '!M333</f>
        <v>0</v>
      </c>
      <c r="AU332" s="18">
        <v>13</v>
      </c>
      <c r="AV332" s="66" t="s">
        <v>30</v>
      </c>
      <c r="AW332" s="12">
        <f>+'Form20 '!N333</f>
        <v>0</v>
      </c>
      <c r="AX332" s="18">
        <v>14</v>
      </c>
      <c r="AY332" s="66" t="s">
        <v>30</v>
      </c>
      <c r="AZ332" s="12">
        <f>+'Form20 '!O333</f>
        <v>1</v>
      </c>
      <c r="BA332" s="75">
        <f t="shared" si="11"/>
        <v>395</v>
      </c>
    </row>
    <row r="333" spans="1:53" s="67" customFormat="1" ht="59.25" customHeight="1">
      <c r="A333" s="18">
        <v>333</v>
      </c>
      <c r="B333" s="59">
        <v>327</v>
      </c>
      <c r="C333" s="76" t="s">
        <v>400</v>
      </c>
      <c r="D333" s="61">
        <v>624</v>
      </c>
      <c r="E333" s="61">
        <v>112</v>
      </c>
      <c r="F333" s="61">
        <v>102</v>
      </c>
      <c r="G333" s="55">
        <v>0</v>
      </c>
      <c r="H333" s="62">
        <f t="shared" si="10"/>
        <v>214</v>
      </c>
      <c r="I333" s="55">
        <v>56</v>
      </c>
      <c r="J333" s="29">
        <v>0</v>
      </c>
      <c r="K333" s="68">
        <v>1</v>
      </c>
      <c r="L333" s="63" t="s">
        <v>29</v>
      </c>
      <c r="M333" s="12">
        <f>+'Form20 '!B334</f>
        <v>128</v>
      </c>
      <c r="N333" s="68">
        <v>2</v>
      </c>
      <c r="O333" s="58" t="s">
        <v>24</v>
      </c>
      <c r="P333" s="12">
        <f>+'Form20 '!C334</f>
        <v>4</v>
      </c>
      <c r="Q333" s="68">
        <v>3</v>
      </c>
      <c r="R333" s="63" t="s">
        <v>28</v>
      </c>
      <c r="S333" s="12">
        <f>+'Form20 '!D334</f>
        <v>78</v>
      </c>
      <c r="T333" s="68">
        <v>4</v>
      </c>
      <c r="U333" s="64" t="s">
        <v>65</v>
      </c>
      <c r="V333" s="12">
        <f>+'Form20 '!E334</f>
        <v>1</v>
      </c>
      <c r="W333" s="68">
        <v>5</v>
      </c>
      <c r="X333" s="58" t="s">
        <v>66</v>
      </c>
      <c r="Y333" s="12">
        <f>+'Form20 '!F334</f>
        <v>0</v>
      </c>
      <c r="Z333" s="18">
        <v>6</v>
      </c>
      <c r="AA333" s="64" t="s">
        <v>67</v>
      </c>
      <c r="AB333" s="12">
        <f>+'Form20 '!G334</f>
        <v>0</v>
      </c>
      <c r="AC333" s="68">
        <v>7</v>
      </c>
      <c r="AD333" s="63" t="s">
        <v>68</v>
      </c>
      <c r="AE333" s="12">
        <f>+'Form20 '!H334</f>
        <v>0</v>
      </c>
      <c r="AF333" s="68">
        <v>8</v>
      </c>
      <c r="AG333" s="63" t="s">
        <v>69</v>
      </c>
      <c r="AH333" s="12">
        <f>+'Form20 '!I334</f>
        <v>0</v>
      </c>
      <c r="AI333" s="68">
        <v>9</v>
      </c>
      <c r="AJ333" s="65" t="s">
        <v>70</v>
      </c>
      <c r="AK333" s="12">
        <f>+'Form20 '!J334</f>
        <v>2</v>
      </c>
      <c r="AL333" s="68">
        <v>10</v>
      </c>
      <c r="AM333" s="66" t="s">
        <v>30</v>
      </c>
      <c r="AN333" s="12">
        <f>+'Form20 '!K334</f>
        <v>0</v>
      </c>
      <c r="AO333" s="18">
        <v>11</v>
      </c>
      <c r="AP333" s="66" t="s">
        <v>30</v>
      </c>
      <c r="AQ333" s="12">
        <f>+'Form20 '!L334</f>
        <v>0</v>
      </c>
      <c r="AR333" s="18">
        <v>12</v>
      </c>
      <c r="AS333" s="66" t="s">
        <v>30</v>
      </c>
      <c r="AT333" s="12">
        <f>+'Form20 '!M334</f>
        <v>0</v>
      </c>
      <c r="AU333" s="18">
        <v>13</v>
      </c>
      <c r="AV333" s="66" t="s">
        <v>30</v>
      </c>
      <c r="AW333" s="12">
        <f>+'Form20 '!N334</f>
        <v>0</v>
      </c>
      <c r="AX333" s="18">
        <v>14</v>
      </c>
      <c r="AY333" s="66" t="s">
        <v>30</v>
      </c>
      <c r="AZ333" s="12">
        <f>+'Form20 '!O334</f>
        <v>0</v>
      </c>
      <c r="BA333" s="75">
        <f t="shared" si="11"/>
        <v>213</v>
      </c>
    </row>
    <row r="334" spans="1:53" s="67" customFormat="1" ht="59.25" customHeight="1">
      <c r="A334" s="18">
        <v>333</v>
      </c>
      <c r="B334" s="59">
        <v>328</v>
      </c>
      <c r="C334" s="76" t="s">
        <v>401</v>
      </c>
      <c r="D334" s="61">
        <v>637</v>
      </c>
      <c r="E334" s="61">
        <v>128</v>
      </c>
      <c r="F334" s="61">
        <v>130</v>
      </c>
      <c r="G334" s="55">
        <v>0</v>
      </c>
      <c r="H334" s="62">
        <f t="shared" si="10"/>
        <v>258</v>
      </c>
      <c r="I334" s="55">
        <v>62</v>
      </c>
      <c r="J334" s="29">
        <v>0</v>
      </c>
      <c r="K334" s="68">
        <v>1</v>
      </c>
      <c r="L334" s="63" t="s">
        <v>29</v>
      </c>
      <c r="M334" s="12">
        <f>+'Form20 '!B335</f>
        <v>153</v>
      </c>
      <c r="N334" s="68">
        <v>2</v>
      </c>
      <c r="O334" s="58" t="s">
        <v>24</v>
      </c>
      <c r="P334" s="12">
        <f>+'Form20 '!C335</f>
        <v>4</v>
      </c>
      <c r="Q334" s="68">
        <v>3</v>
      </c>
      <c r="R334" s="63" t="s">
        <v>28</v>
      </c>
      <c r="S334" s="12">
        <f>+'Form20 '!D335</f>
        <v>90</v>
      </c>
      <c r="T334" s="68">
        <v>4</v>
      </c>
      <c r="U334" s="64" t="s">
        <v>65</v>
      </c>
      <c r="V334" s="12">
        <f>+'Form20 '!E335</f>
        <v>2</v>
      </c>
      <c r="W334" s="68">
        <v>5</v>
      </c>
      <c r="X334" s="58" t="s">
        <v>66</v>
      </c>
      <c r="Y334" s="12">
        <f>+'Form20 '!F335</f>
        <v>0</v>
      </c>
      <c r="Z334" s="18">
        <v>6</v>
      </c>
      <c r="AA334" s="64" t="s">
        <v>67</v>
      </c>
      <c r="AB334" s="12">
        <f>+'Form20 '!G335</f>
        <v>0</v>
      </c>
      <c r="AC334" s="68">
        <v>7</v>
      </c>
      <c r="AD334" s="63" t="s">
        <v>68</v>
      </c>
      <c r="AE334" s="12">
        <f>+'Form20 '!H335</f>
        <v>0</v>
      </c>
      <c r="AF334" s="68">
        <v>8</v>
      </c>
      <c r="AG334" s="63" t="s">
        <v>69</v>
      </c>
      <c r="AH334" s="12">
        <f>+'Form20 '!I335</f>
        <v>0</v>
      </c>
      <c r="AI334" s="68">
        <v>9</v>
      </c>
      <c r="AJ334" s="65" t="s">
        <v>70</v>
      </c>
      <c r="AK334" s="12">
        <f>+'Form20 '!J335</f>
        <v>7</v>
      </c>
      <c r="AL334" s="68">
        <v>10</v>
      </c>
      <c r="AM334" s="66" t="s">
        <v>30</v>
      </c>
      <c r="AN334" s="12">
        <f>+'Form20 '!K335</f>
        <v>0</v>
      </c>
      <c r="AO334" s="18">
        <v>11</v>
      </c>
      <c r="AP334" s="66" t="s">
        <v>30</v>
      </c>
      <c r="AQ334" s="12">
        <f>+'Form20 '!L335</f>
        <v>0</v>
      </c>
      <c r="AR334" s="18">
        <v>12</v>
      </c>
      <c r="AS334" s="66" t="s">
        <v>30</v>
      </c>
      <c r="AT334" s="12">
        <f>+'Form20 '!M335</f>
        <v>1</v>
      </c>
      <c r="AU334" s="18">
        <v>13</v>
      </c>
      <c r="AV334" s="66" t="s">
        <v>30</v>
      </c>
      <c r="AW334" s="12">
        <f>+'Form20 '!N335</f>
        <v>0</v>
      </c>
      <c r="AX334" s="18">
        <v>14</v>
      </c>
      <c r="AY334" s="66" t="s">
        <v>30</v>
      </c>
      <c r="AZ334" s="12">
        <f>+'Form20 '!O335</f>
        <v>0</v>
      </c>
      <c r="BA334" s="75">
        <f t="shared" si="11"/>
        <v>257</v>
      </c>
    </row>
    <row r="335" spans="1:53" s="67" customFormat="1" ht="59.25" customHeight="1">
      <c r="A335" s="18">
        <v>333</v>
      </c>
      <c r="B335" s="59">
        <v>329</v>
      </c>
      <c r="C335" s="76" t="s">
        <v>402</v>
      </c>
      <c r="D335" s="61">
        <v>1071</v>
      </c>
      <c r="E335" s="61">
        <v>241</v>
      </c>
      <c r="F335" s="61">
        <v>251</v>
      </c>
      <c r="G335" s="55">
        <v>0</v>
      </c>
      <c r="H335" s="62">
        <f t="shared" si="10"/>
        <v>492</v>
      </c>
      <c r="I335" s="55">
        <v>98</v>
      </c>
      <c r="J335" s="29">
        <v>0</v>
      </c>
      <c r="K335" s="68">
        <v>1</v>
      </c>
      <c r="L335" s="63" t="s">
        <v>29</v>
      </c>
      <c r="M335" s="12">
        <f>+'Form20 '!B336</f>
        <v>237</v>
      </c>
      <c r="N335" s="68">
        <v>2</v>
      </c>
      <c r="O335" s="58" t="s">
        <v>24</v>
      </c>
      <c r="P335" s="12">
        <f>+'Form20 '!C336</f>
        <v>12</v>
      </c>
      <c r="Q335" s="68">
        <v>3</v>
      </c>
      <c r="R335" s="63" t="s">
        <v>28</v>
      </c>
      <c r="S335" s="12">
        <f>+'Form20 '!D336</f>
        <v>201</v>
      </c>
      <c r="T335" s="68">
        <v>4</v>
      </c>
      <c r="U335" s="64" t="s">
        <v>65</v>
      </c>
      <c r="V335" s="12">
        <f>+'Form20 '!E336</f>
        <v>4</v>
      </c>
      <c r="W335" s="68">
        <v>5</v>
      </c>
      <c r="X335" s="58" t="s">
        <v>66</v>
      </c>
      <c r="Y335" s="12">
        <f>+'Form20 '!F336</f>
        <v>4</v>
      </c>
      <c r="Z335" s="18">
        <v>6</v>
      </c>
      <c r="AA335" s="64" t="s">
        <v>67</v>
      </c>
      <c r="AB335" s="12">
        <f>+'Form20 '!G336</f>
        <v>3</v>
      </c>
      <c r="AC335" s="68">
        <v>7</v>
      </c>
      <c r="AD335" s="63" t="s">
        <v>68</v>
      </c>
      <c r="AE335" s="12">
        <f>+'Form20 '!H336</f>
        <v>3</v>
      </c>
      <c r="AF335" s="68">
        <v>8</v>
      </c>
      <c r="AG335" s="63" t="s">
        <v>69</v>
      </c>
      <c r="AH335" s="12">
        <f>+'Form20 '!I336</f>
        <v>3</v>
      </c>
      <c r="AI335" s="68">
        <v>9</v>
      </c>
      <c r="AJ335" s="65" t="s">
        <v>70</v>
      </c>
      <c r="AK335" s="12">
        <f>+'Form20 '!J336</f>
        <v>6</v>
      </c>
      <c r="AL335" s="68">
        <v>10</v>
      </c>
      <c r="AM335" s="66" t="s">
        <v>30</v>
      </c>
      <c r="AN335" s="12">
        <f>+'Form20 '!K336</f>
        <v>4</v>
      </c>
      <c r="AO335" s="18">
        <v>11</v>
      </c>
      <c r="AP335" s="66" t="s">
        <v>30</v>
      </c>
      <c r="AQ335" s="12">
        <f>+'Form20 '!L336</f>
        <v>3</v>
      </c>
      <c r="AR335" s="18">
        <v>12</v>
      </c>
      <c r="AS335" s="66" t="s">
        <v>30</v>
      </c>
      <c r="AT335" s="12">
        <f>+'Form20 '!M336</f>
        <v>3</v>
      </c>
      <c r="AU335" s="18">
        <v>13</v>
      </c>
      <c r="AV335" s="66" t="s">
        <v>30</v>
      </c>
      <c r="AW335" s="12">
        <f>+'Form20 '!N336</f>
        <v>3</v>
      </c>
      <c r="AX335" s="18">
        <v>14</v>
      </c>
      <c r="AY335" s="66" t="s">
        <v>30</v>
      </c>
      <c r="AZ335" s="12">
        <f>+'Form20 '!O336</f>
        <v>2</v>
      </c>
      <c r="BA335" s="75">
        <f t="shared" si="11"/>
        <v>488</v>
      </c>
    </row>
    <row r="336" spans="1:53" s="67" customFormat="1" ht="59.25" customHeight="1">
      <c r="A336" s="18">
        <v>333</v>
      </c>
      <c r="B336" s="59">
        <v>330</v>
      </c>
      <c r="C336" s="76" t="s">
        <v>403</v>
      </c>
      <c r="D336" s="61">
        <v>1018</v>
      </c>
      <c r="E336" s="61">
        <v>162</v>
      </c>
      <c r="F336" s="61">
        <v>143</v>
      </c>
      <c r="G336" s="55">
        <v>0</v>
      </c>
      <c r="H336" s="62">
        <f t="shared" si="10"/>
        <v>305</v>
      </c>
      <c r="I336" s="55">
        <v>72</v>
      </c>
      <c r="J336" s="29">
        <v>0</v>
      </c>
      <c r="K336" s="68">
        <v>1</v>
      </c>
      <c r="L336" s="63" t="s">
        <v>29</v>
      </c>
      <c r="M336" s="12">
        <f>+'Form20 '!B337</f>
        <v>195</v>
      </c>
      <c r="N336" s="68">
        <v>2</v>
      </c>
      <c r="O336" s="58" t="s">
        <v>24</v>
      </c>
      <c r="P336" s="12">
        <f>+'Form20 '!C337</f>
        <v>5</v>
      </c>
      <c r="Q336" s="68">
        <v>3</v>
      </c>
      <c r="R336" s="63" t="s">
        <v>28</v>
      </c>
      <c r="S336" s="12">
        <f>+'Form20 '!D337</f>
        <v>97</v>
      </c>
      <c r="T336" s="68">
        <v>4</v>
      </c>
      <c r="U336" s="64" t="s">
        <v>65</v>
      </c>
      <c r="V336" s="12">
        <f>+'Form20 '!E337</f>
        <v>2</v>
      </c>
      <c r="W336" s="68">
        <v>5</v>
      </c>
      <c r="X336" s="58" t="s">
        <v>66</v>
      </c>
      <c r="Y336" s="12">
        <f>+'Form20 '!F337</f>
        <v>0</v>
      </c>
      <c r="Z336" s="18">
        <v>6</v>
      </c>
      <c r="AA336" s="64" t="s">
        <v>67</v>
      </c>
      <c r="AB336" s="12">
        <f>+'Form20 '!G337</f>
        <v>0</v>
      </c>
      <c r="AC336" s="68">
        <v>7</v>
      </c>
      <c r="AD336" s="63" t="s">
        <v>68</v>
      </c>
      <c r="AE336" s="12">
        <f>+'Form20 '!H337</f>
        <v>0</v>
      </c>
      <c r="AF336" s="68">
        <v>8</v>
      </c>
      <c r="AG336" s="63" t="s">
        <v>69</v>
      </c>
      <c r="AH336" s="12">
        <f>+'Form20 '!I337</f>
        <v>0</v>
      </c>
      <c r="AI336" s="68">
        <v>9</v>
      </c>
      <c r="AJ336" s="65" t="s">
        <v>70</v>
      </c>
      <c r="AK336" s="12">
        <f>+'Form20 '!J337</f>
        <v>2</v>
      </c>
      <c r="AL336" s="68">
        <v>10</v>
      </c>
      <c r="AM336" s="66" t="s">
        <v>30</v>
      </c>
      <c r="AN336" s="12">
        <f>+'Form20 '!K337</f>
        <v>0</v>
      </c>
      <c r="AO336" s="18">
        <v>11</v>
      </c>
      <c r="AP336" s="66" t="s">
        <v>30</v>
      </c>
      <c r="AQ336" s="12">
        <f>+'Form20 '!L337</f>
        <v>0</v>
      </c>
      <c r="AR336" s="18">
        <v>12</v>
      </c>
      <c r="AS336" s="66" t="s">
        <v>30</v>
      </c>
      <c r="AT336" s="12">
        <f>+'Form20 '!M337</f>
        <v>0</v>
      </c>
      <c r="AU336" s="18">
        <v>13</v>
      </c>
      <c r="AV336" s="66" t="s">
        <v>30</v>
      </c>
      <c r="AW336" s="12">
        <f>+'Form20 '!N337</f>
        <v>0</v>
      </c>
      <c r="AX336" s="18">
        <v>14</v>
      </c>
      <c r="AY336" s="66" t="s">
        <v>30</v>
      </c>
      <c r="AZ336" s="12">
        <f>+'Form20 '!O337</f>
        <v>1</v>
      </c>
      <c r="BA336" s="75">
        <f t="shared" si="11"/>
        <v>302</v>
      </c>
    </row>
    <row r="337" spans="1:53" s="67" customFormat="1" ht="59.25" customHeight="1">
      <c r="A337" s="18">
        <v>333</v>
      </c>
      <c r="B337" s="59">
        <v>331</v>
      </c>
      <c r="C337" s="76" t="s">
        <v>404</v>
      </c>
      <c r="D337" s="61">
        <v>1101</v>
      </c>
      <c r="E337" s="61">
        <v>288</v>
      </c>
      <c r="F337" s="61">
        <v>276</v>
      </c>
      <c r="G337" s="55">
        <v>0</v>
      </c>
      <c r="H337" s="62">
        <f t="shared" si="10"/>
        <v>564</v>
      </c>
      <c r="I337" s="55">
        <v>86</v>
      </c>
      <c r="J337" s="29">
        <v>0</v>
      </c>
      <c r="K337" s="68">
        <v>1</v>
      </c>
      <c r="L337" s="63" t="s">
        <v>29</v>
      </c>
      <c r="M337" s="12">
        <f>+'Form20 '!B338</f>
        <v>193</v>
      </c>
      <c r="N337" s="68">
        <v>2</v>
      </c>
      <c r="O337" s="58" t="s">
        <v>24</v>
      </c>
      <c r="P337" s="12">
        <f>+'Form20 '!C338</f>
        <v>20</v>
      </c>
      <c r="Q337" s="68">
        <v>3</v>
      </c>
      <c r="R337" s="63" t="s">
        <v>28</v>
      </c>
      <c r="S337" s="12">
        <f>+'Form20 '!D338</f>
        <v>323</v>
      </c>
      <c r="T337" s="68">
        <v>4</v>
      </c>
      <c r="U337" s="64" t="s">
        <v>65</v>
      </c>
      <c r="V337" s="12">
        <f>+'Form20 '!E338</f>
        <v>2</v>
      </c>
      <c r="W337" s="68">
        <v>5</v>
      </c>
      <c r="X337" s="58" t="s">
        <v>66</v>
      </c>
      <c r="Y337" s="12">
        <f>+'Form20 '!F338</f>
        <v>2</v>
      </c>
      <c r="Z337" s="18">
        <v>6</v>
      </c>
      <c r="AA337" s="64" t="s">
        <v>67</v>
      </c>
      <c r="AB337" s="12">
        <f>+'Form20 '!G338</f>
        <v>0</v>
      </c>
      <c r="AC337" s="68">
        <v>7</v>
      </c>
      <c r="AD337" s="63" t="s">
        <v>68</v>
      </c>
      <c r="AE337" s="12">
        <f>+'Form20 '!H338</f>
        <v>0</v>
      </c>
      <c r="AF337" s="68">
        <v>8</v>
      </c>
      <c r="AG337" s="63" t="s">
        <v>69</v>
      </c>
      <c r="AH337" s="12">
        <f>+'Form20 '!I338</f>
        <v>0</v>
      </c>
      <c r="AI337" s="68">
        <v>9</v>
      </c>
      <c r="AJ337" s="65" t="s">
        <v>70</v>
      </c>
      <c r="AK337" s="12">
        <f>+'Form20 '!J338</f>
        <v>17</v>
      </c>
      <c r="AL337" s="68">
        <v>10</v>
      </c>
      <c r="AM337" s="66" t="s">
        <v>30</v>
      </c>
      <c r="AN337" s="12">
        <f>+'Form20 '!K338</f>
        <v>1</v>
      </c>
      <c r="AO337" s="18">
        <v>11</v>
      </c>
      <c r="AP337" s="66" t="s">
        <v>30</v>
      </c>
      <c r="AQ337" s="12">
        <f>+'Form20 '!L338</f>
        <v>0</v>
      </c>
      <c r="AR337" s="18">
        <v>12</v>
      </c>
      <c r="AS337" s="66" t="s">
        <v>30</v>
      </c>
      <c r="AT337" s="12">
        <f>+'Form20 '!M338</f>
        <v>0</v>
      </c>
      <c r="AU337" s="18">
        <v>13</v>
      </c>
      <c r="AV337" s="66" t="s">
        <v>30</v>
      </c>
      <c r="AW337" s="12">
        <f>+'Form20 '!N338</f>
        <v>0</v>
      </c>
      <c r="AX337" s="18">
        <v>14</v>
      </c>
      <c r="AY337" s="66" t="s">
        <v>30</v>
      </c>
      <c r="AZ337" s="12">
        <f>+'Form20 '!O338</f>
        <v>2</v>
      </c>
      <c r="BA337" s="75">
        <f t="shared" si="11"/>
        <v>560</v>
      </c>
    </row>
    <row r="338" spans="1:53" s="67" customFormat="1" ht="59.25" customHeight="1">
      <c r="A338" s="18">
        <v>333</v>
      </c>
      <c r="B338" s="59">
        <v>332</v>
      </c>
      <c r="C338" s="76" t="s">
        <v>405</v>
      </c>
      <c r="D338" s="61">
        <v>1060</v>
      </c>
      <c r="E338" s="61">
        <v>262</v>
      </c>
      <c r="F338" s="61">
        <v>239</v>
      </c>
      <c r="G338" s="55">
        <v>0</v>
      </c>
      <c r="H338" s="62">
        <f t="shared" si="10"/>
        <v>501</v>
      </c>
      <c r="I338" s="55">
        <v>68</v>
      </c>
      <c r="J338" s="29">
        <v>0</v>
      </c>
      <c r="K338" s="68">
        <v>1</v>
      </c>
      <c r="L338" s="63" t="s">
        <v>29</v>
      </c>
      <c r="M338" s="12">
        <f>+'Form20 '!B339</f>
        <v>154</v>
      </c>
      <c r="N338" s="68">
        <v>2</v>
      </c>
      <c r="O338" s="58" t="s">
        <v>24</v>
      </c>
      <c r="P338" s="12">
        <f>+'Form20 '!C339</f>
        <v>6</v>
      </c>
      <c r="Q338" s="68">
        <v>3</v>
      </c>
      <c r="R338" s="63" t="s">
        <v>28</v>
      </c>
      <c r="S338" s="12">
        <f>+'Form20 '!D339</f>
        <v>257</v>
      </c>
      <c r="T338" s="68">
        <v>4</v>
      </c>
      <c r="U338" s="64" t="s">
        <v>65</v>
      </c>
      <c r="V338" s="12">
        <f>+'Form20 '!E339</f>
        <v>2</v>
      </c>
      <c r="W338" s="68">
        <v>5</v>
      </c>
      <c r="X338" s="58" t="s">
        <v>66</v>
      </c>
      <c r="Y338" s="12">
        <f>+'Form20 '!F339</f>
        <v>0</v>
      </c>
      <c r="Z338" s="18">
        <v>6</v>
      </c>
      <c r="AA338" s="64" t="s">
        <v>67</v>
      </c>
      <c r="AB338" s="12">
        <f>+'Form20 '!G339</f>
        <v>0</v>
      </c>
      <c r="AC338" s="68">
        <v>7</v>
      </c>
      <c r="AD338" s="63" t="s">
        <v>68</v>
      </c>
      <c r="AE338" s="12">
        <f>+'Form20 '!H339</f>
        <v>0</v>
      </c>
      <c r="AF338" s="68">
        <v>8</v>
      </c>
      <c r="AG338" s="63" t="s">
        <v>69</v>
      </c>
      <c r="AH338" s="12">
        <f>+'Form20 '!I339</f>
        <v>1</v>
      </c>
      <c r="AI338" s="68">
        <v>9</v>
      </c>
      <c r="AJ338" s="65" t="s">
        <v>70</v>
      </c>
      <c r="AK338" s="12">
        <f>+'Form20 '!J339</f>
        <v>78</v>
      </c>
      <c r="AL338" s="68">
        <v>10</v>
      </c>
      <c r="AM338" s="66" t="s">
        <v>30</v>
      </c>
      <c r="AN338" s="12">
        <f>+'Form20 '!K339</f>
        <v>0</v>
      </c>
      <c r="AO338" s="18">
        <v>11</v>
      </c>
      <c r="AP338" s="66" t="s">
        <v>30</v>
      </c>
      <c r="AQ338" s="12">
        <f>+'Form20 '!L339</f>
        <v>0</v>
      </c>
      <c r="AR338" s="18">
        <v>12</v>
      </c>
      <c r="AS338" s="66" t="s">
        <v>30</v>
      </c>
      <c r="AT338" s="12">
        <f>+'Form20 '!M339</f>
        <v>0</v>
      </c>
      <c r="AU338" s="18">
        <v>13</v>
      </c>
      <c r="AV338" s="66" t="s">
        <v>30</v>
      </c>
      <c r="AW338" s="12">
        <f>+'Form20 '!N339</f>
        <v>0</v>
      </c>
      <c r="AX338" s="18">
        <v>14</v>
      </c>
      <c r="AY338" s="66" t="s">
        <v>30</v>
      </c>
      <c r="AZ338" s="12">
        <f>+'Form20 '!O339</f>
        <v>1</v>
      </c>
      <c r="BA338" s="75">
        <f t="shared" si="11"/>
        <v>499</v>
      </c>
    </row>
    <row r="339" spans="1:53" s="67" customFormat="1" ht="59.25" customHeight="1">
      <c r="A339" s="18">
        <v>333</v>
      </c>
      <c r="B339" s="59">
        <v>333</v>
      </c>
      <c r="C339" s="76" t="s">
        <v>406</v>
      </c>
      <c r="D339" s="61">
        <v>1069</v>
      </c>
      <c r="E339" s="61">
        <v>293</v>
      </c>
      <c r="F339" s="61">
        <v>266</v>
      </c>
      <c r="G339" s="55">
        <v>0</v>
      </c>
      <c r="H339" s="62">
        <f t="shared" si="10"/>
        <v>559</v>
      </c>
      <c r="I339" s="55">
        <v>124</v>
      </c>
      <c r="J339" s="29">
        <v>0</v>
      </c>
      <c r="K339" s="68">
        <v>1</v>
      </c>
      <c r="L339" s="63" t="s">
        <v>29</v>
      </c>
      <c r="M339" s="12">
        <f>+'Form20 '!B340</f>
        <v>228</v>
      </c>
      <c r="N339" s="68">
        <v>2</v>
      </c>
      <c r="O339" s="58" t="s">
        <v>24</v>
      </c>
      <c r="P339" s="12">
        <f>+'Form20 '!C340</f>
        <v>22</v>
      </c>
      <c r="Q339" s="68">
        <v>3</v>
      </c>
      <c r="R339" s="63" t="s">
        <v>28</v>
      </c>
      <c r="S339" s="12">
        <f>+'Form20 '!D340</f>
        <v>256</v>
      </c>
      <c r="T339" s="68">
        <v>4</v>
      </c>
      <c r="U339" s="64" t="s">
        <v>65</v>
      </c>
      <c r="V339" s="12">
        <f>+'Form20 '!E340</f>
        <v>7</v>
      </c>
      <c r="W339" s="68">
        <v>5</v>
      </c>
      <c r="X339" s="58" t="s">
        <v>66</v>
      </c>
      <c r="Y339" s="12">
        <f>+'Form20 '!F340</f>
        <v>0</v>
      </c>
      <c r="Z339" s="18">
        <v>6</v>
      </c>
      <c r="AA339" s="64" t="s">
        <v>67</v>
      </c>
      <c r="AB339" s="12">
        <f>+'Form20 '!G340</f>
        <v>0</v>
      </c>
      <c r="AC339" s="68">
        <v>7</v>
      </c>
      <c r="AD339" s="63" t="s">
        <v>68</v>
      </c>
      <c r="AE339" s="12">
        <f>+'Form20 '!H340</f>
        <v>0</v>
      </c>
      <c r="AF339" s="68">
        <v>8</v>
      </c>
      <c r="AG339" s="63" t="s">
        <v>69</v>
      </c>
      <c r="AH339" s="12">
        <f>+'Form20 '!I340</f>
        <v>0</v>
      </c>
      <c r="AI339" s="68">
        <v>9</v>
      </c>
      <c r="AJ339" s="65" t="s">
        <v>70</v>
      </c>
      <c r="AK339" s="12">
        <f>+'Form20 '!J340</f>
        <v>33</v>
      </c>
      <c r="AL339" s="68">
        <v>10</v>
      </c>
      <c r="AM339" s="66" t="s">
        <v>30</v>
      </c>
      <c r="AN339" s="12">
        <f>+'Form20 '!K340</f>
        <v>0</v>
      </c>
      <c r="AO339" s="18">
        <v>11</v>
      </c>
      <c r="AP339" s="66" t="s">
        <v>30</v>
      </c>
      <c r="AQ339" s="12">
        <f>+'Form20 '!L340</f>
        <v>1</v>
      </c>
      <c r="AR339" s="18">
        <v>12</v>
      </c>
      <c r="AS339" s="66" t="s">
        <v>30</v>
      </c>
      <c r="AT339" s="12">
        <f>+'Form20 '!M340</f>
        <v>0</v>
      </c>
      <c r="AU339" s="18">
        <v>13</v>
      </c>
      <c r="AV339" s="66" t="s">
        <v>30</v>
      </c>
      <c r="AW339" s="12">
        <f>+'Form20 '!N340</f>
        <v>3</v>
      </c>
      <c r="AX339" s="18">
        <v>14</v>
      </c>
      <c r="AY339" s="66" t="s">
        <v>30</v>
      </c>
      <c r="AZ339" s="12">
        <f>+'Form20 '!O340</f>
        <v>4</v>
      </c>
      <c r="BA339" s="75">
        <f t="shared" si="11"/>
        <v>554</v>
      </c>
    </row>
    <row r="340" spans="1:53" s="67" customFormat="1" ht="59.25" customHeight="1">
      <c r="A340" s="18">
        <v>333</v>
      </c>
      <c r="B340" s="59">
        <v>334</v>
      </c>
      <c r="C340" s="76" t="s">
        <v>407</v>
      </c>
      <c r="D340" s="61">
        <v>1093</v>
      </c>
      <c r="E340" s="61">
        <v>265</v>
      </c>
      <c r="F340" s="61">
        <v>231</v>
      </c>
      <c r="G340" s="55">
        <v>0</v>
      </c>
      <c r="H340" s="62">
        <f t="shared" si="10"/>
        <v>496</v>
      </c>
      <c r="I340" s="55">
        <v>100</v>
      </c>
      <c r="J340" s="29">
        <v>0</v>
      </c>
      <c r="K340" s="68">
        <v>1</v>
      </c>
      <c r="L340" s="63" t="s">
        <v>29</v>
      </c>
      <c r="M340" s="12">
        <f>+'Form20 '!B341</f>
        <v>402</v>
      </c>
      <c r="N340" s="68">
        <v>2</v>
      </c>
      <c r="O340" s="58" t="s">
        <v>24</v>
      </c>
      <c r="P340" s="12">
        <f>+'Form20 '!C341</f>
        <v>6</v>
      </c>
      <c r="Q340" s="68">
        <v>3</v>
      </c>
      <c r="R340" s="63" t="s">
        <v>28</v>
      </c>
      <c r="S340" s="12">
        <f>+'Form20 '!D341</f>
        <v>63</v>
      </c>
      <c r="T340" s="68">
        <v>4</v>
      </c>
      <c r="U340" s="64" t="s">
        <v>65</v>
      </c>
      <c r="V340" s="12">
        <f>+'Form20 '!E341</f>
        <v>1</v>
      </c>
      <c r="W340" s="68">
        <v>5</v>
      </c>
      <c r="X340" s="58" t="s">
        <v>66</v>
      </c>
      <c r="Y340" s="12">
        <f>+'Form20 '!F341</f>
        <v>3</v>
      </c>
      <c r="Z340" s="18">
        <v>6</v>
      </c>
      <c r="AA340" s="64" t="s">
        <v>67</v>
      </c>
      <c r="AB340" s="12">
        <f>+'Form20 '!G341</f>
        <v>0</v>
      </c>
      <c r="AC340" s="68">
        <v>7</v>
      </c>
      <c r="AD340" s="63" t="s">
        <v>68</v>
      </c>
      <c r="AE340" s="12">
        <f>+'Form20 '!H341</f>
        <v>0</v>
      </c>
      <c r="AF340" s="68">
        <v>8</v>
      </c>
      <c r="AG340" s="63" t="s">
        <v>69</v>
      </c>
      <c r="AH340" s="12">
        <f>+'Form20 '!I341</f>
        <v>0</v>
      </c>
      <c r="AI340" s="68">
        <v>9</v>
      </c>
      <c r="AJ340" s="65" t="s">
        <v>70</v>
      </c>
      <c r="AK340" s="12">
        <f>+'Form20 '!J341</f>
        <v>7</v>
      </c>
      <c r="AL340" s="68">
        <v>10</v>
      </c>
      <c r="AM340" s="66" t="s">
        <v>30</v>
      </c>
      <c r="AN340" s="12">
        <f>+'Form20 '!K341</f>
        <v>0</v>
      </c>
      <c r="AO340" s="18">
        <v>11</v>
      </c>
      <c r="AP340" s="66" t="s">
        <v>30</v>
      </c>
      <c r="AQ340" s="12">
        <f>+'Form20 '!L341</f>
        <v>2</v>
      </c>
      <c r="AR340" s="18">
        <v>12</v>
      </c>
      <c r="AS340" s="66" t="s">
        <v>30</v>
      </c>
      <c r="AT340" s="12">
        <f>+'Form20 '!M341</f>
        <v>0</v>
      </c>
      <c r="AU340" s="18">
        <v>13</v>
      </c>
      <c r="AV340" s="66" t="s">
        <v>30</v>
      </c>
      <c r="AW340" s="12">
        <f>+'Form20 '!N341</f>
        <v>2</v>
      </c>
      <c r="AX340" s="18">
        <v>14</v>
      </c>
      <c r="AY340" s="66" t="s">
        <v>30</v>
      </c>
      <c r="AZ340" s="12">
        <f>+'Form20 '!O341</f>
        <v>1</v>
      </c>
      <c r="BA340" s="75">
        <f t="shared" si="11"/>
        <v>487</v>
      </c>
    </row>
    <row r="341" spans="1:53" s="67" customFormat="1" ht="59.25" customHeight="1">
      <c r="A341" s="18">
        <v>333</v>
      </c>
      <c r="B341" s="59">
        <v>335</v>
      </c>
      <c r="C341" s="76" t="s">
        <v>408</v>
      </c>
      <c r="D341" s="61">
        <v>913</v>
      </c>
      <c r="E341" s="61">
        <v>253</v>
      </c>
      <c r="F341" s="61">
        <v>250</v>
      </c>
      <c r="G341" s="55">
        <v>0</v>
      </c>
      <c r="H341" s="62">
        <f t="shared" si="10"/>
        <v>503</v>
      </c>
      <c r="I341" s="55">
        <v>65</v>
      </c>
      <c r="J341" s="29">
        <v>0</v>
      </c>
      <c r="K341" s="68">
        <v>1</v>
      </c>
      <c r="L341" s="63" t="s">
        <v>29</v>
      </c>
      <c r="M341" s="12">
        <f>+'Form20 '!B342</f>
        <v>301</v>
      </c>
      <c r="N341" s="68">
        <v>2</v>
      </c>
      <c r="O341" s="58" t="s">
        <v>24</v>
      </c>
      <c r="P341" s="12">
        <f>+'Form20 '!C342</f>
        <v>8</v>
      </c>
      <c r="Q341" s="68">
        <v>3</v>
      </c>
      <c r="R341" s="63" t="s">
        <v>28</v>
      </c>
      <c r="S341" s="12">
        <f>+'Form20 '!D342</f>
        <v>175</v>
      </c>
      <c r="T341" s="68">
        <v>4</v>
      </c>
      <c r="U341" s="64" t="s">
        <v>65</v>
      </c>
      <c r="V341" s="12">
        <f>+'Form20 '!E342</f>
        <v>4</v>
      </c>
      <c r="W341" s="68">
        <v>5</v>
      </c>
      <c r="X341" s="58" t="s">
        <v>66</v>
      </c>
      <c r="Y341" s="12">
        <f>+'Form20 '!F342</f>
        <v>0</v>
      </c>
      <c r="Z341" s="18">
        <v>6</v>
      </c>
      <c r="AA341" s="64" t="s">
        <v>67</v>
      </c>
      <c r="AB341" s="12">
        <f>+'Form20 '!G342</f>
        <v>0</v>
      </c>
      <c r="AC341" s="68">
        <v>7</v>
      </c>
      <c r="AD341" s="63" t="s">
        <v>68</v>
      </c>
      <c r="AE341" s="12">
        <f>+'Form20 '!H342</f>
        <v>0</v>
      </c>
      <c r="AF341" s="68">
        <v>8</v>
      </c>
      <c r="AG341" s="63" t="s">
        <v>69</v>
      </c>
      <c r="AH341" s="12">
        <f>+'Form20 '!I342</f>
        <v>0</v>
      </c>
      <c r="AI341" s="68">
        <v>9</v>
      </c>
      <c r="AJ341" s="65" t="s">
        <v>70</v>
      </c>
      <c r="AK341" s="12">
        <f>+'Form20 '!J342</f>
        <v>3</v>
      </c>
      <c r="AL341" s="68">
        <v>10</v>
      </c>
      <c r="AM341" s="66" t="s">
        <v>30</v>
      </c>
      <c r="AN341" s="12">
        <f>+'Form20 '!K342</f>
        <v>0</v>
      </c>
      <c r="AO341" s="18">
        <v>11</v>
      </c>
      <c r="AP341" s="66" t="s">
        <v>30</v>
      </c>
      <c r="AQ341" s="12">
        <f>+'Form20 '!L342</f>
        <v>0</v>
      </c>
      <c r="AR341" s="18">
        <v>12</v>
      </c>
      <c r="AS341" s="66" t="s">
        <v>30</v>
      </c>
      <c r="AT341" s="12">
        <f>+'Form20 '!M342</f>
        <v>0</v>
      </c>
      <c r="AU341" s="18">
        <v>13</v>
      </c>
      <c r="AV341" s="66" t="s">
        <v>30</v>
      </c>
      <c r="AW341" s="12">
        <f>+'Form20 '!N342</f>
        <v>2</v>
      </c>
      <c r="AX341" s="18">
        <v>14</v>
      </c>
      <c r="AY341" s="66" t="s">
        <v>30</v>
      </c>
      <c r="AZ341" s="12">
        <f>+'Form20 '!O342</f>
        <v>5</v>
      </c>
      <c r="BA341" s="75">
        <f t="shared" si="11"/>
        <v>498</v>
      </c>
    </row>
    <row r="342" spans="1:53" s="67" customFormat="1" ht="59.25" customHeight="1">
      <c r="A342" s="18">
        <v>333</v>
      </c>
      <c r="B342" s="59">
        <v>336</v>
      </c>
      <c r="C342" s="76" t="s">
        <v>409</v>
      </c>
      <c r="D342" s="61">
        <v>1148</v>
      </c>
      <c r="E342" s="61">
        <v>321</v>
      </c>
      <c r="F342" s="61">
        <v>310</v>
      </c>
      <c r="G342" s="55">
        <v>0</v>
      </c>
      <c r="H342" s="62">
        <f t="shared" si="10"/>
        <v>631</v>
      </c>
      <c r="I342" s="55">
        <v>50</v>
      </c>
      <c r="J342" s="29">
        <v>0</v>
      </c>
      <c r="K342" s="68">
        <v>1</v>
      </c>
      <c r="L342" s="63" t="s">
        <v>29</v>
      </c>
      <c r="M342" s="12">
        <f>+'Form20 '!B343</f>
        <v>199</v>
      </c>
      <c r="N342" s="68">
        <v>2</v>
      </c>
      <c r="O342" s="58" t="s">
        <v>24</v>
      </c>
      <c r="P342" s="12">
        <f>+'Form20 '!C343</f>
        <v>203</v>
      </c>
      <c r="Q342" s="68">
        <v>3</v>
      </c>
      <c r="R342" s="63" t="s">
        <v>28</v>
      </c>
      <c r="S342" s="12">
        <f>+'Form20 '!D343</f>
        <v>202</v>
      </c>
      <c r="T342" s="68">
        <v>4</v>
      </c>
      <c r="U342" s="64" t="s">
        <v>65</v>
      </c>
      <c r="V342" s="12">
        <f>+'Form20 '!E343</f>
        <v>6</v>
      </c>
      <c r="W342" s="68">
        <v>5</v>
      </c>
      <c r="X342" s="58" t="s">
        <v>66</v>
      </c>
      <c r="Y342" s="12">
        <f>+'Form20 '!F343</f>
        <v>1</v>
      </c>
      <c r="Z342" s="18">
        <v>6</v>
      </c>
      <c r="AA342" s="64" t="s">
        <v>67</v>
      </c>
      <c r="AB342" s="12">
        <f>+'Form20 '!G343</f>
        <v>1</v>
      </c>
      <c r="AC342" s="68">
        <v>7</v>
      </c>
      <c r="AD342" s="63" t="s">
        <v>68</v>
      </c>
      <c r="AE342" s="12">
        <f>+'Form20 '!H343</f>
        <v>1</v>
      </c>
      <c r="AF342" s="68">
        <v>8</v>
      </c>
      <c r="AG342" s="63" t="s">
        <v>69</v>
      </c>
      <c r="AH342" s="12">
        <f>+'Form20 '!I343</f>
        <v>0</v>
      </c>
      <c r="AI342" s="68">
        <v>9</v>
      </c>
      <c r="AJ342" s="65" t="s">
        <v>70</v>
      </c>
      <c r="AK342" s="12">
        <f>+'Form20 '!J343</f>
        <v>10</v>
      </c>
      <c r="AL342" s="68">
        <v>10</v>
      </c>
      <c r="AM342" s="66" t="s">
        <v>30</v>
      </c>
      <c r="AN342" s="12">
        <f>+'Form20 '!K343</f>
        <v>0</v>
      </c>
      <c r="AO342" s="18">
        <v>11</v>
      </c>
      <c r="AP342" s="66" t="s">
        <v>30</v>
      </c>
      <c r="AQ342" s="12">
        <f>+'Form20 '!L343</f>
        <v>1</v>
      </c>
      <c r="AR342" s="18">
        <v>12</v>
      </c>
      <c r="AS342" s="66" t="s">
        <v>30</v>
      </c>
      <c r="AT342" s="12">
        <f>+'Form20 '!M343</f>
        <v>1</v>
      </c>
      <c r="AU342" s="18">
        <v>13</v>
      </c>
      <c r="AV342" s="66" t="s">
        <v>30</v>
      </c>
      <c r="AW342" s="12">
        <f>+'Form20 '!N343</f>
        <v>1</v>
      </c>
      <c r="AX342" s="18">
        <v>14</v>
      </c>
      <c r="AY342" s="66" t="s">
        <v>30</v>
      </c>
      <c r="AZ342" s="12">
        <f>+'Form20 '!O343</f>
        <v>2</v>
      </c>
      <c r="BA342" s="75">
        <f t="shared" si="11"/>
        <v>628</v>
      </c>
    </row>
    <row r="343" spans="1:53" s="67" customFormat="1" ht="59.25" customHeight="1">
      <c r="A343" s="18">
        <v>333</v>
      </c>
      <c r="B343" s="59">
        <v>337</v>
      </c>
      <c r="C343" s="76" t="s">
        <v>410</v>
      </c>
      <c r="D343" s="61">
        <v>1064</v>
      </c>
      <c r="E343" s="61">
        <v>295</v>
      </c>
      <c r="F343" s="61">
        <v>271</v>
      </c>
      <c r="G343" s="55">
        <v>0</v>
      </c>
      <c r="H343" s="62">
        <f t="shared" si="10"/>
        <v>566</v>
      </c>
      <c r="I343" s="55">
        <v>321</v>
      </c>
      <c r="J343" s="29">
        <v>0</v>
      </c>
      <c r="K343" s="68">
        <v>1</v>
      </c>
      <c r="L343" s="63" t="s">
        <v>29</v>
      </c>
      <c r="M343" s="12">
        <f>+'Form20 '!B344</f>
        <v>46</v>
      </c>
      <c r="N343" s="68">
        <v>2</v>
      </c>
      <c r="O343" s="58" t="s">
        <v>24</v>
      </c>
      <c r="P343" s="12">
        <f>+'Form20 '!C344</f>
        <v>18</v>
      </c>
      <c r="Q343" s="68">
        <v>3</v>
      </c>
      <c r="R343" s="63" t="s">
        <v>28</v>
      </c>
      <c r="S343" s="12">
        <f>+'Form20 '!D344</f>
        <v>448</v>
      </c>
      <c r="T343" s="68">
        <v>4</v>
      </c>
      <c r="U343" s="64" t="s">
        <v>65</v>
      </c>
      <c r="V343" s="12">
        <f>+'Form20 '!E344</f>
        <v>3</v>
      </c>
      <c r="W343" s="68">
        <v>5</v>
      </c>
      <c r="X343" s="58" t="s">
        <v>66</v>
      </c>
      <c r="Y343" s="12">
        <f>+'Form20 '!F344</f>
        <v>0</v>
      </c>
      <c r="Z343" s="18">
        <v>6</v>
      </c>
      <c r="AA343" s="64" t="s">
        <v>67</v>
      </c>
      <c r="AB343" s="12">
        <f>+'Form20 '!G344</f>
        <v>0</v>
      </c>
      <c r="AC343" s="68">
        <v>7</v>
      </c>
      <c r="AD343" s="63" t="s">
        <v>68</v>
      </c>
      <c r="AE343" s="12">
        <f>+'Form20 '!H344</f>
        <v>1</v>
      </c>
      <c r="AF343" s="68">
        <v>8</v>
      </c>
      <c r="AG343" s="63" t="s">
        <v>69</v>
      </c>
      <c r="AH343" s="12">
        <f>+'Form20 '!I344</f>
        <v>1</v>
      </c>
      <c r="AI343" s="68">
        <v>9</v>
      </c>
      <c r="AJ343" s="65" t="s">
        <v>70</v>
      </c>
      <c r="AK343" s="12">
        <f>+'Form20 '!J344</f>
        <v>46</v>
      </c>
      <c r="AL343" s="68">
        <v>10</v>
      </c>
      <c r="AM343" s="66" t="s">
        <v>30</v>
      </c>
      <c r="AN343" s="12">
        <f>+'Form20 '!K344</f>
        <v>1</v>
      </c>
      <c r="AO343" s="18">
        <v>11</v>
      </c>
      <c r="AP343" s="66" t="s">
        <v>30</v>
      </c>
      <c r="AQ343" s="12">
        <f>+'Form20 '!L344</f>
        <v>0</v>
      </c>
      <c r="AR343" s="18">
        <v>12</v>
      </c>
      <c r="AS343" s="66" t="s">
        <v>30</v>
      </c>
      <c r="AT343" s="12">
        <f>+'Form20 '!M344</f>
        <v>0</v>
      </c>
      <c r="AU343" s="18">
        <v>13</v>
      </c>
      <c r="AV343" s="66" t="s">
        <v>30</v>
      </c>
      <c r="AW343" s="12">
        <f>+'Form20 '!N344</f>
        <v>1</v>
      </c>
      <c r="AX343" s="18">
        <v>14</v>
      </c>
      <c r="AY343" s="66" t="s">
        <v>30</v>
      </c>
      <c r="AZ343" s="12">
        <f>+'Form20 '!O344</f>
        <v>1</v>
      </c>
      <c r="BA343" s="75">
        <f t="shared" si="11"/>
        <v>566</v>
      </c>
    </row>
    <row r="344" spans="1:53" s="67" customFormat="1" ht="59.25" customHeight="1">
      <c r="A344" s="18">
        <v>333</v>
      </c>
      <c r="B344" s="59">
        <v>338</v>
      </c>
      <c r="C344" s="76" t="s">
        <v>411</v>
      </c>
      <c r="D344" s="61">
        <v>777</v>
      </c>
      <c r="E344" s="61">
        <v>179</v>
      </c>
      <c r="F344" s="61">
        <v>186</v>
      </c>
      <c r="G344" s="55">
        <v>0</v>
      </c>
      <c r="H344" s="62">
        <f t="shared" si="10"/>
        <v>365</v>
      </c>
      <c r="I344" s="55">
        <v>93</v>
      </c>
      <c r="J344" s="29">
        <v>0</v>
      </c>
      <c r="K344" s="68">
        <v>1</v>
      </c>
      <c r="L344" s="63" t="s">
        <v>29</v>
      </c>
      <c r="M344" s="12">
        <f>+'Form20 '!B345</f>
        <v>65</v>
      </c>
      <c r="N344" s="68">
        <v>2</v>
      </c>
      <c r="O344" s="58" t="s">
        <v>24</v>
      </c>
      <c r="P344" s="12">
        <f>+'Form20 '!C345</f>
        <v>11</v>
      </c>
      <c r="Q344" s="68">
        <v>3</v>
      </c>
      <c r="R344" s="63" t="s">
        <v>28</v>
      </c>
      <c r="S344" s="12">
        <f>+'Form20 '!D345</f>
        <v>261</v>
      </c>
      <c r="T344" s="68">
        <v>4</v>
      </c>
      <c r="U344" s="64" t="s">
        <v>65</v>
      </c>
      <c r="V344" s="12">
        <f>+'Form20 '!E345</f>
        <v>2</v>
      </c>
      <c r="W344" s="68">
        <v>5</v>
      </c>
      <c r="X344" s="58" t="s">
        <v>66</v>
      </c>
      <c r="Y344" s="12">
        <f>+'Form20 '!F345</f>
        <v>1</v>
      </c>
      <c r="Z344" s="18">
        <v>6</v>
      </c>
      <c r="AA344" s="64" t="s">
        <v>67</v>
      </c>
      <c r="AB344" s="12">
        <f>+'Form20 '!G345</f>
        <v>0</v>
      </c>
      <c r="AC344" s="68">
        <v>7</v>
      </c>
      <c r="AD344" s="63" t="s">
        <v>68</v>
      </c>
      <c r="AE344" s="12">
        <f>+'Form20 '!H345</f>
        <v>0</v>
      </c>
      <c r="AF344" s="68">
        <v>8</v>
      </c>
      <c r="AG344" s="63" t="s">
        <v>69</v>
      </c>
      <c r="AH344" s="12">
        <f>+'Form20 '!I345</f>
        <v>0</v>
      </c>
      <c r="AI344" s="68">
        <v>9</v>
      </c>
      <c r="AJ344" s="65" t="s">
        <v>70</v>
      </c>
      <c r="AK344" s="12">
        <f>+'Form20 '!J345</f>
        <v>23</v>
      </c>
      <c r="AL344" s="68">
        <v>10</v>
      </c>
      <c r="AM344" s="66" t="s">
        <v>30</v>
      </c>
      <c r="AN344" s="12">
        <f>+'Form20 '!K345</f>
        <v>0</v>
      </c>
      <c r="AO344" s="18">
        <v>11</v>
      </c>
      <c r="AP344" s="66" t="s">
        <v>30</v>
      </c>
      <c r="AQ344" s="12">
        <f>+'Form20 '!L345</f>
        <v>1</v>
      </c>
      <c r="AR344" s="18">
        <v>12</v>
      </c>
      <c r="AS344" s="66" t="s">
        <v>30</v>
      </c>
      <c r="AT344" s="12">
        <f>+'Form20 '!M345</f>
        <v>0</v>
      </c>
      <c r="AU344" s="18">
        <v>13</v>
      </c>
      <c r="AV344" s="66" t="s">
        <v>30</v>
      </c>
      <c r="AW344" s="12">
        <f>+'Form20 '!N345</f>
        <v>0</v>
      </c>
      <c r="AX344" s="18">
        <v>14</v>
      </c>
      <c r="AY344" s="66" t="s">
        <v>30</v>
      </c>
      <c r="AZ344" s="12">
        <f>+'Form20 '!O345</f>
        <v>0</v>
      </c>
      <c r="BA344" s="75">
        <f t="shared" si="11"/>
        <v>364</v>
      </c>
    </row>
    <row r="345" spans="1:53" s="67" customFormat="1" ht="59.25" customHeight="1">
      <c r="A345" s="18">
        <v>333</v>
      </c>
      <c r="B345" s="59">
        <v>339</v>
      </c>
      <c r="C345" s="76" t="s">
        <v>412</v>
      </c>
      <c r="D345" s="61">
        <v>1007</v>
      </c>
      <c r="E345" s="61">
        <v>284</v>
      </c>
      <c r="F345" s="61">
        <v>318</v>
      </c>
      <c r="G345" s="55">
        <v>0</v>
      </c>
      <c r="H345" s="62">
        <f t="shared" si="10"/>
        <v>602</v>
      </c>
      <c r="I345" s="55">
        <v>200</v>
      </c>
      <c r="J345" s="29">
        <v>0</v>
      </c>
      <c r="K345" s="68">
        <v>1</v>
      </c>
      <c r="L345" s="63" t="s">
        <v>29</v>
      </c>
      <c r="M345" s="12">
        <f>+'Form20 '!B346</f>
        <v>309</v>
      </c>
      <c r="N345" s="68">
        <v>2</v>
      </c>
      <c r="O345" s="58" t="s">
        <v>24</v>
      </c>
      <c r="P345" s="12">
        <f>+'Form20 '!C346</f>
        <v>29</v>
      </c>
      <c r="Q345" s="68">
        <v>3</v>
      </c>
      <c r="R345" s="63" t="s">
        <v>28</v>
      </c>
      <c r="S345" s="12">
        <f>+'Form20 '!D346</f>
        <v>250</v>
      </c>
      <c r="T345" s="68">
        <v>4</v>
      </c>
      <c r="U345" s="64" t="s">
        <v>65</v>
      </c>
      <c r="V345" s="12">
        <f>+'Form20 '!E346</f>
        <v>6</v>
      </c>
      <c r="W345" s="68">
        <v>5</v>
      </c>
      <c r="X345" s="58" t="s">
        <v>66</v>
      </c>
      <c r="Y345" s="12">
        <f>+'Form20 '!F346</f>
        <v>0</v>
      </c>
      <c r="Z345" s="18">
        <v>6</v>
      </c>
      <c r="AA345" s="64" t="s">
        <v>67</v>
      </c>
      <c r="AB345" s="12">
        <f>+'Form20 '!G346</f>
        <v>0</v>
      </c>
      <c r="AC345" s="68">
        <v>7</v>
      </c>
      <c r="AD345" s="63" t="s">
        <v>68</v>
      </c>
      <c r="AE345" s="12">
        <f>+'Form20 '!H346</f>
        <v>1</v>
      </c>
      <c r="AF345" s="68">
        <v>8</v>
      </c>
      <c r="AG345" s="63" t="s">
        <v>69</v>
      </c>
      <c r="AH345" s="12">
        <f>+'Form20 '!I346</f>
        <v>0</v>
      </c>
      <c r="AI345" s="68">
        <v>9</v>
      </c>
      <c r="AJ345" s="65" t="s">
        <v>70</v>
      </c>
      <c r="AK345" s="12">
        <f>+'Form20 '!J346</f>
        <v>3</v>
      </c>
      <c r="AL345" s="68">
        <v>10</v>
      </c>
      <c r="AM345" s="66" t="s">
        <v>30</v>
      </c>
      <c r="AN345" s="12">
        <f>+'Form20 '!K346</f>
        <v>0</v>
      </c>
      <c r="AO345" s="18">
        <v>11</v>
      </c>
      <c r="AP345" s="66" t="s">
        <v>30</v>
      </c>
      <c r="AQ345" s="12">
        <f>+'Form20 '!L346</f>
        <v>0</v>
      </c>
      <c r="AR345" s="18">
        <v>12</v>
      </c>
      <c r="AS345" s="66" t="s">
        <v>30</v>
      </c>
      <c r="AT345" s="12">
        <f>+'Form20 '!M346</f>
        <v>2</v>
      </c>
      <c r="AU345" s="18">
        <v>13</v>
      </c>
      <c r="AV345" s="66" t="s">
        <v>30</v>
      </c>
      <c r="AW345" s="12">
        <f>+'Form20 '!N346</f>
        <v>2</v>
      </c>
      <c r="AX345" s="18">
        <v>14</v>
      </c>
      <c r="AY345" s="66" t="s">
        <v>30</v>
      </c>
      <c r="AZ345" s="12">
        <f>+'Form20 '!O346</f>
        <v>0</v>
      </c>
      <c r="BA345" s="75">
        <f t="shared" si="11"/>
        <v>602</v>
      </c>
    </row>
    <row r="346" spans="1:53" s="67" customFormat="1" ht="59.25" customHeight="1">
      <c r="A346" s="18">
        <v>333</v>
      </c>
      <c r="B346" s="59">
        <v>340</v>
      </c>
      <c r="C346" s="76" t="s">
        <v>413</v>
      </c>
      <c r="D346" s="61">
        <v>827</v>
      </c>
      <c r="E346" s="61">
        <v>261</v>
      </c>
      <c r="F346" s="61">
        <v>295</v>
      </c>
      <c r="G346" s="55">
        <v>0</v>
      </c>
      <c r="H346" s="62">
        <f t="shared" si="10"/>
        <v>556</v>
      </c>
      <c r="I346" s="55">
        <v>58</v>
      </c>
      <c r="J346" s="29">
        <v>0</v>
      </c>
      <c r="K346" s="68">
        <v>1</v>
      </c>
      <c r="L346" s="63" t="s">
        <v>29</v>
      </c>
      <c r="M346" s="12">
        <f>+'Form20 '!B347</f>
        <v>397</v>
      </c>
      <c r="N346" s="68">
        <v>2</v>
      </c>
      <c r="O346" s="58" t="s">
        <v>24</v>
      </c>
      <c r="P346" s="12">
        <f>+'Form20 '!C347</f>
        <v>5</v>
      </c>
      <c r="Q346" s="68">
        <v>3</v>
      </c>
      <c r="R346" s="63" t="s">
        <v>28</v>
      </c>
      <c r="S346" s="12">
        <f>+'Form20 '!D347</f>
        <v>145</v>
      </c>
      <c r="T346" s="68">
        <v>4</v>
      </c>
      <c r="U346" s="64" t="s">
        <v>65</v>
      </c>
      <c r="V346" s="12">
        <f>+'Form20 '!E347</f>
        <v>1</v>
      </c>
      <c r="W346" s="68">
        <v>5</v>
      </c>
      <c r="X346" s="58" t="s">
        <v>66</v>
      </c>
      <c r="Y346" s="12">
        <f>+'Form20 '!F347</f>
        <v>0</v>
      </c>
      <c r="Z346" s="18">
        <v>6</v>
      </c>
      <c r="AA346" s="64" t="s">
        <v>67</v>
      </c>
      <c r="AB346" s="12">
        <f>+'Form20 '!G347</f>
        <v>0</v>
      </c>
      <c r="AC346" s="68">
        <v>7</v>
      </c>
      <c r="AD346" s="63" t="s">
        <v>68</v>
      </c>
      <c r="AE346" s="12">
        <f>+'Form20 '!H347</f>
        <v>1</v>
      </c>
      <c r="AF346" s="68">
        <v>8</v>
      </c>
      <c r="AG346" s="63" t="s">
        <v>69</v>
      </c>
      <c r="AH346" s="12">
        <f>+'Form20 '!I347</f>
        <v>0</v>
      </c>
      <c r="AI346" s="68">
        <v>9</v>
      </c>
      <c r="AJ346" s="65" t="s">
        <v>70</v>
      </c>
      <c r="AK346" s="12">
        <f>+'Form20 '!J347</f>
        <v>2</v>
      </c>
      <c r="AL346" s="68">
        <v>10</v>
      </c>
      <c r="AM346" s="66" t="s">
        <v>30</v>
      </c>
      <c r="AN346" s="12">
        <f>+'Form20 '!K347</f>
        <v>0</v>
      </c>
      <c r="AO346" s="18">
        <v>11</v>
      </c>
      <c r="AP346" s="66" t="s">
        <v>30</v>
      </c>
      <c r="AQ346" s="12">
        <f>+'Form20 '!L347</f>
        <v>0</v>
      </c>
      <c r="AR346" s="18">
        <v>12</v>
      </c>
      <c r="AS346" s="66" t="s">
        <v>30</v>
      </c>
      <c r="AT346" s="12">
        <f>+'Form20 '!M347</f>
        <v>0</v>
      </c>
      <c r="AU346" s="18">
        <v>13</v>
      </c>
      <c r="AV346" s="66" t="s">
        <v>30</v>
      </c>
      <c r="AW346" s="12">
        <f>+'Form20 '!N347</f>
        <v>1</v>
      </c>
      <c r="AX346" s="18">
        <v>14</v>
      </c>
      <c r="AY346" s="66" t="s">
        <v>30</v>
      </c>
      <c r="AZ346" s="12">
        <f>+'Form20 '!O347</f>
        <v>1</v>
      </c>
      <c r="BA346" s="75">
        <f t="shared" si="11"/>
        <v>553</v>
      </c>
    </row>
    <row r="347" spans="1:53" s="67" customFormat="1" ht="59.25" customHeight="1">
      <c r="A347" s="18">
        <v>333</v>
      </c>
      <c r="B347" s="59">
        <v>341</v>
      </c>
      <c r="C347" s="76" t="s">
        <v>414</v>
      </c>
      <c r="D347" s="61">
        <v>704</v>
      </c>
      <c r="E347" s="61">
        <v>220</v>
      </c>
      <c r="F347" s="61">
        <v>245</v>
      </c>
      <c r="G347" s="55">
        <v>0</v>
      </c>
      <c r="H347" s="62">
        <f t="shared" si="10"/>
        <v>465</v>
      </c>
      <c r="I347" s="55">
        <v>40</v>
      </c>
      <c r="J347" s="29">
        <v>0</v>
      </c>
      <c r="K347" s="68">
        <v>1</v>
      </c>
      <c r="L347" s="63" t="s">
        <v>29</v>
      </c>
      <c r="M347" s="12">
        <f>+'Form20 '!B348</f>
        <v>238</v>
      </c>
      <c r="N347" s="68">
        <v>2</v>
      </c>
      <c r="O347" s="58" t="s">
        <v>24</v>
      </c>
      <c r="P347" s="12">
        <f>+'Form20 '!C348</f>
        <v>134</v>
      </c>
      <c r="Q347" s="68">
        <v>3</v>
      </c>
      <c r="R347" s="63" t="s">
        <v>28</v>
      </c>
      <c r="S347" s="12">
        <f>+'Form20 '!D348</f>
        <v>83</v>
      </c>
      <c r="T347" s="68">
        <v>4</v>
      </c>
      <c r="U347" s="64" t="s">
        <v>65</v>
      </c>
      <c r="V347" s="12">
        <f>+'Form20 '!E348</f>
        <v>0</v>
      </c>
      <c r="W347" s="68">
        <v>5</v>
      </c>
      <c r="X347" s="58" t="s">
        <v>66</v>
      </c>
      <c r="Y347" s="12">
        <f>+'Form20 '!F348</f>
        <v>0</v>
      </c>
      <c r="Z347" s="18">
        <v>6</v>
      </c>
      <c r="AA347" s="64" t="s">
        <v>67</v>
      </c>
      <c r="AB347" s="12">
        <f>+'Form20 '!G348</f>
        <v>1</v>
      </c>
      <c r="AC347" s="68">
        <v>7</v>
      </c>
      <c r="AD347" s="63" t="s">
        <v>68</v>
      </c>
      <c r="AE347" s="12">
        <f>+'Form20 '!H348</f>
        <v>0</v>
      </c>
      <c r="AF347" s="68">
        <v>8</v>
      </c>
      <c r="AG347" s="63" t="s">
        <v>69</v>
      </c>
      <c r="AH347" s="12">
        <f>+'Form20 '!I348</f>
        <v>2</v>
      </c>
      <c r="AI347" s="68">
        <v>9</v>
      </c>
      <c r="AJ347" s="65" t="s">
        <v>70</v>
      </c>
      <c r="AK347" s="12">
        <f>+'Form20 '!J348</f>
        <v>0</v>
      </c>
      <c r="AL347" s="68">
        <v>10</v>
      </c>
      <c r="AM347" s="66" t="s">
        <v>30</v>
      </c>
      <c r="AN347" s="12">
        <f>+'Form20 '!K348</f>
        <v>1</v>
      </c>
      <c r="AO347" s="18">
        <v>11</v>
      </c>
      <c r="AP347" s="66" t="s">
        <v>30</v>
      </c>
      <c r="AQ347" s="12">
        <f>+'Form20 '!L348</f>
        <v>1</v>
      </c>
      <c r="AR347" s="18">
        <v>12</v>
      </c>
      <c r="AS347" s="66" t="s">
        <v>30</v>
      </c>
      <c r="AT347" s="12">
        <f>+'Form20 '!M348</f>
        <v>1</v>
      </c>
      <c r="AU347" s="18">
        <v>13</v>
      </c>
      <c r="AV347" s="66" t="s">
        <v>30</v>
      </c>
      <c r="AW347" s="12">
        <f>+'Form20 '!N348</f>
        <v>0</v>
      </c>
      <c r="AX347" s="18">
        <v>14</v>
      </c>
      <c r="AY347" s="66" t="s">
        <v>30</v>
      </c>
      <c r="AZ347" s="12">
        <f>+'Form20 '!O348</f>
        <v>2</v>
      </c>
      <c r="BA347" s="75">
        <f t="shared" si="11"/>
        <v>463</v>
      </c>
    </row>
    <row r="348" spans="1:53" s="67" customFormat="1" ht="59.25" customHeight="1">
      <c r="A348" s="18">
        <v>333</v>
      </c>
      <c r="B348" s="59">
        <v>342</v>
      </c>
      <c r="C348" s="76" t="s">
        <v>415</v>
      </c>
      <c r="D348" s="61">
        <v>1007</v>
      </c>
      <c r="E348" s="61">
        <v>318</v>
      </c>
      <c r="F348" s="61">
        <v>352</v>
      </c>
      <c r="G348" s="55">
        <v>0</v>
      </c>
      <c r="H348" s="62">
        <f t="shared" si="10"/>
        <v>670</v>
      </c>
      <c r="I348" s="55">
        <v>45</v>
      </c>
      <c r="J348" s="29">
        <v>0</v>
      </c>
      <c r="K348" s="68">
        <v>1</v>
      </c>
      <c r="L348" s="63" t="s">
        <v>29</v>
      </c>
      <c r="M348" s="12">
        <f>+'Form20 '!B349</f>
        <v>309</v>
      </c>
      <c r="N348" s="68">
        <v>2</v>
      </c>
      <c r="O348" s="58" t="s">
        <v>24</v>
      </c>
      <c r="P348" s="12">
        <f>+'Form20 '!C349</f>
        <v>43</v>
      </c>
      <c r="Q348" s="68">
        <v>3</v>
      </c>
      <c r="R348" s="63" t="s">
        <v>28</v>
      </c>
      <c r="S348" s="12">
        <f>+'Form20 '!D349</f>
        <v>313</v>
      </c>
      <c r="T348" s="68">
        <v>4</v>
      </c>
      <c r="U348" s="64" t="s">
        <v>65</v>
      </c>
      <c r="V348" s="12">
        <f>+'Form20 '!E349</f>
        <v>0</v>
      </c>
      <c r="W348" s="68">
        <v>5</v>
      </c>
      <c r="X348" s="58" t="s">
        <v>66</v>
      </c>
      <c r="Y348" s="12">
        <f>+'Form20 '!F349</f>
        <v>1</v>
      </c>
      <c r="Z348" s="18">
        <v>6</v>
      </c>
      <c r="AA348" s="64" t="s">
        <v>67</v>
      </c>
      <c r="AB348" s="12">
        <f>+'Form20 '!G349</f>
        <v>0</v>
      </c>
      <c r="AC348" s="68">
        <v>7</v>
      </c>
      <c r="AD348" s="63" t="s">
        <v>68</v>
      </c>
      <c r="AE348" s="12">
        <f>+'Form20 '!H349</f>
        <v>0</v>
      </c>
      <c r="AF348" s="68">
        <v>8</v>
      </c>
      <c r="AG348" s="63" t="s">
        <v>69</v>
      </c>
      <c r="AH348" s="12">
        <f>+'Form20 '!I349</f>
        <v>0</v>
      </c>
      <c r="AI348" s="68">
        <v>9</v>
      </c>
      <c r="AJ348" s="65" t="s">
        <v>70</v>
      </c>
      <c r="AK348" s="12">
        <f>+'Form20 '!J349</f>
        <v>1</v>
      </c>
      <c r="AL348" s="68">
        <v>10</v>
      </c>
      <c r="AM348" s="66" t="s">
        <v>30</v>
      </c>
      <c r="AN348" s="12">
        <f>+'Form20 '!K349</f>
        <v>0</v>
      </c>
      <c r="AO348" s="18">
        <v>11</v>
      </c>
      <c r="AP348" s="66" t="s">
        <v>30</v>
      </c>
      <c r="AQ348" s="12">
        <f>+'Form20 '!L349</f>
        <v>0</v>
      </c>
      <c r="AR348" s="18">
        <v>12</v>
      </c>
      <c r="AS348" s="66" t="s">
        <v>30</v>
      </c>
      <c r="AT348" s="12">
        <f>+'Form20 '!M349</f>
        <v>1</v>
      </c>
      <c r="AU348" s="18">
        <v>13</v>
      </c>
      <c r="AV348" s="66" t="s">
        <v>30</v>
      </c>
      <c r="AW348" s="12">
        <f>+'Form20 '!N349</f>
        <v>0</v>
      </c>
      <c r="AX348" s="18">
        <v>14</v>
      </c>
      <c r="AY348" s="66" t="s">
        <v>30</v>
      </c>
      <c r="AZ348" s="12">
        <f>+'Form20 '!O349</f>
        <v>0</v>
      </c>
      <c r="BA348" s="75">
        <f t="shared" si="11"/>
        <v>668</v>
      </c>
    </row>
    <row r="349" spans="1:53" s="67" customFormat="1" ht="59.25" customHeight="1">
      <c r="A349" s="18">
        <v>333</v>
      </c>
      <c r="B349" s="59">
        <v>343</v>
      </c>
      <c r="C349" s="76" t="s">
        <v>416</v>
      </c>
      <c r="D349" s="61">
        <v>983</v>
      </c>
      <c r="E349" s="61">
        <v>305</v>
      </c>
      <c r="F349" s="61">
        <v>302</v>
      </c>
      <c r="G349" s="55">
        <v>0</v>
      </c>
      <c r="H349" s="62">
        <f t="shared" si="10"/>
        <v>607</v>
      </c>
      <c r="I349" s="55">
        <v>65</v>
      </c>
      <c r="J349" s="29">
        <v>0</v>
      </c>
      <c r="K349" s="68">
        <v>1</v>
      </c>
      <c r="L349" s="63" t="s">
        <v>29</v>
      </c>
      <c r="M349" s="12">
        <f>+'Form20 '!B350</f>
        <v>373</v>
      </c>
      <c r="N349" s="68">
        <v>2</v>
      </c>
      <c r="O349" s="58" t="s">
        <v>24</v>
      </c>
      <c r="P349" s="12">
        <f>+'Form20 '!C350</f>
        <v>16</v>
      </c>
      <c r="Q349" s="68">
        <v>3</v>
      </c>
      <c r="R349" s="63" t="s">
        <v>28</v>
      </c>
      <c r="S349" s="12">
        <f>+'Form20 '!D350</f>
        <v>199</v>
      </c>
      <c r="T349" s="68">
        <v>4</v>
      </c>
      <c r="U349" s="64" t="s">
        <v>65</v>
      </c>
      <c r="V349" s="12">
        <f>+'Form20 '!E350</f>
        <v>3</v>
      </c>
      <c r="W349" s="68">
        <v>5</v>
      </c>
      <c r="X349" s="58" t="s">
        <v>66</v>
      </c>
      <c r="Y349" s="12">
        <f>+'Form20 '!F350</f>
        <v>0</v>
      </c>
      <c r="Z349" s="18">
        <v>6</v>
      </c>
      <c r="AA349" s="64" t="s">
        <v>67</v>
      </c>
      <c r="AB349" s="12">
        <f>+'Form20 '!G350</f>
        <v>0</v>
      </c>
      <c r="AC349" s="68">
        <v>7</v>
      </c>
      <c r="AD349" s="63" t="s">
        <v>68</v>
      </c>
      <c r="AE349" s="12">
        <f>+'Form20 '!H350</f>
        <v>0</v>
      </c>
      <c r="AF349" s="68">
        <v>8</v>
      </c>
      <c r="AG349" s="63" t="s">
        <v>69</v>
      </c>
      <c r="AH349" s="12">
        <f>+'Form20 '!I350</f>
        <v>0</v>
      </c>
      <c r="AI349" s="68">
        <v>9</v>
      </c>
      <c r="AJ349" s="65" t="s">
        <v>70</v>
      </c>
      <c r="AK349" s="12">
        <f>+'Form20 '!J350</f>
        <v>2</v>
      </c>
      <c r="AL349" s="68">
        <v>10</v>
      </c>
      <c r="AM349" s="66" t="s">
        <v>30</v>
      </c>
      <c r="AN349" s="12">
        <f>+'Form20 '!K350</f>
        <v>1</v>
      </c>
      <c r="AO349" s="18">
        <v>11</v>
      </c>
      <c r="AP349" s="66" t="s">
        <v>30</v>
      </c>
      <c r="AQ349" s="12">
        <f>+'Form20 '!L350</f>
        <v>0</v>
      </c>
      <c r="AR349" s="18">
        <v>12</v>
      </c>
      <c r="AS349" s="66" t="s">
        <v>30</v>
      </c>
      <c r="AT349" s="12">
        <f>+'Form20 '!M350</f>
        <v>2</v>
      </c>
      <c r="AU349" s="18">
        <v>13</v>
      </c>
      <c r="AV349" s="66" t="s">
        <v>30</v>
      </c>
      <c r="AW349" s="12">
        <f>+'Form20 '!N350</f>
        <v>2</v>
      </c>
      <c r="AX349" s="18">
        <v>14</v>
      </c>
      <c r="AY349" s="66" t="s">
        <v>30</v>
      </c>
      <c r="AZ349" s="12">
        <f>+'Form20 '!O350</f>
        <v>3</v>
      </c>
      <c r="BA349" s="75">
        <f t="shared" si="11"/>
        <v>601</v>
      </c>
    </row>
    <row r="350" spans="1:53" s="67" customFormat="1" ht="59.25" customHeight="1">
      <c r="A350" s="18">
        <v>333</v>
      </c>
      <c r="B350" s="59">
        <v>344</v>
      </c>
      <c r="C350" s="76" t="s">
        <v>417</v>
      </c>
      <c r="D350" s="61">
        <v>848</v>
      </c>
      <c r="E350" s="61">
        <v>268</v>
      </c>
      <c r="F350" s="61">
        <v>276</v>
      </c>
      <c r="G350" s="55">
        <v>0</v>
      </c>
      <c r="H350" s="62">
        <f t="shared" si="10"/>
        <v>544</v>
      </c>
      <c r="I350" s="55">
        <v>50</v>
      </c>
      <c r="J350" s="29">
        <v>0</v>
      </c>
      <c r="K350" s="68">
        <v>1</v>
      </c>
      <c r="L350" s="63" t="s">
        <v>29</v>
      </c>
      <c r="M350" s="12">
        <f>+'Form20 '!B351</f>
        <v>406</v>
      </c>
      <c r="N350" s="68">
        <v>2</v>
      </c>
      <c r="O350" s="58" t="s">
        <v>24</v>
      </c>
      <c r="P350" s="12">
        <f>+'Form20 '!C351</f>
        <v>16</v>
      </c>
      <c r="Q350" s="68">
        <v>3</v>
      </c>
      <c r="R350" s="63" t="s">
        <v>28</v>
      </c>
      <c r="S350" s="12">
        <f>+'Form20 '!D351</f>
        <v>113</v>
      </c>
      <c r="T350" s="68">
        <v>4</v>
      </c>
      <c r="U350" s="64" t="s">
        <v>65</v>
      </c>
      <c r="V350" s="12">
        <f>+'Form20 '!E351</f>
        <v>1</v>
      </c>
      <c r="W350" s="68">
        <v>5</v>
      </c>
      <c r="X350" s="58" t="s">
        <v>66</v>
      </c>
      <c r="Y350" s="12">
        <f>+'Form20 '!F351</f>
        <v>0</v>
      </c>
      <c r="Z350" s="18">
        <v>6</v>
      </c>
      <c r="AA350" s="64" t="s">
        <v>67</v>
      </c>
      <c r="AB350" s="12">
        <f>+'Form20 '!G351</f>
        <v>0</v>
      </c>
      <c r="AC350" s="68">
        <v>7</v>
      </c>
      <c r="AD350" s="63" t="s">
        <v>68</v>
      </c>
      <c r="AE350" s="12">
        <f>+'Form20 '!H351</f>
        <v>0</v>
      </c>
      <c r="AF350" s="68">
        <v>8</v>
      </c>
      <c r="AG350" s="63" t="s">
        <v>69</v>
      </c>
      <c r="AH350" s="12">
        <f>+'Form20 '!I351</f>
        <v>0</v>
      </c>
      <c r="AI350" s="68">
        <v>9</v>
      </c>
      <c r="AJ350" s="65" t="s">
        <v>70</v>
      </c>
      <c r="AK350" s="12">
        <f>+'Form20 '!J351</f>
        <v>0</v>
      </c>
      <c r="AL350" s="68">
        <v>10</v>
      </c>
      <c r="AM350" s="66" t="s">
        <v>30</v>
      </c>
      <c r="AN350" s="12">
        <f>+'Form20 '!K351</f>
        <v>0</v>
      </c>
      <c r="AO350" s="18">
        <v>11</v>
      </c>
      <c r="AP350" s="66" t="s">
        <v>30</v>
      </c>
      <c r="AQ350" s="12">
        <f>+'Form20 '!L351</f>
        <v>0</v>
      </c>
      <c r="AR350" s="18">
        <v>12</v>
      </c>
      <c r="AS350" s="66" t="s">
        <v>30</v>
      </c>
      <c r="AT350" s="12">
        <f>+'Form20 '!M351</f>
        <v>1</v>
      </c>
      <c r="AU350" s="18">
        <v>13</v>
      </c>
      <c r="AV350" s="66" t="s">
        <v>30</v>
      </c>
      <c r="AW350" s="12">
        <f>+'Form20 '!N351</f>
        <v>0</v>
      </c>
      <c r="AX350" s="18">
        <v>14</v>
      </c>
      <c r="AY350" s="66" t="s">
        <v>30</v>
      </c>
      <c r="AZ350" s="12">
        <f>+'Form20 '!O351</f>
        <v>0</v>
      </c>
      <c r="BA350" s="75">
        <f t="shared" si="11"/>
        <v>537</v>
      </c>
    </row>
    <row r="351" spans="1:53" s="67" customFormat="1" ht="59.25" customHeight="1">
      <c r="A351" s="18">
        <v>333</v>
      </c>
      <c r="B351" s="59">
        <v>345</v>
      </c>
      <c r="C351" s="76" t="s">
        <v>418</v>
      </c>
      <c r="D351" s="61">
        <v>628</v>
      </c>
      <c r="E351" s="61">
        <v>195</v>
      </c>
      <c r="F351" s="61">
        <v>213</v>
      </c>
      <c r="G351" s="55">
        <v>0</v>
      </c>
      <c r="H351" s="62">
        <f t="shared" si="10"/>
        <v>408</v>
      </c>
      <c r="I351" s="55">
        <v>34</v>
      </c>
      <c r="J351" s="29">
        <v>0</v>
      </c>
      <c r="K351" s="68">
        <v>1</v>
      </c>
      <c r="L351" s="63" t="s">
        <v>29</v>
      </c>
      <c r="M351" s="12">
        <f>+'Form20 '!B352</f>
        <v>257</v>
      </c>
      <c r="N351" s="68">
        <v>2</v>
      </c>
      <c r="O351" s="58" t="s">
        <v>24</v>
      </c>
      <c r="P351" s="12">
        <f>+'Form20 '!C352</f>
        <v>30</v>
      </c>
      <c r="Q351" s="68">
        <v>3</v>
      </c>
      <c r="R351" s="63" t="s">
        <v>28</v>
      </c>
      <c r="S351" s="12">
        <f>+'Form20 '!D352</f>
        <v>114</v>
      </c>
      <c r="T351" s="68">
        <v>4</v>
      </c>
      <c r="U351" s="64" t="s">
        <v>65</v>
      </c>
      <c r="V351" s="12">
        <f>+'Form20 '!E352</f>
        <v>2</v>
      </c>
      <c r="W351" s="68">
        <v>5</v>
      </c>
      <c r="X351" s="58" t="s">
        <v>66</v>
      </c>
      <c r="Y351" s="12">
        <f>+'Form20 '!F352</f>
        <v>0</v>
      </c>
      <c r="Z351" s="18">
        <v>6</v>
      </c>
      <c r="AA351" s="64" t="s">
        <v>67</v>
      </c>
      <c r="AB351" s="12">
        <f>+'Form20 '!G352</f>
        <v>0</v>
      </c>
      <c r="AC351" s="68">
        <v>7</v>
      </c>
      <c r="AD351" s="63" t="s">
        <v>68</v>
      </c>
      <c r="AE351" s="12">
        <f>+'Form20 '!H352</f>
        <v>0</v>
      </c>
      <c r="AF351" s="68">
        <v>8</v>
      </c>
      <c r="AG351" s="63" t="s">
        <v>69</v>
      </c>
      <c r="AH351" s="12">
        <f>+'Form20 '!I352</f>
        <v>0</v>
      </c>
      <c r="AI351" s="68">
        <v>9</v>
      </c>
      <c r="AJ351" s="65" t="s">
        <v>70</v>
      </c>
      <c r="AK351" s="12">
        <f>+'Form20 '!J352</f>
        <v>0</v>
      </c>
      <c r="AL351" s="68">
        <v>10</v>
      </c>
      <c r="AM351" s="66" t="s">
        <v>30</v>
      </c>
      <c r="AN351" s="12">
        <f>+'Form20 '!K352</f>
        <v>0</v>
      </c>
      <c r="AO351" s="18">
        <v>11</v>
      </c>
      <c r="AP351" s="66" t="s">
        <v>30</v>
      </c>
      <c r="AQ351" s="12">
        <f>+'Form20 '!L352</f>
        <v>0</v>
      </c>
      <c r="AR351" s="18">
        <v>12</v>
      </c>
      <c r="AS351" s="66" t="s">
        <v>30</v>
      </c>
      <c r="AT351" s="12">
        <f>+'Form20 '!M352</f>
        <v>2</v>
      </c>
      <c r="AU351" s="18">
        <v>13</v>
      </c>
      <c r="AV351" s="66" t="s">
        <v>30</v>
      </c>
      <c r="AW351" s="12">
        <f>+'Form20 '!N352</f>
        <v>0</v>
      </c>
      <c r="AX351" s="18">
        <v>14</v>
      </c>
      <c r="AY351" s="66" t="s">
        <v>30</v>
      </c>
      <c r="AZ351" s="12">
        <f>+'Form20 '!O352</f>
        <v>1</v>
      </c>
      <c r="BA351" s="75">
        <f t="shared" si="11"/>
        <v>406</v>
      </c>
    </row>
    <row r="352" spans="1:53" s="67" customFormat="1" ht="59.25" customHeight="1">
      <c r="A352" s="18">
        <v>333</v>
      </c>
      <c r="B352" s="59">
        <v>346</v>
      </c>
      <c r="C352" s="76" t="s">
        <v>419</v>
      </c>
      <c r="D352" s="61">
        <v>840</v>
      </c>
      <c r="E352" s="61">
        <v>235</v>
      </c>
      <c r="F352" s="61">
        <v>268</v>
      </c>
      <c r="G352" s="55">
        <v>0</v>
      </c>
      <c r="H352" s="62">
        <f t="shared" si="10"/>
        <v>503</v>
      </c>
      <c r="I352" s="55">
        <v>67</v>
      </c>
      <c r="J352" s="29">
        <v>0</v>
      </c>
      <c r="K352" s="68">
        <v>1</v>
      </c>
      <c r="L352" s="63" t="s">
        <v>29</v>
      </c>
      <c r="M352" s="12">
        <f>+'Form20 '!B353</f>
        <v>258</v>
      </c>
      <c r="N352" s="68">
        <v>2</v>
      </c>
      <c r="O352" s="58" t="s">
        <v>24</v>
      </c>
      <c r="P352" s="12">
        <f>+'Form20 '!C353</f>
        <v>15</v>
      </c>
      <c r="Q352" s="68">
        <v>3</v>
      </c>
      <c r="R352" s="63" t="s">
        <v>28</v>
      </c>
      <c r="S352" s="12">
        <f>+'Form20 '!D353</f>
        <v>214</v>
      </c>
      <c r="T352" s="68">
        <v>4</v>
      </c>
      <c r="U352" s="64" t="s">
        <v>65</v>
      </c>
      <c r="V352" s="12">
        <f>+'Form20 '!E353</f>
        <v>0</v>
      </c>
      <c r="W352" s="68">
        <v>5</v>
      </c>
      <c r="X352" s="58" t="s">
        <v>66</v>
      </c>
      <c r="Y352" s="12">
        <f>+'Form20 '!F353</f>
        <v>0</v>
      </c>
      <c r="Z352" s="18">
        <v>6</v>
      </c>
      <c r="AA352" s="64" t="s">
        <v>67</v>
      </c>
      <c r="AB352" s="12">
        <f>+'Form20 '!G353</f>
        <v>0</v>
      </c>
      <c r="AC352" s="68">
        <v>7</v>
      </c>
      <c r="AD352" s="63" t="s">
        <v>68</v>
      </c>
      <c r="AE352" s="12">
        <f>+'Form20 '!H353</f>
        <v>0</v>
      </c>
      <c r="AF352" s="68">
        <v>8</v>
      </c>
      <c r="AG352" s="63" t="s">
        <v>69</v>
      </c>
      <c r="AH352" s="12">
        <f>+'Form20 '!I353</f>
        <v>0</v>
      </c>
      <c r="AI352" s="68">
        <v>9</v>
      </c>
      <c r="AJ352" s="65" t="s">
        <v>70</v>
      </c>
      <c r="AK352" s="12">
        <f>+'Form20 '!J353</f>
        <v>0</v>
      </c>
      <c r="AL352" s="68">
        <v>10</v>
      </c>
      <c r="AM352" s="66" t="s">
        <v>30</v>
      </c>
      <c r="AN352" s="12">
        <f>+'Form20 '!K353</f>
        <v>0</v>
      </c>
      <c r="AO352" s="18">
        <v>11</v>
      </c>
      <c r="AP352" s="66" t="s">
        <v>30</v>
      </c>
      <c r="AQ352" s="12">
        <f>+'Form20 '!L353</f>
        <v>0</v>
      </c>
      <c r="AR352" s="18">
        <v>12</v>
      </c>
      <c r="AS352" s="66" t="s">
        <v>30</v>
      </c>
      <c r="AT352" s="12">
        <f>+'Form20 '!M353</f>
        <v>3</v>
      </c>
      <c r="AU352" s="18">
        <v>13</v>
      </c>
      <c r="AV352" s="66" t="s">
        <v>30</v>
      </c>
      <c r="AW352" s="12">
        <f>+'Form20 '!N353</f>
        <v>4</v>
      </c>
      <c r="AX352" s="18">
        <v>14</v>
      </c>
      <c r="AY352" s="66" t="s">
        <v>30</v>
      </c>
      <c r="AZ352" s="12">
        <f>+'Form20 '!O353</f>
        <v>6</v>
      </c>
      <c r="BA352" s="75">
        <f t="shared" si="11"/>
        <v>500</v>
      </c>
    </row>
    <row r="353" spans="1:53" s="67" customFormat="1" ht="59.25" customHeight="1">
      <c r="A353" s="18">
        <v>333</v>
      </c>
      <c r="B353" s="59">
        <v>347</v>
      </c>
      <c r="C353" s="76" t="s">
        <v>420</v>
      </c>
      <c r="D353" s="61">
        <v>1132</v>
      </c>
      <c r="E353" s="61">
        <v>297</v>
      </c>
      <c r="F353" s="61">
        <v>361</v>
      </c>
      <c r="G353" s="55">
        <v>0</v>
      </c>
      <c r="H353" s="62">
        <f t="shared" si="10"/>
        <v>658</v>
      </c>
      <c r="I353" s="55">
        <v>53</v>
      </c>
      <c r="J353" s="29">
        <v>0</v>
      </c>
      <c r="K353" s="68">
        <v>1</v>
      </c>
      <c r="L353" s="63" t="s">
        <v>29</v>
      </c>
      <c r="M353" s="12">
        <f>+'Form20 '!B354</f>
        <v>486</v>
      </c>
      <c r="N353" s="68">
        <v>2</v>
      </c>
      <c r="O353" s="58" t="s">
        <v>24</v>
      </c>
      <c r="P353" s="12">
        <f>+'Form20 '!C354</f>
        <v>29</v>
      </c>
      <c r="Q353" s="68">
        <v>3</v>
      </c>
      <c r="R353" s="63" t="s">
        <v>28</v>
      </c>
      <c r="S353" s="12">
        <f>+'Form20 '!D354</f>
        <v>119</v>
      </c>
      <c r="T353" s="68">
        <v>4</v>
      </c>
      <c r="U353" s="64" t="s">
        <v>65</v>
      </c>
      <c r="V353" s="12">
        <f>+'Form20 '!E354</f>
        <v>2</v>
      </c>
      <c r="W353" s="68">
        <v>5</v>
      </c>
      <c r="X353" s="58" t="s">
        <v>66</v>
      </c>
      <c r="Y353" s="12">
        <f>+'Form20 '!F354</f>
        <v>0</v>
      </c>
      <c r="Z353" s="18">
        <v>6</v>
      </c>
      <c r="AA353" s="64" t="s">
        <v>67</v>
      </c>
      <c r="AB353" s="12">
        <f>+'Form20 '!G354</f>
        <v>0</v>
      </c>
      <c r="AC353" s="68">
        <v>7</v>
      </c>
      <c r="AD353" s="63" t="s">
        <v>68</v>
      </c>
      <c r="AE353" s="12">
        <f>+'Form20 '!H354</f>
        <v>1</v>
      </c>
      <c r="AF353" s="68">
        <v>8</v>
      </c>
      <c r="AG353" s="63" t="s">
        <v>69</v>
      </c>
      <c r="AH353" s="12">
        <f>+'Form20 '!I354</f>
        <v>0</v>
      </c>
      <c r="AI353" s="68">
        <v>9</v>
      </c>
      <c r="AJ353" s="65" t="s">
        <v>70</v>
      </c>
      <c r="AK353" s="12">
        <f>+'Form20 '!J354</f>
        <v>1</v>
      </c>
      <c r="AL353" s="68">
        <v>10</v>
      </c>
      <c r="AM353" s="66" t="s">
        <v>30</v>
      </c>
      <c r="AN353" s="12">
        <f>+'Form20 '!K354</f>
        <v>2</v>
      </c>
      <c r="AO353" s="18">
        <v>11</v>
      </c>
      <c r="AP353" s="66" t="s">
        <v>30</v>
      </c>
      <c r="AQ353" s="12">
        <f>+'Form20 '!L354</f>
        <v>1</v>
      </c>
      <c r="AR353" s="18">
        <v>12</v>
      </c>
      <c r="AS353" s="66" t="s">
        <v>30</v>
      </c>
      <c r="AT353" s="12">
        <f>+'Form20 '!M354</f>
        <v>1</v>
      </c>
      <c r="AU353" s="18">
        <v>13</v>
      </c>
      <c r="AV353" s="66" t="s">
        <v>30</v>
      </c>
      <c r="AW353" s="12">
        <f>+'Form20 '!N354</f>
        <v>3</v>
      </c>
      <c r="AX353" s="18">
        <v>14</v>
      </c>
      <c r="AY353" s="66" t="s">
        <v>30</v>
      </c>
      <c r="AZ353" s="12">
        <f>+'Form20 '!O354</f>
        <v>3</v>
      </c>
      <c r="BA353" s="75">
        <f t="shared" si="11"/>
        <v>648</v>
      </c>
    </row>
    <row r="354" spans="1:53" s="67" customFormat="1" ht="59.25" customHeight="1">
      <c r="A354" s="18">
        <v>333</v>
      </c>
      <c r="B354" s="59">
        <v>348</v>
      </c>
      <c r="C354" s="76" t="s">
        <v>421</v>
      </c>
      <c r="D354" s="61">
        <v>1154</v>
      </c>
      <c r="E354" s="61">
        <v>321</v>
      </c>
      <c r="F354" s="61">
        <v>422</v>
      </c>
      <c r="G354" s="55">
        <v>0</v>
      </c>
      <c r="H354" s="62">
        <f t="shared" si="10"/>
        <v>743</v>
      </c>
      <c r="I354" s="55">
        <v>69</v>
      </c>
      <c r="J354" s="29">
        <v>0</v>
      </c>
      <c r="K354" s="68">
        <v>1</v>
      </c>
      <c r="L354" s="63" t="s">
        <v>29</v>
      </c>
      <c r="M354" s="12">
        <f>+'Form20 '!B355</f>
        <v>326</v>
      </c>
      <c r="N354" s="68">
        <v>2</v>
      </c>
      <c r="O354" s="58" t="s">
        <v>24</v>
      </c>
      <c r="P354" s="12">
        <f>+'Form20 '!C355</f>
        <v>16</v>
      </c>
      <c r="Q354" s="68">
        <v>3</v>
      </c>
      <c r="R354" s="63" t="s">
        <v>28</v>
      </c>
      <c r="S354" s="12">
        <f>+'Form20 '!D355</f>
        <v>379</v>
      </c>
      <c r="T354" s="68">
        <v>4</v>
      </c>
      <c r="U354" s="64" t="s">
        <v>65</v>
      </c>
      <c r="V354" s="12">
        <f>+'Form20 '!E355</f>
        <v>5</v>
      </c>
      <c r="W354" s="68">
        <v>5</v>
      </c>
      <c r="X354" s="58" t="s">
        <v>66</v>
      </c>
      <c r="Y354" s="12">
        <f>+'Form20 '!F355</f>
        <v>0</v>
      </c>
      <c r="Z354" s="18">
        <v>6</v>
      </c>
      <c r="AA354" s="64" t="s">
        <v>67</v>
      </c>
      <c r="AB354" s="12">
        <f>+'Form20 '!G355</f>
        <v>0</v>
      </c>
      <c r="AC354" s="68">
        <v>7</v>
      </c>
      <c r="AD354" s="63" t="s">
        <v>68</v>
      </c>
      <c r="AE354" s="12">
        <f>+'Form20 '!H355</f>
        <v>1</v>
      </c>
      <c r="AF354" s="68">
        <v>8</v>
      </c>
      <c r="AG354" s="63" t="s">
        <v>69</v>
      </c>
      <c r="AH354" s="12">
        <f>+'Form20 '!I355</f>
        <v>0</v>
      </c>
      <c r="AI354" s="68">
        <v>9</v>
      </c>
      <c r="AJ354" s="65" t="s">
        <v>70</v>
      </c>
      <c r="AK354" s="12">
        <f>+'Form20 '!J355</f>
        <v>5</v>
      </c>
      <c r="AL354" s="68">
        <v>10</v>
      </c>
      <c r="AM354" s="66" t="s">
        <v>30</v>
      </c>
      <c r="AN354" s="12">
        <f>+'Form20 '!K355</f>
        <v>1</v>
      </c>
      <c r="AO354" s="18">
        <v>11</v>
      </c>
      <c r="AP354" s="66" t="s">
        <v>30</v>
      </c>
      <c r="AQ354" s="12">
        <f>+'Form20 '!L355</f>
        <v>2</v>
      </c>
      <c r="AR354" s="18">
        <v>12</v>
      </c>
      <c r="AS354" s="66" t="s">
        <v>30</v>
      </c>
      <c r="AT354" s="12">
        <f>+'Form20 '!M355</f>
        <v>4</v>
      </c>
      <c r="AU354" s="18">
        <v>13</v>
      </c>
      <c r="AV354" s="66" t="s">
        <v>30</v>
      </c>
      <c r="AW354" s="12">
        <f>+'Form20 '!N355</f>
        <v>1</v>
      </c>
      <c r="AX354" s="18">
        <v>14</v>
      </c>
      <c r="AY354" s="66" t="s">
        <v>30</v>
      </c>
      <c r="AZ354" s="12">
        <f>+'Form20 '!O355</f>
        <v>1</v>
      </c>
      <c r="BA354" s="75">
        <f t="shared" si="11"/>
        <v>741</v>
      </c>
    </row>
    <row r="355" spans="1:53" s="67" customFormat="1" ht="59.25" customHeight="1">
      <c r="A355" s="18">
        <v>333</v>
      </c>
      <c r="B355" s="59">
        <v>349</v>
      </c>
      <c r="C355" s="76" t="s">
        <v>422</v>
      </c>
      <c r="D355" s="61">
        <v>1165</v>
      </c>
      <c r="E355" s="61">
        <v>328</v>
      </c>
      <c r="F355" s="61">
        <v>387</v>
      </c>
      <c r="G355" s="55">
        <v>0</v>
      </c>
      <c r="H355" s="62">
        <f t="shared" si="10"/>
        <v>715</v>
      </c>
      <c r="I355" s="55">
        <v>105</v>
      </c>
      <c r="J355" s="29">
        <v>0</v>
      </c>
      <c r="K355" s="68">
        <v>1</v>
      </c>
      <c r="L355" s="63" t="s">
        <v>29</v>
      </c>
      <c r="M355" s="12">
        <f>+'Form20 '!B356</f>
        <v>529</v>
      </c>
      <c r="N355" s="68">
        <v>2</v>
      </c>
      <c r="O355" s="58" t="s">
        <v>24</v>
      </c>
      <c r="P355" s="12">
        <f>+'Form20 '!C356</f>
        <v>25</v>
      </c>
      <c r="Q355" s="68">
        <v>3</v>
      </c>
      <c r="R355" s="63" t="s">
        <v>28</v>
      </c>
      <c r="S355" s="12">
        <f>+'Form20 '!D356</f>
        <v>140</v>
      </c>
      <c r="T355" s="68">
        <v>4</v>
      </c>
      <c r="U355" s="64" t="s">
        <v>65</v>
      </c>
      <c r="V355" s="12">
        <f>+'Form20 '!E356</f>
        <v>3</v>
      </c>
      <c r="W355" s="68">
        <v>5</v>
      </c>
      <c r="X355" s="58" t="s">
        <v>66</v>
      </c>
      <c r="Y355" s="12">
        <f>+'Form20 '!F356</f>
        <v>1</v>
      </c>
      <c r="Z355" s="18">
        <v>6</v>
      </c>
      <c r="AA355" s="64" t="s">
        <v>67</v>
      </c>
      <c r="AB355" s="12">
        <f>+'Form20 '!G356</f>
        <v>1</v>
      </c>
      <c r="AC355" s="68">
        <v>7</v>
      </c>
      <c r="AD355" s="63" t="s">
        <v>68</v>
      </c>
      <c r="AE355" s="12">
        <f>+'Form20 '!H356</f>
        <v>0</v>
      </c>
      <c r="AF355" s="68">
        <v>8</v>
      </c>
      <c r="AG355" s="63" t="s">
        <v>69</v>
      </c>
      <c r="AH355" s="12">
        <f>+'Form20 '!I356</f>
        <v>1</v>
      </c>
      <c r="AI355" s="68">
        <v>9</v>
      </c>
      <c r="AJ355" s="65" t="s">
        <v>70</v>
      </c>
      <c r="AK355" s="12">
        <f>+'Form20 '!J356</f>
        <v>1</v>
      </c>
      <c r="AL355" s="68">
        <v>10</v>
      </c>
      <c r="AM355" s="66" t="s">
        <v>30</v>
      </c>
      <c r="AN355" s="12">
        <f>+'Form20 '!K356</f>
        <v>0</v>
      </c>
      <c r="AO355" s="18">
        <v>11</v>
      </c>
      <c r="AP355" s="66" t="s">
        <v>30</v>
      </c>
      <c r="AQ355" s="12">
        <f>+'Form20 '!L356</f>
        <v>2</v>
      </c>
      <c r="AR355" s="18">
        <v>12</v>
      </c>
      <c r="AS355" s="66" t="s">
        <v>30</v>
      </c>
      <c r="AT355" s="12">
        <f>+'Form20 '!M356</f>
        <v>2</v>
      </c>
      <c r="AU355" s="18">
        <v>13</v>
      </c>
      <c r="AV355" s="66" t="s">
        <v>30</v>
      </c>
      <c r="AW355" s="12">
        <f>+'Form20 '!N356</f>
        <v>4</v>
      </c>
      <c r="AX355" s="18">
        <v>14</v>
      </c>
      <c r="AY355" s="66" t="s">
        <v>30</v>
      </c>
      <c r="AZ355" s="12">
        <f>+'Form20 '!O356</f>
        <v>1</v>
      </c>
      <c r="BA355" s="75">
        <f t="shared" si="11"/>
        <v>710</v>
      </c>
    </row>
    <row r="356" spans="1:53" s="67" customFormat="1" ht="59.25" customHeight="1">
      <c r="A356" s="18">
        <v>333</v>
      </c>
      <c r="B356" s="59">
        <v>350</v>
      </c>
      <c r="C356" s="76" t="s">
        <v>423</v>
      </c>
      <c r="D356" s="61">
        <v>1125</v>
      </c>
      <c r="E356" s="61">
        <v>282</v>
      </c>
      <c r="F356" s="61">
        <v>392</v>
      </c>
      <c r="G356" s="55">
        <v>0</v>
      </c>
      <c r="H356" s="62">
        <f t="shared" si="10"/>
        <v>674</v>
      </c>
      <c r="I356" s="55">
        <v>600</v>
      </c>
      <c r="J356" s="29">
        <v>0</v>
      </c>
      <c r="K356" s="68">
        <v>1</v>
      </c>
      <c r="L356" s="63" t="s">
        <v>29</v>
      </c>
      <c r="M356" s="12">
        <f>+'Form20 '!B357</f>
        <v>343</v>
      </c>
      <c r="N356" s="68">
        <v>2</v>
      </c>
      <c r="O356" s="58" t="s">
        <v>24</v>
      </c>
      <c r="P356" s="12">
        <f>+'Form20 '!C357</f>
        <v>32</v>
      </c>
      <c r="Q356" s="68">
        <v>3</v>
      </c>
      <c r="R356" s="63" t="s">
        <v>28</v>
      </c>
      <c r="S356" s="12">
        <f>+'Form20 '!D357</f>
        <v>279</v>
      </c>
      <c r="T356" s="68">
        <v>4</v>
      </c>
      <c r="U356" s="64" t="s">
        <v>65</v>
      </c>
      <c r="V356" s="12">
        <f>+'Form20 '!E357</f>
        <v>4</v>
      </c>
      <c r="W356" s="68">
        <v>5</v>
      </c>
      <c r="X356" s="58" t="s">
        <v>66</v>
      </c>
      <c r="Y356" s="12">
        <f>+'Form20 '!F357</f>
        <v>0</v>
      </c>
      <c r="Z356" s="18">
        <v>6</v>
      </c>
      <c r="AA356" s="64" t="s">
        <v>67</v>
      </c>
      <c r="AB356" s="12">
        <f>+'Form20 '!G357</f>
        <v>0</v>
      </c>
      <c r="AC356" s="68">
        <v>7</v>
      </c>
      <c r="AD356" s="63" t="s">
        <v>68</v>
      </c>
      <c r="AE356" s="12">
        <f>+'Form20 '!H357</f>
        <v>1</v>
      </c>
      <c r="AF356" s="68">
        <v>8</v>
      </c>
      <c r="AG356" s="63" t="s">
        <v>69</v>
      </c>
      <c r="AH356" s="12">
        <f>+'Form20 '!I357</f>
        <v>4</v>
      </c>
      <c r="AI356" s="68">
        <v>9</v>
      </c>
      <c r="AJ356" s="65" t="s">
        <v>70</v>
      </c>
      <c r="AK356" s="12">
        <f>+'Form20 '!J357</f>
        <v>3</v>
      </c>
      <c r="AL356" s="68">
        <v>10</v>
      </c>
      <c r="AM356" s="66" t="s">
        <v>30</v>
      </c>
      <c r="AN356" s="12">
        <f>+'Form20 '!K357</f>
        <v>0</v>
      </c>
      <c r="AO356" s="18">
        <v>11</v>
      </c>
      <c r="AP356" s="66" t="s">
        <v>30</v>
      </c>
      <c r="AQ356" s="12">
        <f>+'Form20 '!L357</f>
        <v>0</v>
      </c>
      <c r="AR356" s="18">
        <v>12</v>
      </c>
      <c r="AS356" s="66" t="s">
        <v>30</v>
      </c>
      <c r="AT356" s="12">
        <f>+'Form20 '!M357</f>
        <v>2</v>
      </c>
      <c r="AU356" s="18">
        <v>13</v>
      </c>
      <c r="AV356" s="66" t="s">
        <v>30</v>
      </c>
      <c r="AW356" s="12">
        <f>+'Form20 '!N357</f>
        <v>2</v>
      </c>
      <c r="AX356" s="18">
        <v>14</v>
      </c>
      <c r="AY356" s="66" t="s">
        <v>30</v>
      </c>
      <c r="AZ356" s="12">
        <f>+'Form20 '!O357</f>
        <v>1</v>
      </c>
      <c r="BA356" s="75">
        <f t="shared" si="11"/>
        <v>671</v>
      </c>
    </row>
    <row r="357" spans="1:53" s="67" customFormat="1" ht="59.25" customHeight="1">
      <c r="A357" s="18">
        <v>333</v>
      </c>
      <c r="B357" s="59">
        <v>351</v>
      </c>
      <c r="C357" s="76" t="s">
        <v>424</v>
      </c>
      <c r="D357" s="61">
        <v>961</v>
      </c>
      <c r="E357" s="61">
        <v>311</v>
      </c>
      <c r="F357" s="61">
        <v>324</v>
      </c>
      <c r="G357" s="55">
        <v>0</v>
      </c>
      <c r="H357" s="62">
        <f t="shared" si="10"/>
        <v>635</v>
      </c>
      <c r="I357" s="55">
        <v>60</v>
      </c>
      <c r="J357" s="29">
        <v>0</v>
      </c>
      <c r="K357" s="68">
        <v>1</v>
      </c>
      <c r="L357" s="63" t="s">
        <v>29</v>
      </c>
      <c r="M357" s="12">
        <f>+'Form20 '!B358</f>
        <v>366</v>
      </c>
      <c r="N357" s="68">
        <v>2</v>
      </c>
      <c r="O357" s="58" t="s">
        <v>24</v>
      </c>
      <c r="P357" s="12">
        <f>+'Form20 '!C358</f>
        <v>9</v>
      </c>
      <c r="Q357" s="68">
        <v>3</v>
      </c>
      <c r="R357" s="63" t="s">
        <v>28</v>
      </c>
      <c r="S357" s="12">
        <f>+'Form20 '!D358</f>
        <v>248</v>
      </c>
      <c r="T357" s="68">
        <v>4</v>
      </c>
      <c r="U357" s="64" t="s">
        <v>65</v>
      </c>
      <c r="V357" s="12">
        <f>+'Form20 '!E358</f>
        <v>2</v>
      </c>
      <c r="W357" s="68">
        <v>5</v>
      </c>
      <c r="X357" s="58" t="s">
        <v>66</v>
      </c>
      <c r="Y357" s="12">
        <f>+'Form20 '!F358</f>
        <v>0</v>
      </c>
      <c r="Z357" s="18">
        <v>6</v>
      </c>
      <c r="AA357" s="64" t="s">
        <v>67</v>
      </c>
      <c r="AB357" s="12">
        <f>+'Form20 '!G358</f>
        <v>1</v>
      </c>
      <c r="AC357" s="68">
        <v>7</v>
      </c>
      <c r="AD357" s="63" t="s">
        <v>68</v>
      </c>
      <c r="AE357" s="12">
        <f>+'Form20 '!H358</f>
        <v>1</v>
      </c>
      <c r="AF357" s="68">
        <v>8</v>
      </c>
      <c r="AG357" s="63" t="s">
        <v>69</v>
      </c>
      <c r="AH357" s="12">
        <f>+'Form20 '!I358</f>
        <v>0</v>
      </c>
      <c r="AI357" s="68">
        <v>9</v>
      </c>
      <c r="AJ357" s="65" t="s">
        <v>70</v>
      </c>
      <c r="AK357" s="12">
        <f>+'Form20 '!J358</f>
        <v>0</v>
      </c>
      <c r="AL357" s="68">
        <v>10</v>
      </c>
      <c r="AM357" s="66" t="s">
        <v>30</v>
      </c>
      <c r="AN357" s="12">
        <f>+'Form20 '!K358</f>
        <v>0</v>
      </c>
      <c r="AO357" s="18">
        <v>11</v>
      </c>
      <c r="AP357" s="66" t="s">
        <v>30</v>
      </c>
      <c r="AQ357" s="12">
        <f>+'Form20 '!L358</f>
        <v>2</v>
      </c>
      <c r="AR357" s="18">
        <v>12</v>
      </c>
      <c r="AS357" s="66" t="s">
        <v>30</v>
      </c>
      <c r="AT357" s="12">
        <f>+'Form20 '!M358</f>
        <v>0</v>
      </c>
      <c r="AU357" s="18">
        <v>13</v>
      </c>
      <c r="AV357" s="66" t="s">
        <v>30</v>
      </c>
      <c r="AW357" s="12">
        <f>+'Form20 '!N358</f>
        <v>2</v>
      </c>
      <c r="AX357" s="18">
        <v>14</v>
      </c>
      <c r="AY357" s="66" t="s">
        <v>30</v>
      </c>
      <c r="AZ357" s="12">
        <f>+'Form20 '!O358</f>
        <v>2</v>
      </c>
      <c r="BA357" s="75">
        <f t="shared" si="11"/>
        <v>633</v>
      </c>
    </row>
    <row r="358" spans="1:53" s="67" customFormat="1" ht="59.25" customHeight="1">
      <c r="A358" s="18">
        <v>333</v>
      </c>
      <c r="B358" s="59">
        <v>352</v>
      </c>
      <c r="C358" s="76" t="s">
        <v>425</v>
      </c>
      <c r="D358" s="61">
        <v>1056</v>
      </c>
      <c r="E358" s="61">
        <v>321</v>
      </c>
      <c r="F358" s="61">
        <v>336</v>
      </c>
      <c r="G358" s="55">
        <v>0</v>
      </c>
      <c r="H358" s="62">
        <f t="shared" si="10"/>
        <v>657</v>
      </c>
      <c r="I358" s="55">
        <v>99</v>
      </c>
      <c r="J358" s="29">
        <v>0</v>
      </c>
      <c r="K358" s="68">
        <v>1</v>
      </c>
      <c r="L358" s="63" t="s">
        <v>29</v>
      </c>
      <c r="M358" s="12">
        <f>+'Form20 '!B359</f>
        <v>423</v>
      </c>
      <c r="N358" s="68">
        <v>2</v>
      </c>
      <c r="O358" s="58" t="s">
        <v>24</v>
      </c>
      <c r="P358" s="12">
        <f>+'Form20 '!C359</f>
        <v>33</v>
      </c>
      <c r="Q358" s="68">
        <v>3</v>
      </c>
      <c r="R358" s="63" t="s">
        <v>28</v>
      </c>
      <c r="S358" s="12">
        <f>+'Form20 '!D359</f>
        <v>183</v>
      </c>
      <c r="T358" s="68">
        <v>4</v>
      </c>
      <c r="U358" s="64" t="s">
        <v>65</v>
      </c>
      <c r="V358" s="12">
        <f>+'Form20 '!E359</f>
        <v>7</v>
      </c>
      <c r="W358" s="68">
        <v>5</v>
      </c>
      <c r="X358" s="58" t="s">
        <v>66</v>
      </c>
      <c r="Y358" s="12">
        <f>+'Form20 '!F359</f>
        <v>0</v>
      </c>
      <c r="Z358" s="18">
        <v>6</v>
      </c>
      <c r="AA358" s="64" t="s">
        <v>67</v>
      </c>
      <c r="AB358" s="12">
        <f>+'Form20 '!G359</f>
        <v>1</v>
      </c>
      <c r="AC358" s="68">
        <v>7</v>
      </c>
      <c r="AD358" s="63" t="s">
        <v>68</v>
      </c>
      <c r="AE358" s="12">
        <f>+'Form20 '!H359</f>
        <v>1</v>
      </c>
      <c r="AF358" s="68">
        <v>8</v>
      </c>
      <c r="AG358" s="63" t="s">
        <v>69</v>
      </c>
      <c r="AH358" s="12">
        <f>+'Form20 '!I359</f>
        <v>1</v>
      </c>
      <c r="AI358" s="68">
        <v>9</v>
      </c>
      <c r="AJ358" s="65" t="s">
        <v>70</v>
      </c>
      <c r="AK358" s="12">
        <f>+'Form20 '!J359</f>
        <v>1</v>
      </c>
      <c r="AL358" s="68">
        <v>10</v>
      </c>
      <c r="AM358" s="66" t="s">
        <v>30</v>
      </c>
      <c r="AN358" s="12">
        <f>+'Form20 '!K359</f>
        <v>2</v>
      </c>
      <c r="AO358" s="18">
        <v>11</v>
      </c>
      <c r="AP358" s="66" t="s">
        <v>30</v>
      </c>
      <c r="AQ358" s="12">
        <f>+'Form20 '!L359</f>
        <v>0</v>
      </c>
      <c r="AR358" s="18">
        <v>12</v>
      </c>
      <c r="AS358" s="66" t="s">
        <v>30</v>
      </c>
      <c r="AT358" s="12">
        <f>+'Form20 '!M359</f>
        <v>1</v>
      </c>
      <c r="AU358" s="18">
        <v>13</v>
      </c>
      <c r="AV358" s="66" t="s">
        <v>30</v>
      </c>
      <c r="AW358" s="12">
        <f>+'Form20 '!N359</f>
        <v>1</v>
      </c>
      <c r="AX358" s="18">
        <v>14</v>
      </c>
      <c r="AY358" s="66" t="s">
        <v>30</v>
      </c>
      <c r="AZ358" s="12">
        <f>+'Form20 '!O359</f>
        <v>2</v>
      </c>
      <c r="BA358" s="75">
        <f t="shared" si="11"/>
        <v>656</v>
      </c>
    </row>
    <row r="359" spans="1:53" s="67" customFormat="1" ht="59.25" customHeight="1">
      <c r="A359" s="18">
        <v>333</v>
      </c>
      <c r="B359" s="59">
        <v>353</v>
      </c>
      <c r="C359" s="76" t="s">
        <v>426</v>
      </c>
      <c r="D359" s="61">
        <v>940</v>
      </c>
      <c r="E359" s="61">
        <v>245</v>
      </c>
      <c r="F359" s="61">
        <v>290</v>
      </c>
      <c r="G359" s="55">
        <v>0</v>
      </c>
      <c r="H359" s="62">
        <f t="shared" si="10"/>
        <v>535</v>
      </c>
      <c r="I359" s="55">
        <v>60</v>
      </c>
      <c r="J359" s="29">
        <v>0</v>
      </c>
      <c r="K359" s="68">
        <v>1</v>
      </c>
      <c r="L359" s="63" t="s">
        <v>29</v>
      </c>
      <c r="M359" s="12">
        <f>+'Form20 '!B360</f>
        <v>262</v>
      </c>
      <c r="N359" s="68">
        <v>2</v>
      </c>
      <c r="O359" s="58" t="s">
        <v>24</v>
      </c>
      <c r="P359" s="12">
        <f>+'Form20 '!C360</f>
        <v>18</v>
      </c>
      <c r="Q359" s="68">
        <v>3</v>
      </c>
      <c r="R359" s="63" t="s">
        <v>28</v>
      </c>
      <c r="S359" s="12">
        <f>+'Form20 '!D360</f>
        <v>233</v>
      </c>
      <c r="T359" s="68">
        <v>4</v>
      </c>
      <c r="U359" s="64" t="s">
        <v>65</v>
      </c>
      <c r="V359" s="12">
        <f>+'Form20 '!E360</f>
        <v>4</v>
      </c>
      <c r="W359" s="68">
        <v>5</v>
      </c>
      <c r="X359" s="58" t="s">
        <v>66</v>
      </c>
      <c r="Y359" s="12">
        <f>+'Form20 '!F360</f>
        <v>0</v>
      </c>
      <c r="Z359" s="18">
        <v>6</v>
      </c>
      <c r="AA359" s="64" t="s">
        <v>67</v>
      </c>
      <c r="AB359" s="12">
        <f>+'Form20 '!G360</f>
        <v>0</v>
      </c>
      <c r="AC359" s="68">
        <v>7</v>
      </c>
      <c r="AD359" s="63" t="s">
        <v>68</v>
      </c>
      <c r="AE359" s="12">
        <f>+'Form20 '!H360</f>
        <v>0</v>
      </c>
      <c r="AF359" s="68">
        <v>8</v>
      </c>
      <c r="AG359" s="63" t="s">
        <v>69</v>
      </c>
      <c r="AH359" s="12">
        <f>+'Form20 '!I360</f>
        <v>3</v>
      </c>
      <c r="AI359" s="68">
        <v>9</v>
      </c>
      <c r="AJ359" s="65" t="s">
        <v>70</v>
      </c>
      <c r="AK359" s="12">
        <f>+'Form20 '!J360</f>
        <v>4</v>
      </c>
      <c r="AL359" s="68">
        <v>10</v>
      </c>
      <c r="AM359" s="66" t="s">
        <v>30</v>
      </c>
      <c r="AN359" s="12">
        <f>+'Form20 '!K360</f>
        <v>0</v>
      </c>
      <c r="AO359" s="18">
        <v>11</v>
      </c>
      <c r="AP359" s="66" t="s">
        <v>30</v>
      </c>
      <c r="AQ359" s="12">
        <f>+'Form20 '!L360</f>
        <v>0</v>
      </c>
      <c r="AR359" s="18">
        <v>12</v>
      </c>
      <c r="AS359" s="66" t="s">
        <v>30</v>
      </c>
      <c r="AT359" s="12">
        <f>+'Form20 '!M360</f>
        <v>3</v>
      </c>
      <c r="AU359" s="18">
        <v>13</v>
      </c>
      <c r="AV359" s="66" t="s">
        <v>30</v>
      </c>
      <c r="AW359" s="12">
        <f>+'Form20 '!N360</f>
        <v>4</v>
      </c>
      <c r="AX359" s="18">
        <v>14</v>
      </c>
      <c r="AY359" s="66" t="s">
        <v>30</v>
      </c>
      <c r="AZ359" s="12">
        <f>+'Form20 '!O360</f>
        <v>1</v>
      </c>
      <c r="BA359" s="75">
        <f t="shared" si="11"/>
        <v>532</v>
      </c>
    </row>
    <row r="360" spans="1:53" s="67" customFormat="1" ht="59.25" customHeight="1">
      <c r="A360" s="18">
        <v>333</v>
      </c>
      <c r="B360" s="59">
        <v>354</v>
      </c>
      <c r="C360" s="76" t="s">
        <v>427</v>
      </c>
      <c r="D360" s="61">
        <v>596</v>
      </c>
      <c r="E360" s="61">
        <v>192</v>
      </c>
      <c r="F360" s="61">
        <v>214</v>
      </c>
      <c r="G360" s="55">
        <v>0</v>
      </c>
      <c r="H360" s="62">
        <f t="shared" si="10"/>
        <v>406</v>
      </c>
      <c r="I360" s="55">
        <v>20</v>
      </c>
      <c r="J360" s="29">
        <v>0</v>
      </c>
      <c r="K360" s="68">
        <v>1</v>
      </c>
      <c r="L360" s="63" t="s">
        <v>29</v>
      </c>
      <c r="M360" s="12">
        <f>+'Form20 '!B361</f>
        <v>157</v>
      </c>
      <c r="N360" s="68">
        <v>2</v>
      </c>
      <c r="O360" s="58" t="s">
        <v>24</v>
      </c>
      <c r="P360" s="12">
        <f>+'Form20 '!C361</f>
        <v>44</v>
      </c>
      <c r="Q360" s="68">
        <v>3</v>
      </c>
      <c r="R360" s="63" t="s">
        <v>28</v>
      </c>
      <c r="S360" s="12">
        <f>+'Form20 '!D361</f>
        <v>194</v>
      </c>
      <c r="T360" s="68">
        <v>4</v>
      </c>
      <c r="U360" s="64" t="s">
        <v>65</v>
      </c>
      <c r="V360" s="12">
        <f>+'Form20 '!E361</f>
        <v>0</v>
      </c>
      <c r="W360" s="68">
        <v>5</v>
      </c>
      <c r="X360" s="58" t="s">
        <v>66</v>
      </c>
      <c r="Y360" s="12">
        <f>+'Form20 '!F361</f>
        <v>0</v>
      </c>
      <c r="Z360" s="18">
        <v>6</v>
      </c>
      <c r="AA360" s="64" t="s">
        <v>67</v>
      </c>
      <c r="AB360" s="12">
        <f>+'Form20 '!G361</f>
        <v>0</v>
      </c>
      <c r="AC360" s="68">
        <v>7</v>
      </c>
      <c r="AD360" s="63" t="s">
        <v>68</v>
      </c>
      <c r="AE360" s="12">
        <f>+'Form20 '!H361</f>
        <v>0</v>
      </c>
      <c r="AF360" s="68">
        <v>8</v>
      </c>
      <c r="AG360" s="63" t="s">
        <v>69</v>
      </c>
      <c r="AH360" s="12">
        <f>+'Form20 '!I361</f>
        <v>0</v>
      </c>
      <c r="AI360" s="68">
        <v>9</v>
      </c>
      <c r="AJ360" s="65" t="s">
        <v>70</v>
      </c>
      <c r="AK360" s="12">
        <f>+'Form20 '!J361</f>
        <v>2</v>
      </c>
      <c r="AL360" s="68">
        <v>10</v>
      </c>
      <c r="AM360" s="66" t="s">
        <v>30</v>
      </c>
      <c r="AN360" s="12">
        <f>+'Form20 '!K361</f>
        <v>0</v>
      </c>
      <c r="AO360" s="18">
        <v>11</v>
      </c>
      <c r="AP360" s="66" t="s">
        <v>30</v>
      </c>
      <c r="AQ360" s="12">
        <f>+'Form20 '!L361</f>
        <v>0</v>
      </c>
      <c r="AR360" s="18">
        <v>12</v>
      </c>
      <c r="AS360" s="66" t="s">
        <v>30</v>
      </c>
      <c r="AT360" s="12">
        <f>+'Form20 '!M361</f>
        <v>1</v>
      </c>
      <c r="AU360" s="18">
        <v>13</v>
      </c>
      <c r="AV360" s="66" t="s">
        <v>30</v>
      </c>
      <c r="AW360" s="12">
        <f>+'Form20 '!N361</f>
        <v>1</v>
      </c>
      <c r="AX360" s="18">
        <v>14</v>
      </c>
      <c r="AY360" s="66" t="s">
        <v>30</v>
      </c>
      <c r="AZ360" s="12">
        <f>+'Form20 '!O361</f>
        <v>3</v>
      </c>
      <c r="BA360" s="75">
        <f t="shared" si="11"/>
        <v>402</v>
      </c>
    </row>
    <row r="361" spans="1:53" s="67" customFormat="1" ht="59.25" customHeight="1">
      <c r="A361" s="18">
        <v>333</v>
      </c>
      <c r="B361" s="59">
        <v>355</v>
      </c>
      <c r="C361" s="76" t="s">
        <v>428</v>
      </c>
      <c r="D361" s="61">
        <v>670</v>
      </c>
      <c r="E361" s="61">
        <v>163</v>
      </c>
      <c r="F361" s="61">
        <v>220</v>
      </c>
      <c r="G361" s="55">
        <v>0</v>
      </c>
      <c r="H361" s="62">
        <f t="shared" si="10"/>
        <v>383</v>
      </c>
      <c r="I361" s="55">
        <v>9</v>
      </c>
      <c r="J361" s="29">
        <v>0</v>
      </c>
      <c r="K361" s="68">
        <v>1</v>
      </c>
      <c r="L361" s="63" t="s">
        <v>29</v>
      </c>
      <c r="M361" s="12">
        <f>+'Form20 '!B362</f>
        <v>160</v>
      </c>
      <c r="N361" s="68">
        <v>2</v>
      </c>
      <c r="O361" s="58" t="s">
        <v>24</v>
      </c>
      <c r="P361" s="12">
        <f>+'Form20 '!C362</f>
        <v>6</v>
      </c>
      <c r="Q361" s="68">
        <v>3</v>
      </c>
      <c r="R361" s="63" t="s">
        <v>28</v>
      </c>
      <c r="S361" s="12">
        <f>+'Form20 '!D362</f>
        <v>207</v>
      </c>
      <c r="T361" s="68">
        <v>4</v>
      </c>
      <c r="U361" s="64" t="s">
        <v>65</v>
      </c>
      <c r="V361" s="12">
        <f>+'Form20 '!E362</f>
        <v>3</v>
      </c>
      <c r="W361" s="68">
        <v>5</v>
      </c>
      <c r="X361" s="58" t="s">
        <v>66</v>
      </c>
      <c r="Y361" s="12">
        <f>+'Form20 '!F362</f>
        <v>0</v>
      </c>
      <c r="Z361" s="18">
        <v>6</v>
      </c>
      <c r="AA361" s="64" t="s">
        <v>67</v>
      </c>
      <c r="AB361" s="12">
        <f>+'Form20 '!G362</f>
        <v>0</v>
      </c>
      <c r="AC361" s="68">
        <v>7</v>
      </c>
      <c r="AD361" s="63" t="s">
        <v>68</v>
      </c>
      <c r="AE361" s="12">
        <f>+'Form20 '!H362</f>
        <v>0</v>
      </c>
      <c r="AF361" s="68">
        <v>8</v>
      </c>
      <c r="AG361" s="63" t="s">
        <v>69</v>
      </c>
      <c r="AH361" s="12">
        <f>+'Form20 '!I362</f>
        <v>0</v>
      </c>
      <c r="AI361" s="68">
        <v>9</v>
      </c>
      <c r="AJ361" s="65" t="s">
        <v>70</v>
      </c>
      <c r="AK361" s="12">
        <f>+'Form20 '!J362</f>
        <v>2</v>
      </c>
      <c r="AL361" s="68">
        <v>10</v>
      </c>
      <c r="AM361" s="66" t="s">
        <v>30</v>
      </c>
      <c r="AN361" s="12">
        <f>+'Form20 '!K362</f>
        <v>0</v>
      </c>
      <c r="AO361" s="18">
        <v>11</v>
      </c>
      <c r="AP361" s="66" t="s">
        <v>30</v>
      </c>
      <c r="AQ361" s="12">
        <f>+'Form20 '!L362</f>
        <v>0</v>
      </c>
      <c r="AR361" s="18">
        <v>12</v>
      </c>
      <c r="AS361" s="66" t="s">
        <v>30</v>
      </c>
      <c r="AT361" s="12">
        <f>+'Form20 '!M362</f>
        <v>1</v>
      </c>
      <c r="AU361" s="18">
        <v>13</v>
      </c>
      <c r="AV361" s="66" t="s">
        <v>30</v>
      </c>
      <c r="AW361" s="12">
        <f>+'Form20 '!N362</f>
        <v>1</v>
      </c>
      <c r="AX361" s="18">
        <v>14</v>
      </c>
      <c r="AY361" s="66" t="s">
        <v>30</v>
      </c>
      <c r="AZ361" s="12">
        <f>+'Form20 '!O362</f>
        <v>0</v>
      </c>
      <c r="BA361" s="75">
        <f t="shared" si="11"/>
        <v>380</v>
      </c>
    </row>
    <row r="362" spans="1:53" s="67" customFormat="1" ht="59.25" customHeight="1">
      <c r="A362" s="18">
        <v>333</v>
      </c>
      <c r="B362" s="59">
        <v>356</v>
      </c>
      <c r="C362" s="76" t="s">
        <v>429</v>
      </c>
      <c r="D362" s="61">
        <v>902</v>
      </c>
      <c r="E362" s="61">
        <v>256</v>
      </c>
      <c r="F362" s="61">
        <v>274</v>
      </c>
      <c r="G362" s="55">
        <v>0</v>
      </c>
      <c r="H362" s="62">
        <f t="shared" si="10"/>
        <v>530</v>
      </c>
      <c r="I362" s="55">
        <v>50</v>
      </c>
      <c r="J362" s="29">
        <v>0</v>
      </c>
      <c r="K362" s="68">
        <v>1</v>
      </c>
      <c r="L362" s="63" t="s">
        <v>29</v>
      </c>
      <c r="M362" s="12">
        <f>+'Form20 '!B363</f>
        <v>270</v>
      </c>
      <c r="N362" s="68">
        <v>2</v>
      </c>
      <c r="O362" s="58" t="s">
        <v>24</v>
      </c>
      <c r="P362" s="12">
        <f>+'Form20 '!C363</f>
        <v>78</v>
      </c>
      <c r="Q362" s="68">
        <v>3</v>
      </c>
      <c r="R362" s="63" t="s">
        <v>28</v>
      </c>
      <c r="S362" s="12">
        <f>+'Form20 '!D363</f>
        <v>164</v>
      </c>
      <c r="T362" s="68">
        <v>4</v>
      </c>
      <c r="U362" s="64" t="s">
        <v>65</v>
      </c>
      <c r="V362" s="12">
        <f>+'Form20 '!E363</f>
        <v>8</v>
      </c>
      <c r="W362" s="68">
        <v>5</v>
      </c>
      <c r="X362" s="58" t="s">
        <v>66</v>
      </c>
      <c r="Y362" s="12">
        <f>+'Form20 '!F363</f>
        <v>1</v>
      </c>
      <c r="Z362" s="18">
        <v>6</v>
      </c>
      <c r="AA362" s="64" t="s">
        <v>67</v>
      </c>
      <c r="AB362" s="12">
        <f>+'Form20 '!G363</f>
        <v>0</v>
      </c>
      <c r="AC362" s="68">
        <v>7</v>
      </c>
      <c r="AD362" s="63" t="s">
        <v>68</v>
      </c>
      <c r="AE362" s="12">
        <f>+'Form20 '!H363</f>
        <v>1</v>
      </c>
      <c r="AF362" s="68">
        <v>8</v>
      </c>
      <c r="AG362" s="63" t="s">
        <v>69</v>
      </c>
      <c r="AH362" s="12">
        <f>+'Form20 '!I363</f>
        <v>0</v>
      </c>
      <c r="AI362" s="68">
        <v>9</v>
      </c>
      <c r="AJ362" s="65" t="s">
        <v>70</v>
      </c>
      <c r="AK362" s="12">
        <f>+'Form20 '!J363</f>
        <v>0</v>
      </c>
      <c r="AL362" s="68">
        <v>10</v>
      </c>
      <c r="AM362" s="66" t="s">
        <v>30</v>
      </c>
      <c r="AN362" s="12">
        <f>+'Form20 '!K363</f>
        <v>1</v>
      </c>
      <c r="AO362" s="18">
        <v>11</v>
      </c>
      <c r="AP362" s="66" t="s">
        <v>30</v>
      </c>
      <c r="AQ362" s="12">
        <f>+'Form20 '!L363</f>
        <v>1</v>
      </c>
      <c r="AR362" s="18">
        <v>12</v>
      </c>
      <c r="AS362" s="66" t="s">
        <v>30</v>
      </c>
      <c r="AT362" s="12">
        <f>+'Form20 '!M363</f>
        <v>4</v>
      </c>
      <c r="AU362" s="18">
        <v>13</v>
      </c>
      <c r="AV362" s="66" t="s">
        <v>30</v>
      </c>
      <c r="AW362" s="12">
        <f>+'Form20 '!N363</f>
        <v>1</v>
      </c>
      <c r="AX362" s="18">
        <v>14</v>
      </c>
      <c r="AY362" s="66" t="s">
        <v>30</v>
      </c>
      <c r="AZ362" s="12">
        <f>+'Form20 '!O363</f>
        <v>0</v>
      </c>
      <c r="BA362" s="75">
        <f t="shared" si="11"/>
        <v>529</v>
      </c>
    </row>
    <row r="363" spans="1:53" s="67" customFormat="1" ht="59.25" customHeight="1">
      <c r="A363" s="18">
        <v>333</v>
      </c>
      <c r="B363" s="59">
        <v>357</v>
      </c>
      <c r="C363" s="76" t="s">
        <v>430</v>
      </c>
      <c r="D363" s="61">
        <v>1149</v>
      </c>
      <c r="E363" s="61">
        <v>360</v>
      </c>
      <c r="F363" s="61">
        <v>410</v>
      </c>
      <c r="G363" s="55">
        <v>0</v>
      </c>
      <c r="H363" s="62">
        <f t="shared" si="10"/>
        <v>770</v>
      </c>
      <c r="I363" s="55">
        <v>38</v>
      </c>
      <c r="J363" s="29">
        <v>0</v>
      </c>
      <c r="K363" s="68">
        <v>1</v>
      </c>
      <c r="L363" s="63" t="s">
        <v>29</v>
      </c>
      <c r="M363" s="12">
        <f>+'Form20 '!B364</f>
        <v>363</v>
      </c>
      <c r="N363" s="68">
        <v>2</v>
      </c>
      <c r="O363" s="58" t="s">
        <v>24</v>
      </c>
      <c r="P363" s="12">
        <f>+'Form20 '!C364</f>
        <v>80</v>
      </c>
      <c r="Q363" s="68">
        <v>3</v>
      </c>
      <c r="R363" s="63" t="s">
        <v>28</v>
      </c>
      <c r="S363" s="12">
        <f>+'Form20 '!D364</f>
        <v>306</v>
      </c>
      <c r="T363" s="68">
        <v>4</v>
      </c>
      <c r="U363" s="64" t="s">
        <v>65</v>
      </c>
      <c r="V363" s="12">
        <f>+'Form20 '!E364</f>
        <v>4</v>
      </c>
      <c r="W363" s="68">
        <v>5</v>
      </c>
      <c r="X363" s="58" t="s">
        <v>66</v>
      </c>
      <c r="Y363" s="12">
        <f>+'Form20 '!F364</f>
        <v>0</v>
      </c>
      <c r="Z363" s="18">
        <v>6</v>
      </c>
      <c r="AA363" s="64" t="s">
        <v>67</v>
      </c>
      <c r="AB363" s="12">
        <f>+'Form20 '!G364</f>
        <v>0</v>
      </c>
      <c r="AC363" s="68">
        <v>7</v>
      </c>
      <c r="AD363" s="63" t="s">
        <v>68</v>
      </c>
      <c r="AE363" s="12">
        <f>+'Form20 '!H364</f>
        <v>0</v>
      </c>
      <c r="AF363" s="68">
        <v>8</v>
      </c>
      <c r="AG363" s="63" t="s">
        <v>69</v>
      </c>
      <c r="AH363" s="12">
        <f>+'Form20 '!I364</f>
        <v>2</v>
      </c>
      <c r="AI363" s="68">
        <v>9</v>
      </c>
      <c r="AJ363" s="65" t="s">
        <v>70</v>
      </c>
      <c r="AK363" s="12">
        <f>+'Form20 '!J364</f>
        <v>1</v>
      </c>
      <c r="AL363" s="68">
        <v>10</v>
      </c>
      <c r="AM363" s="66" t="s">
        <v>30</v>
      </c>
      <c r="AN363" s="12">
        <f>+'Form20 '!K364</f>
        <v>1</v>
      </c>
      <c r="AO363" s="18">
        <v>11</v>
      </c>
      <c r="AP363" s="66" t="s">
        <v>30</v>
      </c>
      <c r="AQ363" s="12">
        <f>+'Form20 '!L364</f>
        <v>1</v>
      </c>
      <c r="AR363" s="18">
        <v>12</v>
      </c>
      <c r="AS363" s="66" t="s">
        <v>30</v>
      </c>
      <c r="AT363" s="12">
        <f>+'Form20 '!M364</f>
        <v>0</v>
      </c>
      <c r="AU363" s="18">
        <v>13</v>
      </c>
      <c r="AV363" s="66" t="s">
        <v>30</v>
      </c>
      <c r="AW363" s="12">
        <f>+'Form20 '!N364</f>
        <v>3</v>
      </c>
      <c r="AX363" s="18">
        <v>14</v>
      </c>
      <c r="AY363" s="66" t="s">
        <v>30</v>
      </c>
      <c r="AZ363" s="12">
        <f>+'Form20 '!O364</f>
        <v>2</v>
      </c>
      <c r="BA363" s="75">
        <f t="shared" si="11"/>
        <v>763</v>
      </c>
    </row>
    <row r="364" spans="1:53" s="67" customFormat="1" ht="59.25" customHeight="1">
      <c r="A364" s="18">
        <v>333</v>
      </c>
      <c r="B364" s="59">
        <v>358</v>
      </c>
      <c r="C364" s="76" t="s">
        <v>431</v>
      </c>
      <c r="D364" s="61">
        <v>607</v>
      </c>
      <c r="E364" s="61">
        <v>199</v>
      </c>
      <c r="F364" s="61">
        <v>212</v>
      </c>
      <c r="G364" s="55">
        <v>0</v>
      </c>
      <c r="H364" s="62">
        <f t="shared" si="10"/>
        <v>411</v>
      </c>
      <c r="I364" s="55">
        <v>61</v>
      </c>
      <c r="J364" s="29">
        <v>0</v>
      </c>
      <c r="K364" s="68">
        <v>1</v>
      </c>
      <c r="L364" s="63" t="s">
        <v>29</v>
      </c>
      <c r="M364" s="12">
        <f>+'Form20 '!B365</f>
        <v>86</v>
      </c>
      <c r="N364" s="68">
        <v>2</v>
      </c>
      <c r="O364" s="58" t="s">
        <v>24</v>
      </c>
      <c r="P364" s="12">
        <f>+'Form20 '!C365</f>
        <v>40</v>
      </c>
      <c r="Q364" s="68">
        <v>3</v>
      </c>
      <c r="R364" s="63" t="s">
        <v>28</v>
      </c>
      <c r="S364" s="12">
        <f>+'Form20 '!D365</f>
        <v>274</v>
      </c>
      <c r="T364" s="68">
        <v>4</v>
      </c>
      <c r="U364" s="64" t="s">
        <v>65</v>
      </c>
      <c r="V364" s="12">
        <f>+'Form20 '!E365</f>
        <v>4</v>
      </c>
      <c r="W364" s="68">
        <v>5</v>
      </c>
      <c r="X364" s="58" t="s">
        <v>66</v>
      </c>
      <c r="Y364" s="12">
        <f>+'Form20 '!F365</f>
        <v>1</v>
      </c>
      <c r="Z364" s="18">
        <v>6</v>
      </c>
      <c r="AA364" s="64" t="s">
        <v>67</v>
      </c>
      <c r="AB364" s="12">
        <f>+'Form20 '!G365</f>
        <v>0</v>
      </c>
      <c r="AC364" s="68">
        <v>7</v>
      </c>
      <c r="AD364" s="63" t="s">
        <v>68</v>
      </c>
      <c r="AE364" s="12">
        <f>+'Form20 '!H365</f>
        <v>0</v>
      </c>
      <c r="AF364" s="68">
        <v>8</v>
      </c>
      <c r="AG364" s="63" t="s">
        <v>69</v>
      </c>
      <c r="AH364" s="12">
        <f>+'Form20 '!I365</f>
        <v>1</v>
      </c>
      <c r="AI364" s="68">
        <v>9</v>
      </c>
      <c r="AJ364" s="65" t="s">
        <v>70</v>
      </c>
      <c r="AK364" s="12">
        <f>+'Form20 '!J365</f>
        <v>0</v>
      </c>
      <c r="AL364" s="68">
        <v>10</v>
      </c>
      <c r="AM364" s="66" t="s">
        <v>30</v>
      </c>
      <c r="AN364" s="12">
        <f>+'Form20 '!K365</f>
        <v>1</v>
      </c>
      <c r="AO364" s="18">
        <v>11</v>
      </c>
      <c r="AP364" s="66" t="s">
        <v>30</v>
      </c>
      <c r="AQ364" s="12">
        <f>+'Form20 '!L365</f>
        <v>1</v>
      </c>
      <c r="AR364" s="18">
        <v>12</v>
      </c>
      <c r="AS364" s="66" t="s">
        <v>30</v>
      </c>
      <c r="AT364" s="12">
        <f>+'Form20 '!M365</f>
        <v>0</v>
      </c>
      <c r="AU364" s="18">
        <v>13</v>
      </c>
      <c r="AV364" s="66" t="s">
        <v>30</v>
      </c>
      <c r="AW364" s="12">
        <f>+'Form20 '!N365</f>
        <v>0</v>
      </c>
      <c r="AX364" s="18">
        <v>14</v>
      </c>
      <c r="AY364" s="66" t="s">
        <v>30</v>
      </c>
      <c r="AZ364" s="12">
        <f>+'Form20 '!O365</f>
        <v>1</v>
      </c>
      <c r="BA364" s="75">
        <f t="shared" si="11"/>
        <v>409</v>
      </c>
    </row>
    <row r="365" spans="1:53" s="67" customFormat="1" ht="59.25" customHeight="1">
      <c r="A365" s="18">
        <v>333</v>
      </c>
      <c r="B365" s="59">
        <v>359</v>
      </c>
      <c r="C365" s="76" t="s">
        <v>432</v>
      </c>
      <c r="D365" s="61">
        <v>651</v>
      </c>
      <c r="E365" s="61">
        <v>186</v>
      </c>
      <c r="F365" s="61">
        <v>223</v>
      </c>
      <c r="G365" s="55">
        <v>0</v>
      </c>
      <c r="H365" s="62">
        <f t="shared" si="10"/>
        <v>409</v>
      </c>
      <c r="I365" s="55">
        <v>42</v>
      </c>
      <c r="J365" s="29">
        <v>0</v>
      </c>
      <c r="K365" s="68">
        <v>1</v>
      </c>
      <c r="L365" s="63" t="s">
        <v>29</v>
      </c>
      <c r="M365" s="12">
        <f>+'Form20 '!B366</f>
        <v>237</v>
      </c>
      <c r="N365" s="68">
        <v>2</v>
      </c>
      <c r="O365" s="58" t="s">
        <v>24</v>
      </c>
      <c r="P365" s="12">
        <f>+'Form20 '!C366</f>
        <v>18</v>
      </c>
      <c r="Q365" s="68">
        <v>3</v>
      </c>
      <c r="R365" s="63" t="s">
        <v>28</v>
      </c>
      <c r="S365" s="12">
        <f>+'Form20 '!D366</f>
        <v>144</v>
      </c>
      <c r="T365" s="68">
        <v>4</v>
      </c>
      <c r="U365" s="64" t="s">
        <v>65</v>
      </c>
      <c r="V365" s="12">
        <f>+'Form20 '!E366</f>
        <v>1</v>
      </c>
      <c r="W365" s="68">
        <v>5</v>
      </c>
      <c r="X365" s="58" t="s">
        <v>66</v>
      </c>
      <c r="Y365" s="12">
        <f>+'Form20 '!F366</f>
        <v>0</v>
      </c>
      <c r="Z365" s="18">
        <v>6</v>
      </c>
      <c r="AA365" s="64" t="s">
        <v>67</v>
      </c>
      <c r="AB365" s="12">
        <f>+'Form20 '!G366</f>
        <v>0</v>
      </c>
      <c r="AC365" s="68">
        <v>7</v>
      </c>
      <c r="AD365" s="63" t="s">
        <v>68</v>
      </c>
      <c r="AE365" s="12">
        <f>+'Form20 '!H366</f>
        <v>0</v>
      </c>
      <c r="AF365" s="68">
        <v>8</v>
      </c>
      <c r="AG365" s="63" t="s">
        <v>69</v>
      </c>
      <c r="AH365" s="12">
        <f>+'Form20 '!I366</f>
        <v>3</v>
      </c>
      <c r="AI365" s="68">
        <v>9</v>
      </c>
      <c r="AJ365" s="65" t="s">
        <v>70</v>
      </c>
      <c r="AK365" s="12">
        <f>+'Form20 '!J366</f>
        <v>0</v>
      </c>
      <c r="AL365" s="68">
        <v>10</v>
      </c>
      <c r="AM365" s="66" t="s">
        <v>30</v>
      </c>
      <c r="AN365" s="12">
        <f>+'Form20 '!K366</f>
        <v>0</v>
      </c>
      <c r="AO365" s="18">
        <v>11</v>
      </c>
      <c r="AP365" s="66" t="s">
        <v>30</v>
      </c>
      <c r="AQ365" s="12">
        <f>+'Form20 '!L366</f>
        <v>1</v>
      </c>
      <c r="AR365" s="18">
        <v>12</v>
      </c>
      <c r="AS365" s="66" t="s">
        <v>30</v>
      </c>
      <c r="AT365" s="12">
        <f>+'Form20 '!M366</f>
        <v>0</v>
      </c>
      <c r="AU365" s="18">
        <v>13</v>
      </c>
      <c r="AV365" s="66" t="s">
        <v>30</v>
      </c>
      <c r="AW365" s="12">
        <f>+'Form20 '!N366</f>
        <v>1</v>
      </c>
      <c r="AX365" s="18">
        <v>14</v>
      </c>
      <c r="AY365" s="66" t="s">
        <v>30</v>
      </c>
      <c r="AZ365" s="12">
        <f>+'Form20 '!O366</f>
        <v>2</v>
      </c>
      <c r="BA365" s="75">
        <f t="shared" si="11"/>
        <v>407</v>
      </c>
    </row>
    <row r="366" spans="1:53" s="67" customFormat="1" ht="59.25" customHeight="1">
      <c r="A366" s="18">
        <v>333</v>
      </c>
      <c r="B366" s="59">
        <v>360</v>
      </c>
      <c r="C366" s="76" t="s">
        <v>433</v>
      </c>
      <c r="D366" s="61">
        <v>576</v>
      </c>
      <c r="E366" s="61">
        <v>178</v>
      </c>
      <c r="F366" s="61">
        <v>155</v>
      </c>
      <c r="G366" s="55">
        <v>0</v>
      </c>
      <c r="H366" s="62">
        <f t="shared" si="10"/>
        <v>333</v>
      </c>
      <c r="I366" s="55">
        <v>23</v>
      </c>
      <c r="J366" s="29">
        <v>0</v>
      </c>
      <c r="K366" s="68">
        <v>1</v>
      </c>
      <c r="L366" s="63" t="s">
        <v>29</v>
      </c>
      <c r="M366" s="12">
        <f>+'Form20 '!B367</f>
        <v>256</v>
      </c>
      <c r="N366" s="68">
        <v>2</v>
      </c>
      <c r="O366" s="58" t="s">
        <v>24</v>
      </c>
      <c r="P366" s="12">
        <f>+'Form20 '!C367</f>
        <v>28</v>
      </c>
      <c r="Q366" s="68">
        <v>3</v>
      </c>
      <c r="R366" s="63" t="s">
        <v>28</v>
      </c>
      <c r="S366" s="12">
        <f>+'Form20 '!D367</f>
        <v>29</v>
      </c>
      <c r="T366" s="68">
        <v>4</v>
      </c>
      <c r="U366" s="64" t="s">
        <v>65</v>
      </c>
      <c r="V366" s="12">
        <f>+'Form20 '!E367</f>
        <v>0</v>
      </c>
      <c r="W366" s="68">
        <v>5</v>
      </c>
      <c r="X366" s="58" t="s">
        <v>66</v>
      </c>
      <c r="Y366" s="12">
        <f>+'Form20 '!F367</f>
        <v>0</v>
      </c>
      <c r="Z366" s="18">
        <v>6</v>
      </c>
      <c r="AA366" s="64" t="s">
        <v>67</v>
      </c>
      <c r="AB366" s="12">
        <f>+'Form20 '!G367</f>
        <v>1</v>
      </c>
      <c r="AC366" s="68">
        <v>7</v>
      </c>
      <c r="AD366" s="63" t="s">
        <v>68</v>
      </c>
      <c r="AE366" s="12">
        <f>+'Form20 '!H367</f>
        <v>0</v>
      </c>
      <c r="AF366" s="68">
        <v>8</v>
      </c>
      <c r="AG366" s="63" t="s">
        <v>69</v>
      </c>
      <c r="AH366" s="12">
        <f>+'Form20 '!I367</f>
        <v>7</v>
      </c>
      <c r="AI366" s="68">
        <v>9</v>
      </c>
      <c r="AJ366" s="65" t="s">
        <v>70</v>
      </c>
      <c r="AK366" s="12">
        <f>+'Form20 '!J367</f>
        <v>0</v>
      </c>
      <c r="AL366" s="68">
        <v>10</v>
      </c>
      <c r="AM366" s="66" t="s">
        <v>30</v>
      </c>
      <c r="AN366" s="12">
        <f>+'Form20 '!K367</f>
        <v>0</v>
      </c>
      <c r="AO366" s="18">
        <v>11</v>
      </c>
      <c r="AP366" s="66" t="s">
        <v>30</v>
      </c>
      <c r="AQ366" s="12">
        <f>+'Form20 '!L367</f>
        <v>0</v>
      </c>
      <c r="AR366" s="18">
        <v>12</v>
      </c>
      <c r="AS366" s="66" t="s">
        <v>30</v>
      </c>
      <c r="AT366" s="12">
        <f>+'Form20 '!M367</f>
        <v>2</v>
      </c>
      <c r="AU366" s="18">
        <v>13</v>
      </c>
      <c r="AV366" s="66" t="s">
        <v>30</v>
      </c>
      <c r="AW366" s="12">
        <f>+'Form20 '!N367</f>
        <v>2</v>
      </c>
      <c r="AX366" s="18">
        <v>14</v>
      </c>
      <c r="AY366" s="66" t="s">
        <v>30</v>
      </c>
      <c r="AZ366" s="12">
        <f>+'Form20 '!O367</f>
        <v>1</v>
      </c>
      <c r="BA366" s="75">
        <f t="shared" si="11"/>
        <v>326</v>
      </c>
    </row>
    <row r="367" spans="1:53" s="67" customFormat="1" ht="59.25" customHeight="1">
      <c r="A367" s="18">
        <v>333</v>
      </c>
      <c r="B367" s="59">
        <v>361</v>
      </c>
      <c r="C367" s="76" t="s">
        <v>434</v>
      </c>
      <c r="D367" s="61">
        <v>687</v>
      </c>
      <c r="E367" s="61">
        <v>165</v>
      </c>
      <c r="F367" s="61">
        <v>226</v>
      </c>
      <c r="G367" s="55">
        <v>0</v>
      </c>
      <c r="H367" s="62">
        <f t="shared" si="10"/>
        <v>391</v>
      </c>
      <c r="I367" s="55">
        <v>63</v>
      </c>
      <c r="J367" s="29">
        <v>0</v>
      </c>
      <c r="K367" s="68">
        <v>1</v>
      </c>
      <c r="L367" s="63" t="s">
        <v>29</v>
      </c>
      <c r="M367" s="12">
        <f>+'Form20 '!B368</f>
        <v>238</v>
      </c>
      <c r="N367" s="68">
        <v>2</v>
      </c>
      <c r="O367" s="58" t="s">
        <v>24</v>
      </c>
      <c r="P367" s="12">
        <f>+'Form20 '!C368</f>
        <v>10</v>
      </c>
      <c r="Q367" s="68">
        <v>3</v>
      </c>
      <c r="R367" s="63" t="s">
        <v>28</v>
      </c>
      <c r="S367" s="12">
        <f>+'Form20 '!D368</f>
        <v>124</v>
      </c>
      <c r="T367" s="68">
        <v>4</v>
      </c>
      <c r="U367" s="64" t="s">
        <v>65</v>
      </c>
      <c r="V367" s="12">
        <f>+'Form20 '!E368</f>
        <v>6</v>
      </c>
      <c r="W367" s="68">
        <v>5</v>
      </c>
      <c r="X367" s="58" t="s">
        <v>66</v>
      </c>
      <c r="Y367" s="12">
        <f>+'Form20 '!F368</f>
        <v>0</v>
      </c>
      <c r="Z367" s="18">
        <v>6</v>
      </c>
      <c r="AA367" s="64" t="s">
        <v>67</v>
      </c>
      <c r="AB367" s="12">
        <f>+'Form20 '!G368</f>
        <v>0</v>
      </c>
      <c r="AC367" s="68">
        <v>7</v>
      </c>
      <c r="AD367" s="63" t="s">
        <v>68</v>
      </c>
      <c r="AE367" s="12">
        <f>+'Form20 '!H368</f>
        <v>1</v>
      </c>
      <c r="AF367" s="68">
        <v>8</v>
      </c>
      <c r="AG367" s="63" t="s">
        <v>69</v>
      </c>
      <c r="AH367" s="12">
        <f>+'Form20 '!I368</f>
        <v>2</v>
      </c>
      <c r="AI367" s="68">
        <v>9</v>
      </c>
      <c r="AJ367" s="65" t="s">
        <v>70</v>
      </c>
      <c r="AK367" s="12">
        <f>+'Form20 '!J368</f>
        <v>1</v>
      </c>
      <c r="AL367" s="68">
        <v>10</v>
      </c>
      <c r="AM367" s="66" t="s">
        <v>30</v>
      </c>
      <c r="AN367" s="12">
        <f>+'Form20 '!K368</f>
        <v>0</v>
      </c>
      <c r="AO367" s="18">
        <v>11</v>
      </c>
      <c r="AP367" s="66" t="s">
        <v>30</v>
      </c>
      <c r="AQ367" s="12">
        <f>+'Form20 '!L368</f>
        <v>2</v>
      </c>
      <c r="AR367" s="18">
        <v>12</v>
      </c>
      <c r="AS367" s="66" t="s">
        <v>30</v>
      </c>
      <c r="AT367" s="12">
        <f>+'Form20 '!M368</f>
        <v>1</v>
      </c>
      <c r="AU367" s="18">
        <v>13</v>
      </c>
      <c r="AV367" s="66" t="s">
        <v>30</v>
      </c>
      <c r="AW367" s="12">
        <f>+'Form20 '!N368</f>
        <v>2</v>
      </c>
      <c r="AX367" s="18">
        <v>14</v>
      </c>
      <c r="AY367" s="66" t="s">
        <v>30</v>
      </c>
      <c r="AZ367" s="12">
        <f>+'Form20 '!O368</f>
        <v>1</v>
      </c>
      <c r="BA367" s="75">
        <f t="shared" si="11"/>
        <v>388</v>
      </c>
    </row>
    <row r="368" spans="1:53" s="67" customFormat="1" ht="59.25" customHeight="1">
      <c r="A368" s="18">
        <v>333</v>
      </c>
      <c r="B368" s="59">
        <v>362</v>
      </c>
      <c r="C368" s="76" t="s">
        <v>435</v>
      </c>
      <c r="D368" s="61">
        <v>1195</v>
      </c>
      <c r="E368" s="61">
        <v>380</v>
      </c>
      <c r="F368" s="61">
        <v>349</v>
      </c>
      <c r="G368" s="55">
        <v>0</v>
      </c>
      <c r="H368" s="62">
        <f t="shared" si="10"/>
        <v>729</v>
      </c>
      <c r="I368" s="55">
        <v>50</v>
      </c>
      <c r="J368" s="29">
        <v>0</v>
      </c>
      <c r="K368" s="68">
        <v>1</v>
      </c>
      <c r="L368" s="63" t="s">
        <v>29</v>
      </c>
      <c r="M368" s="12">
        <f>+'Form20 '!B369</f>
        <v>532</v>
      </c>
      <c r="N368" s="68">
        <v>2</v>
      </c>
      <c r="O368" s="58" t="s">
        <v>24</v>
      </c>
      <c r="P368" s="12">
        <f>+'Form20 '!C369</f>
        <v>21</v>
      </c>
      <c r="Q368" s="68">
        <v>3</v>
      </c>
      <c r="R368" s="63" t="s">
        <v>28</v>
      </c>
      <c r="S368" s="12">
        <f>+'Form20 '!D369</f>
        <v>146</v>
      </c>
      <c r="T368" s="68">
        <v>4</v>
      </c>
      <c r="U368" s="64" t="s">
        <v>65</v>
      </c>
      <c r="V368" s="12">
        <f>+'Form20 '!E369</f>
        <v>4</v>
      </c>
      <c r="W368" s="68">
        <v>5</v>
      </c>
      <c r="X368" s="58" t="s">
        <v>66</v>
      </c>
      <c r="Y368" s="12">
        <f>+'Form20 '!F369</f>
        <v>1</v>
      </c>
      <c r="Z368" s="18">
        <v>6</v>
      </c>
      <c r="AA368" s="64" t="s">
        <v>67</v>
      </c>
      <c r="AB368" s="12">
        <f>+'Form20 '!G369</f>
        <v>0</v>
      </c>
      <c r="AC368" s="68">
        <v>7</v>
      </c>
      <c r="AD368" s="63" t="s">
        <v>68</v>
      </c>
      <c r="AE368" s="12">
        <f>+'Form20 '!H369</f>
        <v>1</v>
      </c>
      <c r="AF368" s="68">
        <v>8</v>
      </c>
      <c r="AG368" s="63" t="s">
        <v>69</v>
      </c>
      <c r="AH368" s="12">
        <f>+'Form20 '!I369</f>
        <v>2</v>
      </c>
      <c r="AI368" s="68">
        <v>9</v>
      </c>
      <c r="AJ368" s="65" t="s">
        <v>70</v>
      </c>
      <c r="AK368" s="12">
        <f>+'Form20 '!J369</f>
        <v>3</v>
      </c>
      <c r="AL368" s="68">
        <v>10</v>
      </c>
      <c r="AM368" s="66" t="s">
        <v>30</v>
      </c>
      <c r="AN368" s="12">
        <f>+'Form20 '!K369</f>
        <v>2</v>
      </c>
      <c r="AO368" s="18">
        <v>11</v>
      </c>
      <c r="AP368" s="66" t="s">
        <v>30</v>
      </c>
      <c r="AQ368" s="12">
        <f>+'Form20 '!L369</f>
        <v>1</v>
      </c>
      <c r="AR368" s="18">
        <v>12</v>
      </c>
      <c r="AS368" s="66" t="s">
        <v>30</v>
      </c>
      <c r="AT368" s="12">
        <f>+'Form20 '!M369</f>
        <v>3</v>
      </c>
      <c r="AU368" s="18">
        <v>13</v>
      </c>
      <c r="AV368" s="66" t="s">
        <v>30</v>
      </c>
      <c r="AW368" s="12">
        <f>+'Form20 '!N369</f>
        <v>2</v>
      </c>
      <c r="AX368" s="18">
        <v>14</v>
      </c>
      <c r="AY368" s="66" t="s">
        <v>30</v>
      </c>
      <c r="AZ368" s="12">
        <f>+'Form20 '!O369</f>
        <v>4</v>
      </c>
      <c r="BA368" s="75">
        <f t="shared" si="11"/>
        <v>722</v>
      </c>
    </row>
    <row r="369" spans="1:53" s="67" customFormat="1" ht="59.25" customHeight="1">
      <c r="A369" s="18">
        <v>333</v>
      </c>
      <c r="B369" s="59">
        <v>363</v>
      </c>
      <c r="C369" s="76" t="s">
        <v>436</v>
      </c>
      <c r="D369" s="61">
        <v>1096</v>
      </c>
      <c r="E369" s="61">
        <v>329</v>
      </c>
      <c r="F369" s="61">
        <v>302</v>
      </c>
      <c r="G369" s="55">
        <v>0</v>
      </c>
      <c r="H369" s="62">
        <f t="shared" si="10"/>
        <v>631</v>
      </c>
      <c r="I369" s="55">
        <v>78</v>
      </c>
      <c r="J369" s="29">
        <v>0</v>
      </c>
      <c r="K369" s="68">
        <v>1</v>
      </c>
      <c r="L369" s="63" t="s">
        <v>29</v>
      </c>
      <c r="M369" s="12">
        <f>+'Form20 '!B370</f>
        <v>385</v>
      </c>
      <c r="N369" s="68">
        <v>2</v>
      </c>
      <c r="O369" s="58" t="s">
        <v>24</v>
      </c>
      <c r="P369" s="12">
        <f>+'Form20 '!C370</f>
        <v>28</v>
      </c>
      <c r="Q369" s="68">
        <v>3</v>
      </c>
      <c r="R369" s="63" t="s">
        <v>28</v>
      </c>
      <c r="S369" s="12">
        <f>+'Form20 '!D370</f>
        <v>196</v>
      </c>
      <c r="T369" s="68">
        <v>4</v>
      </c>
      <c r="U369" s="64" t="s">
        <v>65</v>
      </c>
      <c r="V369" s="12">
        <f>+'Form20 '!E370</f>
        <v>6</v>
      </c>
      <c r="W369" s="68">
        <v>5</v>
      </c>
      <c r="X369" s="58" t="s">
        <v>66</v>
      </c>
      <c r="Y369" s="12">
        <f>+'Form20 '!F370</f>
        <v>0</v>
      </c>
      <c r="Z369" s="18">
        <v>6</v>
      </c>
      <c r="AA369" s="64" t="s">
        <v>67</v>
      </c>
      <c r="AB369" s="12">
        <f>+'Form20 '!G370</f>
        <v>0</v>
      </c>
      <c r="AC369" s="68">
        <v>7</v>
      </c>
      <c r="AD369" s="63" t="s">
        <v>68</v>
      </c>
      <c r="AE369" s="12">
        <f>+'Form20 '!H370</f>
        <v>0</v>
      </c>
      <c r="AF369" s="68">
        <v>8</v>
      </c>
      <c r="AG369" s="63" t="s">
        <v>69</v>
      </c>
      <c r="AH369" s="12">
        <f>+'Form20 '!I370</f>
        <v>3</v>
      </c>
      <c r="AI369" s="68">
        <v>9</v>
      </c>
      <c r="AJ369" s="65" t="s">
        <v>70</v>
      </c>
      <c r="AK369" s="12">
        <f>+'Form20 '!J370</f>
        <v>6</v>
      </c>
      <c r="AL369" s="68">
        <v>10</v>
      </c>
      <c r="AM369" s="66" t="s">
        <v>30</v>
      </c>
      <c r="AN369" s="12">
        <f>+'Form20 '!K370</f>
        <v>1</v>
      </c>
      <c r="AO369" s="18">
        <v>11</v>
      </c>
      <c r="AP369" s="66" t="s">
        <v>30</v>
      </c>
      <c r="AQ369" s="12">
        <f>+'Form20 '!L370</f>
        <v>0</v>
      </c>
      <c r="AR369" s="18">
        <v>12</v>
      </c>
      <c r="AS369" s="66" t="s">
        <v>30</v>
      </c>
      <c r="AT369" s="12">
        <f>+'Form20 '!M370</f>
        <v>1</v>
      </c>
      <c r="AU369" s="18">
        <v>13</v>
      </c>
      <c r="AV369" s="66" t="s">
        <v>30</v>
      </c>
      <c r="AW369" s="12">
        <f>+'Form20 '!N370</f>
        <v>0</v>
      </c>
      <c r="AX369" s="18">
        <v>14</v>
      </c>
      <c r="AY369" s="66" t="s">
        <v>30</v>
      </c>
      <c r="AZ369" s="12">
        <f>+'Form20 '!O370</f>
        <v>1</v>
      </c>
      <c r="BA369" s="75">
        <f t="shared" si="11"/>
        <v>627</v>
      </c>
    </row>
    <row r="370" spans="1:53" s="67" customFormat="1" ht="59.25" customHeight="1">
      <c r="A370" s="18">
        <v>333</v>
      </c>
      <c r="B370" s="59">
        <v>364</v>
      </c>
      <c r="C370" s="76" t="s">
        <v>437</v>
      </c>
      <c r="D370" s="61">
        <v>727</v>
      </c>
      <c r="E370" s="61">
        <v>222</v>
      </c>
      <c r="F370" s="61">
        <v>223</v>
      </c>
      <c r="G370" s="55">
        <v>0</v>
      </c>
      <c r="H370" s="62">
        <f t="shared" si="10"/>
        <v>445</v>
      </c>
      <c r="I370" s="55">
        <v>80</v>
      </c>
      <c r="J370" s="29">
        <v>0</v>
      </c>
      <c r="K370" s="68">
        <v>1</v>
      </c>
      <c r="L370" s="63" t="s">
        <v>29</v>
      </c>
      <c r="M370" s="12">
        <f>+'Form20 '!B371</f>
        <v>264</v>
      </c>
      <c r="N370" s="68">
        <v>2</v>
      </c>
      <c r="O370" s="58" t="s">
        <v>24</v>
      </c>
      <c r="P370" s="12">
        <f>+'Form20 '!C371</f>
        <v>48</v>
      </c>
      <c r="Q370" s="68">
        <v>3</v>
      </c>
      <c r="R370" s="63" t="s">
        <v>28</v>
      </c>
      <c r="S370" s="12">
        <f>+'Form20 '!D371</f>
        <v>91</v>
      </c>
      <c r="T370" s="68">
        <v>4</v>
      </c>
      <c r="U370" s="64" t="s">
        <v>65</v>
      </c>
      <c r="V370" s="12">
        <f>+'Form20 '!E371</f>
        <v>2</v>
      </c>
      <c r="W370" s="68">
        <v>5</v>
      </c>
      <c r="X370" s="58" t="s">
        <v>66</v>
      </c>
      <c r="Y370" s="12">
        <f>+'Form20 '!F371</f>
        <v>0</v>
      </c>
      <c r="Z370" s="18">
        <v>6</v>
      </c>
      <c r="AA370" s="64" t="s">
        <v>67</v>
      </c>
      <c r="AB370" s="12">
        <f>+'Form20 '!G371</f>
        <v>2</v>
      </c>
      <c r="AC370" s="68">
        <v>7</v>
      </c>
      <c r="AD370" s="63" t="s">
        <v>68</v>
      </c>
      <c r="AE370" s="12">
        <f>+'Form20 '!H371</f>
        <v>0</v>
      </c>
      <c r="AF370" s="68">
        <v>8</v>
      </c>
      <c r="AG370" s="63" t="s">
        <v>69</v>
      </c>
      <c r="AH370" s="12">
        <f>+'Form20 '!I371</f>
        <v>22</v>
      </c>
      <c r="AI370" s="68">
        <v>9</v>
      </c>
      <c r="AJ370" s="65" t="s">
        <v>70</v>
      </c>
      <c r="AK370" s="12">
        <f>+'Form20 '!J371</f>
        <v>2</v>
      </c>
      <c r="AL370" s="68">
        <v>10</v>
      </c>
      <c r="AM370" s="66" t="s">
        <v>30</v>
      </c>
      <c r="AN370" s="12">
        <f>+'Form20 '!K371</f>
        <v>0</v>
      </c>
      <c r="AO370" s="18">
        <v>11</v>
      </c>
      <c r="AP370" s="66" t="s">
        <v>30</v>
      </c>
      <c r="AQ370" s="12">
        <f>+'Form20 '!L371</f>
        <v>2</v>
      </c>
      <c r="AR370" s="18">
        <v>12</v>
      </c>
      <c r="AS370" s="66" t="s">
        <v>30</v>
      </c>
      <c r="AT370" s="12">
        <f>+'Form20 '!M371</f>
        <v>3</v>
      </c>
      <c r="AU370" s="18">
        <v>13</v>
      </c>
      <c r="AV370" s="66" t="s">
        <v>30</v>
      </c>
      <c r="AW370" s="12">
        <f>+'Form20 '!N371</f>
        <v>2</v>
      </c>
      <c r="AX370" s="18">
        <v>14</v>
      </c>
      <c r="AY370" s="66" t="s">
        <v>30</v>
      </c>
      <c r="AZ370" s="12">
        <f>+'Form20 '!O371</f>
        <v>2</v>
      </c>
      <c r="BA370" s="75">
        <f t="shared" si="11"/>
        <v>440</v>
      </c>
    </row>
    <row r="371" spans="1:53" s="67" customFormat="1" ht="59.25" customHeight="1">
      <c r="A371" s="18">
        <v>333</v>
      </c>
      <c r="B371" s="59">
        <v>365</v>
      </c>
      <c r="C371" s="76" t="s">
        <v>438</v>
      </c>
      <c r="D371" s="61">
        <v>1091</v>
      </c>
      <c r="E371" s="61">
        <v>329</v>
      </c>
      <c r="F371" s="61">
        <v>390</v>
      </c>
      <c r="G371" s="55">
        <v>0</v>
      </c>
      <c r="H371" s="62">
        <f t="shared" si="10"/>
        <v>719</v>
      </c>
      <c r="I371" s="55">
        <v>81</v>
      </c>
      <c r="J371" s="29">
        <v>0</v>
      </c>
      <c r="K371" s="68">
        <v>1</v>
      </c>
      <c r="L371" s="63" t="s">
        <v>29</v>
      </c>
      <c r="M371" s="12">
        <f>+'Form20 '!B372</f>
        <v>385</v>
      </c>
      <c r="N371" s="68">
        <v>2</v>
      </c>
      <c r="O371" s="58" t="s">
        <v>24</v>
      </c>
      <c r="P371" s="12">
        <f>+'Form20 '!C372</f>
        <v>99</v>
      </c>
      <c r="Q371" s="68">
        <v>3</v>
      </c>
      <c r="R371" s="63" t="s">
        <v>28</v>
      </c>
      <c r="S371" s="12">
        <f>+'Form20 '!D372</f>
        <v>199</v>
      </c>
      <c r="T371" s="68">
        <v>4</v>
      </c>
      <c r="U371" s="64" t="s">
        <v>65</v>
      </c>
      <c r="V371" s="12">
        <f>+'Form20 '!E372</f>
        <v>12</v>
      </c>
      <c r="W371" s="68">
        <v>5</v>
      </c>
      <c r="X371" s="58" t="s">
        <v>66</v>
      </c>
      <c r="Y371" s="12">
        <f>+'Form20 '!F372</f>
        <v>0</v>
      </c>
      <c r="Z371" s="18">
        <v>6</v>
      </c>
      <c r="AA371" s="64" t="s">
        <v>67</v>
      </c>
      <c r="AB371" s="12">
        <f>+'Form20 '!G372</f>
        <v>0</v>
      </c>
      <c r="AC371" s="68">
        <v>7</v>
      </c>
      <c r="AD371" s="63" t="s">
        <v>68</v>
      </c>
      <c r="AE371" s="12">
        <f>+'Form20 '!H372</f>
        <v>1</v>
      </c>
      <c r="AF371" s="68">
        <v>8</v>
      </c>
      <c r="AG371" s="63" t="s">
        <v>69</v>
      </c>
      <c r="AH371" s="12">
        <f>+'Form20 '!I372</f>
        <v>3</v>
      </c>
      <c r="AI371" s="68">
        <v>9</v>
      </c>
      <c r="AJ371" s="65" t="s">
        <v>70</v>
      </c>
      <c r="AK371" s="12">
        <f>+'Form20 '!J372</f>
        <v>1</v>
      </c>
      <c r="AL371" s="68">
        <v>10</v>
      </c>
      <c r="AM371" s="66" t="s">
        <v>30</v>
      </c>
      <c r="AN371" s="12">
        <f>+'Form20 '!K372</f>
        <v>3</v>
      </c>
      <c r="AO371" s="18">
        <v>11</v>
      </c>
      <c r="AP371" s="66" t="s">
        <v>30</v>
      </c>
      <c r="AQ371" s="12">
        <f>+'Form20 '!L372</f>
        <v>1</v>
      </c>
      <c r="AR371" s="18">
        <v>12</v>
      </c>
      <c r="AS371" s="66" t="s">
        <v>30</v>
      </c>
      <c r="AT371" s="12">
        <f>+'Form20 '!M372</f>
        <v>1</v>
      </c>
      <c r="AU371" s="18">
        <v>13</v>
      </c>
      <c r="AV371" s="66" t="s">
        <v>30</v>
      </c>
      <c r="AW371" s="12">
        <f>+'Form20 '!N372</f>
        <v>2</v>
      </c>
      <c r="AX371" s="18">
        <v>14</v>
      </c>
      <c r="AY371" s="66" t="s">
        <v>30</v>
      </c>
      <c r="AZ371" s="12">
        <f>+'Form20 '!O372</f>
        <v>4</v>
      </c>
      <c r="BA371" s="75">
        <f t="shared" si="11"/>
        <v>711</v>
      </c>
    </row>
    <row r="372" spans="1:53" s="67" customFormat="1" ht="59.25" customHeight="1">
      <c r="A372" s="18">
        <v>333</v>
      </c>
      <c r="B372" s="59">
        <v>366</v>
      </c>
      <c r="C372" s="76" t="s">
        <v>439</v>
      </c>
      <c r="D372" s="61">
        <v>845</v>
      </c>
      <c r="E372" s="61">
        <v>230</v>
      </c>
      <c r="F372" s="61">
        <v>259</v>
      </c>
      <c r="G372" s="55">
        <v>1</v>
      </c>
      <c r="H372" s="62">
        <f t="shared" si="10"/>
        <v>490</v>
      </c>
      <c r="I372" s="55">
        <v>43</v>
      </c>
      <c r="J372" s="29">
        <v>0</v>
      </c>
      <c r="K372" s="68">
        <v>1</v>
      </c>
      <c r="L372" s="63" t="s">
        <v>29</v>
      </c>
      <c r="M372" s="12">
        <f>+'Form20 '!B373</f>
        <v>327</v>
      </c>
      <c r="N372" s="68">
        <v>2</v>
      </c>
      <c r="O372" s="58" t="s">
        <v>24</v>
      </c>
      <c r="P372" s="12">
        <f>+'Form20 '!C373</f>
        <v>62</v>
      </c>
      <c r="Q372" s="68">
        <v>3</v>
      </c>
      <c r="R372" s="63" t="s">
        <v>28</v>
      </c>
      <c r="S372" s="12">
        <f>+'Form20 '!D373</f>
        <v>76</v>
      </c>
      <c r="T372" s="68">
        <v>4</v>
      </c>
      <c r="U372" s="64" t="s">
        <v>65</v>
      </c>
      <c r="V372" s="12">
        <f>+'Form20 '!E373</f>
        <v>11</v>
      </c>
      <c r="W372" s="68">
        <v>5</v>
      </c>
      <c r="X372" s="58" t="s">
        <v>66</v>
      </c>
      <c r="Y372" s="12">
        <f>+'Form20 '!F373</f>
        <v>1</v>
      </c>
      <c r="Z372" s="18">
        <v>6</v>
      </c>
      <c r="AA372" s="64" t="s">
        <v>67</v>
      </c>
      <c r="AB372" s="12">
        <f>+'Form20 '!G373</f>
        <v>1</v>
      </c>
      <c r="AC372" s="68">
        <v>7</v>
      </c>
      <c r="AD372" s="63" t="s">
        <v>68</v>
      </c>
      <c r="AE372" s="12">
        <f>+'Form20 '!H373</f>
        <v>3</v>
      </c>
      <c r="AF372" s="68">
        <v>8</v>
      </c>
      <c r="AG372" s="63" t="s">
        <v>69</v>
      </c>
      <c r="AH372" s="12">
        <f>+'Form20 '!I373</f>
        <v>0</v>
      </c>
      <c r="AI372" s="68">
        <v>9</v>
      </c>
      <c r="AJ372" s="65" t="s">
        <v>70</v>
      </c>
      <c r="AK372" s="12">
        <f>+'Form20 '!J373</f>
        <v>1</v>
      </c>
      <c r="AL372" s="68">
        <v>10</v>
      </c>
      <c r="AM372" s="66" t="s">
        <v>30</v>
      </c>
      <c r="AN372" s="12">
        <f>+'Form20 '!K373</f>
        <v>0</v>
      </c>
      <c r="AO372" s="18">
        <v>11</v>
      </c>
      <c r="AP372" s="66" t="s">
        <v>30</v>
      </c>
      <c r="AQ372" s="12">
        <f>+'Form20 '!L373</f>
        <v>1</v>
      </c>
      <c r="AR372" s="18">
        <v>12</v>
      </c>
      <c r="AS372" s="66" t="s">
        <v>30</v>
      </c>
      <c r="AT372" s="12">
        <f>+'Form20 '!M373</f>
        <v>2</v>
      </c>
      <c r="AU372" s="18">
        <v>13</v>
      </c>
      <c r="AV372" s="66" t="s">
        <v>30</v>
      </c>
      <c r="AW372" s="12">
        <f>+'Form20 '!N373</f>
        <v>0</v>
      </c>
      <c r="AX372" s="18">
        <v>14</v>
      </c>
      <c r="AY372" s="66" t="s">
        <v>30</v>
      </c>
      <c r="AZ372" s="12">
        <f>+'Form20 '!O373</f>
        <v>1</v>
      </c>
      <c r="BA372" s="75">
        <f t="shared" si="11"/>
        <v>486</v>
      </c>
    </row>
    <row r="373" spans="1:53" s="67" customFormat="1" ht="59.25" customHeight="1">
      <c r="A373" s="18">
        <v>333</v>
      </c>
      <c r="B373" s="59">
        <v>367</v>
      </c>
      <c r="C373" s="76" t="s">
        <v>440</v>
      </c>
      <c r="D373" s="61">
        <v>761</v>
      </c>
      <c r="E373" s="61">
        <v>267</v>
      </c>
      <c r="F373" s="61">
        <v>276</v>
      </c>
      <c r="G373" s="55">
        <v>0</v>
      </c>
      <c r="H373" s="62">
        <f t="shared" si="10"/>
        <v>543</v>
      </c>
      <c r="I373" s="55">
        <v>267</v>
      </c>
      <c r="J373" s="29">
        <v>0</v>
      </c>
      <c r="K373" s="68">
        <v>1</v>
      </c>
      <c r="L373" s="63" t="s">
        <v>29</v>
      </c>
      <c r="M373" s="12">
        <f>+'Form20 '!B374</f>
        <v>378</v>
      </c>
      <c r="N373" s="68">
        <v>2</v>
      </c>
      <c r="O373" s="58" t="s">
        <v>24</v>
      </c>
      <c r="P373" s="12">
        <f>+'Form20 '!C374</f>
        <v>25</v>
      </c>
      <c r="Q373" s="68">
        <v>3</v>
      </c>
      <c r="R373" s="63" t="s">
        <v>28</v>
      </c>
      <c r="S373" s="12">
        <f>+'Form20 '!D374</f>
        <v>124</v>
      </c>
      <c r="T373" s="68">
        <v>4</v>
      </c>
      <c r="U373" s="64" t="s">
        <v>65</v>
      </c>
      <c r="V373" s="12">
        <f>+'Form20 '!E374</f>
        <v>0</v>
      </c>
      <c r="W373" s="68">
        <v>5</v>
      </c>
      <c r="X373" s="58" t="s">
        <v>66</v>
      </c>
      <c r="Y373" s="12">
        <f>+'Form20 '!F374</f>
        <v>0</v>
      </c>
      <c r="Z373" s="18">
        <v>6</v>
      </c>
      <c r="AA373" s="64" t="s">
        <v>67</v>
      </c>
      <c r="AB373" s="12">
        <f>+'Form20 '!G374</f>
        <v>0</v>
      </c>
      <c r="AC373" s="68">
        <v>7</v>
      </c>
      <c r="AD373" s="63" t="s">
        <v>68</v>
      </c>
      <c r="AE373" s="12">
        <f>+'Form20 '!H374</f>
        <v>0</v>
      </c>
      <c r="AF373" s="68">
        <v>8</v>
      </c>
      <c r="AG373" s="63" t="s">
        <v>69</v>
      </c>
      <c r="AH373" s="12">
        <f>+'Form20 '!I374</f>
        <v>1</v>
      </c>
      <c r="AI373" s="68">
        <v>9</v>
      </c>
      <c r="AJ373" s="65" t="s">
        <v>70</v>
      </c>
      <c r="AK373" s="12">
        <f>+'Form20 '!J374</f>
        <v>4</v>
      </c>
      <c r="AL373" s="68">
        <v>10</v>
      </c>
      <c r="AM373" s="66" t="s">
        <v>30</v>
      </c>
      <c r="AN373" s="12">
        <f>+'Form20 '!K374</f>
        <v>2</v>
      </c>
      <c r="AO373" s="18">
        <v>11</v>
      </c>
      <c r="AP373" s="66" t="s">
        <v>30</v>
      </c>
      <c r="AQ373" s="12">
        <f>+'Form20 '!L374</f>
        <v>0</v>
      </c>
      <c r="AR373" s="18">
        <v>12</v>
      </c>
      <c r="AS373" s="66" t="s">
        <v>30</v>
      </c>
      <c r="AT373" s="12">
        <f>+'Form20 '!M374</f>
        <v>2</v>
      </c>
      <c r="AU373" s="18">
        <v>13</v>
      </c>
      <c r="AV373" s="66" t="s">
        <v>30</v>
      </c>
      <c r="AW373" s="12">
        <f>+'Form20 '!N374</f>
        <v>1</v>
      </c>
      <c r="AX373" s="18">
        <v>14</v>
      </c>
      <c r="AY373" s="66" t="s">
        <v>30</v>
      </c>
      <c r="AZ373" s="12">
        <f>+'Form20 '!O374</f>
        <v>1</v>
      </c>
      <c r="BA373" s="75">
        <f t="shared" si="11"/>
        <v>538</v>
      </c>
    </row>
    <row r="374" spans="1:53" s="67" customFormat="1" ht="59.25" customHeight="1">
      <c r="A374" s="18">
        <v>333</v>
      </c>
      <c r="B374" s="59">
        <v>368</v>
      </c>
      <c r="C374" s="76" t="s">
        <v>441</v>
      </c>
      <c r="D374" s="61">
        <v>547</v>
      </c>
      <c r="E374" s="61">
        <v>186</v>
      </c>
      <c r="F374" s="61">
        <v>200</v>
      </c>
      <c r="G374" s="55">
        <v>0</v>
      </c>
      <c r="H374" s="62">
        <f t="shared" si="10"/>
        <v>386</v>
      </c>
      <c r="I374" s="55">
        <v>30</v>
      </c>
      <c r="J374" s="29">
        <v>0</v>
      </c>
      <c r="K374" s="68">
        <v>1</v>
      </c>
      <c r="L374" s="63" t="s">
        <v>29</v>
      </c>
      <c r="M374" s="12">
        <f>+'Form20 '!B375</f>
        <v>191</v>
      </c>
      <c r="N374" s="68">
        <v>2</v>
      </c>
      <c r="O374" s="58" t="s">
        <v>24</v>
      </c>
      <c r="P374" s="12">
        <f>+'Form20 '!C375</f>
        <v>31</v>
      </c>
      <c r="Q374" s="68">
        <v>3</v>
      </c>
      <c r="R374" s="63" t="s">
        <v>28</v>
      </c>
      <c r="S374" s="12">
        <f>+'Form20 '!D375</f>
        <v>150</v>
      </c>
      <c r="T374" s="68">
        <v>4</v>
      </c>
      <c r="U374" s="64" t="s">
        <v>65</v>
      </c>
      <c r="V374" s="12">
        <f>+'Form20 '!E375</f>
        <v>3</v>
      </c>
      <c r="W374" s="68">
        <v>5</v>
      </c>
      <c r="X374" s="58" t="s">
        <v>66</v>
      </c>
      <c r="Y374" s="12">
        <f>+'Form20 '!F375</f>
        <v>0</v>
      </c>
      <c r="Z374" s="18">
        <v>6</v>
      </c>
      <c r="AA374" s="64" t="s">
        <v>67</v>
      </c>
      <c r="AB374" s="12">
        <f>+'Form20 '!G375</f>
        <v>1</v>
      </c>
      <c r="AC374" s="68">
        <v>7</v>
      </c>
      <c r="AD374" s="63" t="s">
        <v>68</v>
      </c>
      <c r="AE374" s="12">
        <f>+'Form20 '!H375</f>
        <v>0</v>
      </c>
      <c r="AF374" s="68">
        <v>8</v>
      </c>
      <c r="AG374" s="63" t="s">
        <v>69</v>
      </c>
      <c r="AH374" s="12">
        <f>+'Form20 '!I375</f>
        <v>2</v>
      </c>
      <c r="AI374" s="68">
        <v>9</v>
      </c>
      <c r="AJ374" s="65" t="s">
        <v>70</v>
      </c>
      <c r="AK374" s="12">
        <f>+'Form20 '!J375</f>
        <v>0</v>
      </c>
      <c r="AL374" s="68">
        <v>10</v>
      </c>
      <c r="AM374" s="66" t="s">
        <v>30</v>
      </c>
      <c r="AN374" s="12">
        <f>+'Form20 '!K375</f>
        <v>0</v>
      </c>
      <c r="AO374" s="18">
        <v>11</v>
      </c>
      <c r="AP374" s="66" t="s">
        <v>30</v>
      </c>
      <c r="AQ374" s="12">
        <f>+'Form20 '!L375</f>
        <v>0</v>
      </c>
      <c r="AR374" s="18">
        <v>12</v>
      </c>
      <c r="AS374" s="66" t="s">
        <v>30</v>
      </c>
      <c r="AT374" s="12">
        <f>+'Form20 '!M375</f>
        <v>3</v>
      </c>
      <c r="AU374" s="18">
        <v>13</v>
      </c>
      <c r="AV374" s="66" t="s">
        <v>30</v>
      </c>
      <c r="AW374" s="12">
        <f>+'Form20 '!N375</f>
        <v>1</v>
      </c>
      <c r="AX374" s="18">
        <v>14</v>
      </c>
      <c r="AY374" s="66" t="s">
        <v>30</v>
      </c>
      <c r="AZ374" s="12">
        <f>+'Form20 '!O375</f>
        <v>0</v>
      </c>
      <c r="BA374" s="75">
        <f t="shared" si="11"/>
        <v>382</v>
      </c>
    </row>
    <row r="375" spans="1:53" s="67" customFormat="1" ht="59.25" customHeight="1">
      <c r="A375" s="18">
        <v>333</v>
      </c>
      <c r="B375" s="59">
        <v>369</v>
      </c>
      <c r="C375" s="76" t="s">
        <v>442</v>
      </c>
      <c r="D375" s="61">
        <v>900</v>
      </c>
      <c r="E375" s="61">
        <v>251</v>
      </c>
      <c r="F375" s="61">
        <v>292</v>
      </c>
      <c r="G375" s="55">
        <v>0</v>
      </c>
      <c r="H375" s="62">
        <f t="shared" si="10"/>
        <v>543</v>
      </c>
      <c r="I375" s="55">
        <v>43</v>
      </c>
      <c r="J375" s="29">
        <v>0</v>
      </c>
      <c r="K375" s="68">
        <v>1</v>
      </c>
      <c r="L375" s="63" t="s">
        <v>29</v>
      </c>
      <c r="M375" s="12">
        <f>+'Form20 '!B376</f>
        <v>304</v>
      </c>
      <c r="N375" s="68">
        <v>2</v>
      </c>
      <c r="O375" s="58" t="s">
        <v>24</v>
      </c>
      <c r="P375" s="12">
        <f>+'Form20 '!C376</f>
        <v>63</v>
      </c>
      <c r="Q375" s="68">
        <v>3</v>
      </c>
      <c r="R375" s="63" t="s">
        <v>28</v>
      </c>
      <c r="S375" s="12">
        <f>+'Form20 '!D376</f>
        <v>150</v>
      </c>
      <c r="T375" s="68">
        <v>4</v>
      </c>
      <c r="U375" s="64" t="s">
        <v>65</v>
      </c>
      <c r="V375" s="12">
        <f>+'Form20 '!E376</f>
        <v>3</v>
      </c>
      <c r="W375" s="68">
        <v>5</v>
      </c>
      <c r="X375" s="58" t="s">
        <v>66</v>
      </c>
      <c r="Y375" s="12">
        <f>+'Form20 '!F376</f>
        <v>2</v>
      </c>
      <c r="Z375" s="18">
        <v>6</v>
      </c>
      <c r="AA375" s="64" t="s">
        <v>67</v>
      </c>
      <c r="AB375" s="12">
        <f>+'Form20 '!G376</f>
        <v>1</v>
      </c>
      <c r="AC375" s="68">
        <v>7</v>
      </c>
      <c r="AD375" s="63" t="s">
        <v>68</v>
      </c>
      <c r="AE375" s="12">
        <f>+'Form20 '!H376</f>
        <v>0</v>
      </c>
      <c r="AF375" s="68">
        <v>8</v>
      </c>
      <c r="AG375" s="63" t="s">
        <v>69</v>
      </c>
      <c r="AH375" s="12">
        <f>+'Form20 '!I376</f>
        <v>3</v>
      </c>
      <c r="AI375" s="68">
        <v>9</v>
      </c>
      <c r="AJ375" s="65" t="s">
        <v>70</v>
      </c>
      <c r="AK375" s="12">
        <f>+'Form20 '!J376</f>
        <v>0</v>
      </c>
      <c r="AL375" s="68">
        <v>10</v>
      </c>
      <c r="AM375" s="66" t="s">
        <v>30</v>
      </c>
      <c r="AN375" s="12">
        <f>+'Form20 '!K376</f>
        <v>1</v>
      </c>
      <c r="AO375" s="18">
        <v>11</v>
      </c>
      <c r="AP375" s="66" t="s">
        <v>30</v>
      </c>
      <c r="AQ375" s="12">
        <f>+'Form20 '!L376</f>
        <v>2</v>
      </c>
      <c r="AR375" s="18">
        <v>12</v>
      </c>
      <c r="AS375" s="66" t="s">
        <v>30</v>
      </c>
      <c r="AT375" s="12">
        <f>+'Form20 '!M376</f>
        <v>2</v>
      </c>
      <c r="AU375" s="18">
        <v>13</v>
      </c>
      <c r="AV375" s="66" t="s">
        <v>30</v>
      </c>
      <c r="AW375" s="12">
        <f>+'Form20 '!N376</f>
        <v>3</v>
      </c>
      <c r="AX375" s="18">
        <v>14</v>
      </c>
      <c r="AY375" s="66" t="s">
        <v>30</v>
      </c>
      <c r="AZ375" s="12">
        <f>+'Form20 '!O376</f>
        <v>2</v>
      </c>
      <c r="BA375" s="75">
        <f t="shared" si="11"/>
        <v>536</v>
      </c>
    </row>
    <row r="376" spans="1:53" s="67" customFormat="1" ht="59.25" customHeight="1">
      <c r="A376" s="18">
        <v>333</v>
      </c>
      <c r="B376" s="59">
        <v>370</v>
      </c>
      <c r="C376" s="76" t="s">
        <v>443</v>
      </c>
      <c r="D376" s="61">
        <v>833</v>
      </c>
      <c r="E376" s="61">
        <v>226</v>
      </c>
      <c r="F376" s="61">
        <v>276</v>
      </c>
      <c r="G376" s="55">
        <v>0</v>
      </c>
      <c r="H376" s="62">
        <f t="shared" si="10"/>
        <v>502</v>
      </c>
      <c r="I376" s="55">
        <v>36</v>
      </c>
      <c r="J376" s="29">
        <v>0</v>
      </c>
      <c r="K376" s="68">
        <v>1</v>
      </c>
      <c r="L376" s="63" t="s">
        <v>29</v>
      </c>
      <c r="M376" s="12">
        <f>+'Form20 '!B377</f>
        <v>346</v>
      </c>
      <c r="N376" s="68">
        <v>2</v>
      </c>
      <c r="O376" s="58" t="s">
        <v>24</v>
      </c>
      <c r="P376" s="12">
        <f>+'Form20 '!C377</f>
        <v>27</v>
      </c>
      <c r="Q376" s="68">
        <v>3</v>
      </c>
      <c r="R376" s="63" t="s">
        <v>28</v>
      </c>
      <c r="S376" s="12">
        <f>+'Form20 '!D377</f>
        <v>119</v>
      </c>
      <c r="T376" s="68">
        <v>4</v>
      </c>
      <c r="U376" s="64" t="s">
        <v>65</v>
      </c>
      <c r="V376" s="12">
        <f>+'Form20 '!E377</f>
        <v>1</v>
      </c>
      <c r="W376" s="68">
        <v>5</v>
      </c>
      <c r="X376" s="58" t="s">
        <v>66</v>
      </c>
      <c r="Y376" s="12">
        <f>+'Form20 '!F377</f>
        <v>1</v>
      </c>
      <c r="Z376" s="18">
        <v>6</v>
      </c>
      <c r="AA376" s="64" t="s">
        <v>67</v>
      </c>
      <c r="AB376" s="12">
        <f>+'Form20 '!G377</f>
        <v>1</v>
      </c>
      <c r="AC376" s="68">
        <v>7</v>
      </c>
      <c r="AD376" s="63" t="s">
        <v>68</v>
      </c>
      <c r="AE376" s="12">
        <f>+'Form20 '!H377</f>
        <v>0</v>
      </c>
      <c r="AF376" s="68">
        <v>8</v>
      </c>
      <c r="AG376" s="63" t="s">
        <v>69</v>
      </c>
      <c r="AH376" s="12">
        <f>+'Form20 '!I377</f>
        <v>0</v>
      </c>
      <c r="AI376" s="68">
        <v>9</v>
      </c>
      <c r="AJ376" s="65" t="s">
        <v>70</v>
      </c>
      <c r="AK376" s="12">
        <f>+'Form20 '!J377</f>
        <v>0</v>
      </c>
      <c r="AL376" s="68">
        <v>10</v>
      </c>
      <c r="AM376" s="66" t="s">
        <v>30</v>
      </c>
      <c r="AN376" s="12">
        <f>+'Form20 '!K377</f>
        <v>0</v>
      </c>
      <c r="AO376" s="18">
        <v>11</v>
      </c>
      <c r="AP376" s="66" t="s">
        <v>30</v>
      </c>
      <c r="AQ376" s="12">
        <f>+'Form20 '!L377</f>
        <v>1</v>
      </c>
      <c r="AR376" s="18">
        <v>12</v>
      </c>
      <c r="AS376" s="66" t="s">
        <v>30</v>
      </c>
      <c r="AT376" s="12">
        <f>+'Form20 '!M377</f>
        <v>0</v>
      </c>
      <c r="AU376" s="18">
        <v>13</v>
      </c>
      <c r="AV376" s="66" t="s">
        <v>30</v>
      </c>
      <c r="AW376" s="12">
        <f>+'Form20 '!N377</f>
        <v>2</v>
      </c>
      <c r="AX376" s="18">
        <v>14</v>
      </c>
      <c r="AY376" s="66" t="s">
        <v>30</v>
      </c>
      <c r="AZ376" s="12">
        <f>+'Form20 '!O377</f>
        <v>0</v>
      </c>
      <c r="BA376" s="75">
        <f t="shared" si="11"/>
        <v>498</v>
      </c>
    </row>
    <row r="377" spans="1:53" s="67" customFormat="1" ht="59.25" customHeight="1">
      <c r="A377" s="18">
        <v>333</v>
      </c>
      <c r="B377" s="59">
        <v>371</v>
      </c>
      <c r="C377" s="76" t="s">
        <v>444</v>
      </c>
      <c r="D377" s="61">
        <v>1128</v>
      </c>
      <c r="E377" s="61">
        <v>348</v>
      </c>
      <c r="F377" s="61">
        <v>355</v>
      </c>
      <c r="G377" s="55">
        <v>0</v>
      </c>
      <c r="H377" s="62">
        <f t="shared" si="10"/>
        <v>703</v>
      </c>
      <c r="I377" s="55">
        <v>60</v>
      </c>
      <c r="J377" s="29">
        <v>0</v>
      </c>
      <c r="K377" s="68">
        <v>1</v>
      </c>
      <c r="L377" s="63" t="s">
        <v>29</v>
      </c>
      <c r="M377" s="12">
        <f>+'Form20 '!B378</f>
        <v>370</v>
      </c>
      <c r="N377" s="68">
        <v>2</v>
      </c>
      <c r="O377" s="58" t="s">
        <v>24</v>
      </c>
      <c r="P377" s="12">
        <f>+'Form20 '!C378</f>
        <v>110</v>
      </c>
      <c r="Q377" s="68">
        <v>3</v>
      </c>
      <c r="R377" s="63" t="s">
        <v>28</v>
      </c>
      <c r="S377" s="12">
        <f>+'Form20 '!D378</f>
        <v>201</v>
      </c>
      <c r="T377" s="68">
        <v>4</v>
      </c>
      <c r="U377" s="64" t="s">
        <v>65</v>
      </c>
      <c r="V377" s="12">
        <f>+'Form20 '!E378</f>
        <v>2</v>
      </c>
      <c r="W377" s="68">
        <v>5</v>
      </c>
      <c r="X377" s="58" t="s">
        <v>66</v>
      </c>
      <c r="Y377" s="12">
        <f>+'Form20 '!F378</f>
        <v>0</v>
      </c>
      <c r="Z377" s="18">
        <v>6</v>
      </c>
      <c r="AA377" s="64" t="s">
        <v>67</v>
      </c>
      <c r="AB377" s="12">
        <f>+'Form20 '!G378</f>
        <v>0</v>
      </c>
      <c r="AC377" s="68">
        <v>7</v>
      </c>
      <c r="AD377" s="63" t="s">
        <v>68</v>
      </c>
      <c r="AE377" s="12">
        <f>+'Form20 '!H378</f>
        <v>0</v>
      </c>
      <c r="AF377" s="68">
        <v>8</v>
      </c>
      <c r="AG377" s="63" t="s">
        <v>69</v>
      </c>
      <c r="AH377" s="12">
        <f>+'Form20 '!I378</f>
        <v>0</v>
      </c>
      <c r="AI377" s="68">
        <v>9</v>
      </c>
      <c r="AJ377" s="65" t="s">
        <v>70</v>
      </c>
      <c r="AK377" s="12">
        <f>+'Form20 '!J378</f>
        <v>2</v>
      </c>
      <c r="AL377" s="68">
        <v>10</v>
      </c>
      <c r="AM377" s="66" t="s">
        <v>30</v>
      </c>
      <c r="AN377" s="12">
        <f>+'Form20 '!K378</f>
        <v>1</v>
      </c>
      <c r="AO377" s="18">
        <v>11</v>
      </c>
      <c r="AP377" s="66" t="s">
        <v>30</v>
      </c>
      <c r="AQ377" s="12">
        <f>+'Form20 '!L378</f>
        <v>2</v>
      </c>
      <c r="AR377" s="18">
        <v>12</v>
      </c>
      <c r="AS377" s="66" t="s">
        <v>30</v>
      </c>
      <c r="AT377" s="12">
        <f>+'Form20 '!M378</f>
        <v>2</v>
      </c>
      <c r="AU377" s="18">
        <v>13</v>
      </c>
      <c r="AV377" s="66" t="s">
        <v>30</v>
      </c>
      <c r="AW377" s="12">
        <f>+'Form20 '!N378</f>
        <v>6</v>
      </c>
      <c r="AX377" s="18">
        <v>14</v>
      </c>
      <c r="AY377" s="66" t="s">
        <v>30</v>
      </c>
      <c r="AZ377" s="12">
        <f>+'Form20 '!O378</f>
        <v>3</v>
      </c>
      <c r="BA377" s="75">
        <f t="shared" si="11"/>
        <v>699</v>
      </c>
    </row>
    <row r="378" spans="1:53" s="67" customFormat="1" ht="59.25" customHeight="1">
      <c r="A378" s="18">
        <v>333</v>
      </c>
      <c r="B378" s="59">
        <v>372</v>
      </c>
      <c r="C378" s="76" t="s">
        <v>445</v>
      </c>
      <c r="D378" s="61">
        <v>722</v>
      </c>
      <c r="E378" s="61">
        <v>202</v>
      </c>
      <c r="F378" s="61">
        <v>198</v>
      </c>
      <c r="G378" s="55">
        <v>0</v>
      </c>
      <c r="H378" s="62">
        <f t="shared" si="10"/>
        <v>400</v>
      </c>
      <c r="I378" s="55">
        <v>46</v>
      </c>
      <c r="J378" s="29">
        <v>0</v>
      </c>
      <c r="K378" s="68">
        <v>1</v>
      </c>
      <c r="L378" s="63" t="s">
        <v>29</v>
      </c>
      <c r="M378" s="12">
        <f>+'Form20 '!B379</f>
        <v>216</v>
      </c>
      <c r="N378" s="68">
        <v>2</v>
      </c>
      <c r="O378" s="58" t="s">
        <v>24</v>
      </c>
      <c r="P378" s="12">
        <f>+'Form20 '!C379</f>
        <v>22</v>
      </c>
      <c r="Q378" s="68">
        <v>3</v>
      </c>
      <c r="R378" s="63" t="s">
        <v>28</v>
      </c>
      <c r="S378" s="12">
        <f>+'Form20 '!D379</f>
        <v>141</v>
      </c>
      <c r="T378" s="68">
        <v>4</v>
      </c>
      <c r="U378" s="64" t="s">
        <v>65</v>
      </c>
      <c r="V378" s="12">
        <f>+'Form20 '!E379</f>
        <v>7</v>
      </c>
      <c r="W378" s="68">
        <v>5</v>
      </c>
      <c r="X378" s="58" t="s">
        <v>66</v>
      </c>
      <c r="Y378" s="12">
        <f>+'Form20 '!F379</f>
        <v>0</v>
      </c>
      <c r="Z378" s="18">
        <v>6</v>
      </c>
      <c r="AA378" s="64" t="s">
        <v>67</v>
      </c>
      <c r="AB378" s="12">
        <f>+'Form20 '!G379</f>
        <v>0</v>
      </c>
      <c r="AC378" s="68">
        <v>7</v>
      </c>
      <c r="AD378" s="63" t="s">
        <v>68</v>
      </c>
      <c r="AE378" s="12">
        <f>+'Form20 '!H379</f>
        <v>0</v>
      </c>
      <c r="AF378" s="68">
        <v>8</v>
      </c>
      <c r="AG378" s="63" t="s">
        <v>69</v>
      </c>
      <c r="AH378" s="12">
        <f>+'Form20 '!I379</f>
        <v>0</v>
      </c>
      <c r="AI378" s="68">
        <v>9</v>
      </c>
      <c r="AJ378" s="65" t="s">
        <v>70</v>
      </c>
      <c r="AK378" s="12">
        <f>+'Form20 '!J379</f>
        <v>7</v>
      </c>
      <c r="AL378" s="68">
        <v>10</v>
      </c>
      <c r="AM378" s="66" t="s">
        <v>30</v>
      </c>
      <c r="AN378" s="12">
        <f>+'Form20 '!K379</f>
        <v>2</v>
      </c>
      <c r="AO378" s="18">
        <v>11</v>
      </c>
      <c r="AP378" s="66" t="s">
        <v>30</v>
      </c>
      <c r="AQ378" s="12">
        <f>+'Form20 '!L379</f>
        <v>0</v>
      </c>
      <c r="AR378" s="18">
        <v>12</v>
      </c>
      <c r="AS378" s="66" t="s">
        <v>30</v>
      </c>
      <c r="AT378" s="12">
        <f>+'Form20 '!M379</f>
        <v>0</v>
      </c>
      <c r="AU378" s="18">
        <v>13</v>
      </c>
      <c r="AV378" s="66" t="s">
        <v>30</v>
      </c>
      <c r="AW378" s="12">
        <f>+'Form20 '!N379</f>
        <v>1</v>
      </c>
      <c r="AX378" s="18">
        <v>14</v>
      </c>
      <c r="AY378" s="66" t="s">
        <v>30</v>
      </c>
      <c r="AZ378" s="12">
        <f>+'Form20 '!O379</f>
        <v>1</v>
      </c>
      <c r="BA378" s="75">
        <f t="shared" si="11"/>
        <v>397</v>
      </c>
    </row>
    <row r="379" spans="1:53" s="67" customFormat="1" ht="59.25" customHeight="1">
      <c r="A379" s="18">
        <v>333</v>
      </c>
      <c r="B379" s="59">
        <v>373</v>
      </c>
      <c r="C379" s="76" t="s">
        <v>446</v>
      </c>
      <c r="D379" s="61">
        <v>785</v>
      </c>
      <c r="E379" s="61">
        <v>249</v>
      </c>
      <c r="F379" s="61">
        <v>197</v>
      </c>
      <c r="G379" s="55">
        <v>0</v>
      </c>
      <c r="H379" s="62">
        <f t="shared" si="10"/>
        <v>446</v>
      </c>
      <c r="I379" s="55">
        <v>56</v>
      </c>
      <c r="J379" s="29">
        <v>0</v>
      </c>
      <c r="K379" s="68">
        <v>1</v>
      </c>
      <c r="L379" s="63" t="s">
        <v>29</v>
      </c>
      <c r="M379" s="12">
        <f>+'Form20 '!B380</f>
        <v>365</v>
      </c>
      <c r="N379" s="68">
        <v>2</v>
      </c>
      <c r="O379" s="58" t="s">
        <v>24</v>
      </c>
      <c r="P379" s="12">
        <f>+'Form20 '!C380</f>
        <v>15</v>
      </c>
      <c r="Q379" s="68">
        <v>3</v>
      </c>
      <c r="R379" s="63" t="s">
        <v>28</v>
      </c>
      <c r="S379" s="12">
        <f>+'Form20 '!D380</f>
        <v>57</v>
      </c>
      <c r="T379" s="68">
        <v>4</v>
      </c>
      <c r="U379" s="64" t="s">
        <v>65</v>
      </c>
      <c r="V379" s="12">
        <f>+'Form20 '!E380</f>
        <v>2</v>
      </c>
      <c r="W379" s="68">
        <v>5</v>
      </c>
      <c r="X379" s="58" t="s">
        <v>66</v>
      </c>
      <c r="Y379" s="12">
        <f>+'Form20 '!F380</f>
        <v>1</v>
      </c>
      <c r="Z379" s="18">
        <v>6</v>
      </c>
      <c r="AA379" s="64" t="s">
        <v>67</v>
      </c>
      <c r="AB379" s="12">
        <f>+'Form20 '!G380</f>
        <v>0</v>
      </c>
      <c r="AC379" s="68">
        <v>7</v>
      </c>
      <c r="AD379" s="63" t="s">
        <v>68</v>
      </c>
      <c r="AE379" s="12">
        <f>+'Form20 '!H380</f>
        <v>0</v>
      </c>
      <c r="AF379" s="68">
        <v>8</v>
      </c>
      <c r="AG379" s="63" t="s">
        <v>69</v>
      </c>
      <c r="AH379" s="12">
        <f>+'Form20 '!I380</f>
        <v>0</v>
      </c>
      <c r="AI379" s="68">
        <v>9</v>
      </c>
      <c r="AJ379" s="65" t="s">
        <v>70</v>
      </c>
      <c r="AK379" s="12">
        <f>+'Form20 '!J380</f>
        <v>1</v>
      </c>
      <c r="AL379" s="68">
        <v>10</v>
      </c>
      <c r="AM379" s="66" t="s">
        <v>30</v>
      </c>
      <c r="AN379" s="12">
        <f>+'Form20 '!K380</f>
        <v>0</v>
      </c>
      <c r="AO379" s="18">
        <v>11</v>
      </c>
      <c r="AP379" s="66" t="s">
        <v>30</v>
      </c>
      <c r="AQ379" s="12">
        <f>+'Form20 '!L380</f>
        <v>0</v>
      </c>
      <c r="AR379" s="18">
        <v>12</v>
      </c>
      <c r="AS379" s="66" t="s">
        <v>30</v>
      </c>
      <c r="AT379" s="12">
        <f>+'Form20 '!M380</f>
        <v>1</v>
      </c>
      <c r="AU379" s="18">
        <v>13</v>
      </c>
      <c r="AV379" s="66" t="s">
        <v>30</v>
      </c>
      <c r="AW379" s="12">
        <f>+'Form20 '!N380</f>
        <v>0</v>
      </c>
      <c r="AX379" s="18">
        <v>14</v>
      </c>
      <c r="AY379" s="66" t="s">
        <v>30</v>
      </c>
      <c r="AZ379" s="12">
        <f>+'Form20 '!O380</f>
        <v>3</v>
      </c>
      <c r="BA379" s="75">
        <f t="shared" si="11"/>
        <v>445</v>
      </c>
    </row>
    <row r="380" spans="1:53" s="67" customFormat="1" ht="59.25" customHeight="1">
      <c r="A380" s="18">
        <v>333</v>
      </c>
      <c r="B380" s="59">
        <v>374</v>
      </c>
      <c r="C380" s="76" t="s">
        <v>447</v>
      </c>
      <c r="D380" s="61">
        <v>1165</v>
      </c>
      <c r="E380" s="61">
        <v>418</v>
      </c>
      <c r="F380" s="61">
        <v>410</v>
      </c>
      <c r="G380" s="55">
        <v>0</v>
      </c>
      <c r="H380" s="62">
        <f t="shared" si="10"/>
        <v>828</v>
      </c>
      <c r="I380" s="55">
        <v>400</v>
      </c>
      <c r="J380" s="29">
        <v>0</v>
      </c>
      <c r="K380" s="68">
        <v>1</v>
      </c>
      <c r="L380" s="63" t="s">
        <v>29</v>
      </c>
      <c r="M380" s="12">
        <f>+'Form20 '!B381</f>
        <v>302</v>
      </c>
      <c r="N380" s="68">
        <v>2</v>
      </c>
      <c r="O380" s="58" t="s">
        <v>24</v>
      </c>
      <c r="P380" s="12">
        <f>+'Form20 '!C381</f>
        <v>51</v>
      </c>
      <c r="Q380" s="68">
        <v>3</v>
      </c>
      <c r="R380" s="63" t="s">
        <v>28</v>
      </c>
      <c r="S380" s="12">
        <f>+'Form20 '!D381</f>
        <v>439</v>
      </c>
      <c r="T380" s="68">
        <v>4</v>
      </c>
      <c r="U380" s="64" t="s">
        <v>65</v>
      </c>
      <c r="V380" s="12">
        <f>+'Form20 '!E381</f>
        <v>2</v>
      </c>
      <c r="W380" s="68">
        <v>5</v>
      </c>
      <c r="X380" s="58" t="s">
        <v>66</v>
      </c>
      <c r="Y380" s="12">
        <f>+'Form20 '!F381</f>
        <v>1</v>
      </c>
      <c r="Z380" s="18">
        <v>6</v>
      </c>
      <c r="AA380" s="64" t="s">
        <v>67</v>
      </c>
      <c r="AB380" s="12">
        <f>+'Form20 '!G381</f>
        <v>3</v>
      </c>
      <c r="AC380" s="68">
        <v>7</v>
      </c>
      <c r="AD380" s="63" t="s">
        <v>68</v>
      </c>
      <c r="AE380" s="12">
        <f>+'Form20 '!H381</f>
        <v>1</v>
      </c>
      <c r="AF380" s="68">
        <v>8</v>
      </c>
      <c r="AG380" s="63" t="s">
        <v>69</v>
      </c>
      <c r="AH380" s="12">
        <f>+'Form20 '!I381</f>
        <v>0</v>
      </c>
      <c r="AI380" s="68">
        <v>9</v>
      </c>
      <c r="AJ380" s="65" t="s">
        <v>70</v>
      </c>
      <c r="AK380" s="12">
        <f>+'Form20 '!J381</f>
        <v>11</v>
      </c>
      <c r="AL380" s="68">
        <v>10</v>
      </c>
      <c r="AM380" s="66" t="s">
        <v>30</v>
      </c>
      <c r="AN380" s="12">
        <f>+'Form20 '!K381</f>
        <v>1</v>
      </c>
      <c r="AO380" s="18">
        <v>11</v>
      </c>
      <c r="AP380" s="66" t="s">
        <v>30</v>
      </c>
      <c r="AQ380" s="12">
        <f>+'Form20 '!L381</f>
        <v>1</v>
      </c>
      <c r="AR380" s="18">
        <v>12</v>
      </c>
      <c r="AS380" s="66" t="s">
        <v>30</v>
      </c>
      <c r="AT380" s="12">
        <f>+'Form20 '!M381</f>
        <v>2</v>
      </c>
      <c r="AU380" s="18">
        <v>13</v>
      </c>
      <c r="AV380" s="66" t="s">
        <v>30</v>
      </c>
      <c r="AW380" s="12">
        <f>+'Form20 '!N381</f>
        <v>5</v>
      </c>
      <c r="AX380" s="18">
        <v>14</v>
      </c>
      <c r="AY380" s="66" t="s">
        <v>30</v>
      </c>
      <c r="AZ380" s="12">
        <f>+'Form20 '!O381</f>
        <v>4</v>
      </c>
      <c r="BA380" s="75">
        <f t="shared" si="11"/>
        <v>823</v>
      </c>
    </row>
    <row r="381" spans="1:53" s="67" customFormat="1" ht="59.25" customHeight="1">
      <c r="A381" s="18">
        <v>333</v>
      </c>
      <c r="B381" s="59">
        <v>375</v>
      </c>
      <c r="C381" s="76" t="s">
        <v>448</v>
      </c>
      <c r="D381" s="61">
        <v>742</v>
      </c>
      <c r="E381" s="61">
        <v>234</v>
      </c>
      <c r="F381" s="61">
        <v>223</v>
      </c>
      <c r="G381" s="55">
        <v>0</v>
      </c>
      <c r="H381" s="62">
        <f t="shared" si="10"/>
        <v>457</v>
      </c>
      <c r="I381" s="55">
        <v>72</v>
      </c>
      <c r="J381" s="29">
        <v>0</v>
      </c>
      <c r="K381" s="68">
        <v>1</v>
      </c>
      <c r="L381" s="63" t="s">
        <v>29</v>
      </c>
      <c r="M381" s="12">
        <f>+'Form20 '!B382</f>
        <v>237</v>
      </c>
      <c r="N381" s="68">
        <v>2</v>
      </c>
      <c r="O381" s="58" t="s">
        <v>24</v>
      </c>
      <c r="P381" s="12">
        <f>+'Form20 '!C382</f>
        <v>5</v>
      </c>
      <c r="Q381" s="68">
        <v>3</v>
      </c>
      <c r="R381" s="63" t="s">
        <v>28</v>
      </c>
      <c r="S381" s="12">
        <f>+'Form20 '!D382</f>
        <v>189</v>
      </c>
      <c r="T381" s="68">
        <v>4</v>
      </c>
      <c r="U381" s="64" t="s">
        <v>65</v>
      </c>
      <c r="V381" s="12">
        <f>+'Form20 '!E382</f>
        <v>2</v>
      </c>
      <c r="W381" s="68">
        <v>5</v>
      </c>
      <c r="X381" s="58" t="s">
        <v>66</v>
      </c>
      <c r="Y381" s="12">
        <f>+'Form20 '!F382</f>
        <v>0</v>
      </c>
      <c r="Z381" s="18">
        <v>6</v>
      </c>
      <c r="AA381" s="64" t="s">
        <v>67</v>
      </c>
      <c r="AB381" s="12">
        <f>+'Form20 '!G382</f>
        <v>0</v>
      </c>
      <c r="AC381" s="68">
        <v>7</v>
      </c>
      <c r="AD381" s="63" t="s">
        <v>68</v>
      </c>
      <c r="AE381" s="12">
        <f>+'Form20 '!H382</f>
        <v>1</v>
      </c>
      <c r="AF381" s="68">
        <v>8</v>
      </c>
      <c r="AG381" s="63" t="s">
        <v>69</v>
      </c>
      <c r="AH381" s="12">
        <f>+'Form20 '!I382</f>
        <v>0</v>
      </c>
      <c r="AI381" s="68">
        <v>9</v>
      </c>
      <c r="AJ381" s="65" t="s">
        <v>70</v>
      </c>
      <c r="AK381" s="12">
        <f>+'Form20 '!J382</f>
        <v>19</v>
      </c>
      <c r="AL381" s="68">
        <v>10</v>
      </c>
      <c r="AM381" s="66" t="s">
        <v>30</v>
      </c>
      <c r="AN381" s="12">
        <f>+'Form20 '!K382</f>
        <v>1</v>
      </c>
      <c r="AO381" s="18">
        <v>11</v>
      </c>
      <c r="AP381" s="66" t="s">
        <v>30</v>
      </c>
      <c r="AQ381" s="12">
        <f>+'Form20 '!L382</f>
        <v>1</v>
      </c>
      <c r="AR381" s="18">
        <v>12</v>
      </c>
      <c r="AS381" s="66" t="s">
        <v>30</v>
      </c>
      <c r="AT381" s="12">
        <f>+'Form20 '!M382</f>
        <v>0</v>
      </c>
      <c r="AU381" s="18">
        <v>13</v>
      </c>
      <c r="AV381" s="66" t="s">
        <v>30</v>
      </c>
      <c r="AW381" s="12">
        <f>+'Form20 '!N382</f>
        <v>0</v>
      </c>
      <c r="AX381" s="18">
        <v>14</v>
      </c>
      <c r="AY381" s="66" t="s">
        <v>30</v>
      </c>
      <c r="AZ381" s="12">
        <f>+'Form20 '!O382</f>
        <v>2</v>
      </c>
      <c r="BA381" s="75">
        <f t="shared" si="11"/>
        <v>457</v>
      </c>
    </row>
    <row r="382" spans="1:53" s="67" customFormat="1" ht="59.25" customHeight="1">
      <c r="A382" s="18">
        <v>333</v>
      </c>
      <c r="B382" s="59">
        <v>376</v>
      </c>
      <c r="C382" s="76" t="s">
        <v>449</v>
      </c>
      <c r="D382" s="61">
        <v>1082</v>
      </c>
      <c r="E382" s="61">
        <v>339</v>
      </c>
      <c r="F382" s="61">
        <v>350</v>
      </c>
      <c r="G382" s="55">
        <v>0</v>
      </c>
      <c r="H382" s="62">
        <f t="shared" si="10"/>
        <v>689</v>
      </c>
      <c r="I382" s="55">
        <v>124</v>
      </c>
      <c r="J382" s="29">
        <v>0</v>
      </c>
      <c r="K382" s="68">
        <v>1</v>
      </c>
      <c r="L382" s="63" t="s">
        <v>29</v>
      </c>
      <c r="M382" s="12">
        <f>+'Form20 '!B383</f>
        <v>332</v>
      </c>
      <c r="N382" s="68">
        <v>2</v>
      </c>
      <c r="O382" s="58" t="s">
        <v>24</v>
      </c>
      <c r="P382" s="12">
        <f>+'Form20 '!C383</f>
        <v>31</v>
      </c>
      <c r="Q382" s="68">
        <v>3</v>
      </c>
      <c r="R382" s="63" t="s">
        <v>28</v>
      </c>
      <c r="S382" s="12">
        <f>+'Form20 '!D383</f>
        <v>312</v>
      </c>
      <c r="T382" s="68">
        <v>4</v>
      </c>
      <c r="U382" s="64" t="s">
        <v>65</v>
      </c>
      <c r="V382" s="12">
        <f>+'Form20 '!E383</f>
        <v>4</v>
      </c>
      <c r="W382" s="68">
        <v>5</v>
      </c>
      <c r="X382" s="58" t="s">
        <v>66</v>
      </c>
      <c r="Y382" s="12">
        <f>+'Form20 '!F383</f>
        <v>0</v>
      </c>
      <c r="Z382" s="18">
        <v>6</v>
      </c>
      <c r="AA382" s="64" t="s">
        <v>67</v>
      </c>
      <c r="AB382" s="12">
        <f>+'Form20 '!G383</f>
        <v>0</v>
      </c>
      <c r="AC382" s="68">
        <v>7</v>
      </c>
      <c r="AD382" s="63" t="s">
        <v>68</v>
      </c>
      <c r="AE382" s="12">
        <f>+'Form20 '!H383</f>
        <v>0</v>
      </c>
      <c r="AF382" s="68">
        <v>8</v>
      </c>
      <c r="AG382" s="63" t="s">
        <v>69</v>
      </c>
      <c r="AH382" s="12">
        <f>+'Form20 '!I383</f>
        <v>0</v>
      </c>
      <c r="AI382" s="68">
        <v>9</v>
      </c>
      <c r="AJ382" s="65" t="s">
        <v>70</v>
      </c>
      <c r="AK382" s="12">
        <f>+'Form20 '!J383</f>
        <v>4</v>
      </c>
      <c r="AL382" s="68">
        <v>10</v>
      </c>
      <c r="AM382" s="66" t="s">
        <v>30</v>
      </c>
      <c r="AN382" s="12">
        <f>+'Form20 '!K383</f>
        <v>0</v>
      </c>
      <c r="AO382" s="18">
        <v>11</v>
      </c>
      <c r="AP382" s="66" t="s">
        <v>30</v>
      </c>
      <c r="AQ382" s="12">
        <f>+'Form20 '!L383</f>
        <v>1</v>
      </c>
      <c r="AR382" s="18">
        <v>12</v>
      </c>
      <c r="AS382" s="66" t="s">
        <v>30</v>
      </c>
      <c r="AT382" s="12">
        <f>+'Form20 '!M383</f>
        <v>0</v>
      </c>
      <c r="AU382" s="18">
        <v>13</v>
      </c>
      <c r="AV382" s="66" t="s">
        <v>30</v>
      </c>
      <c r="AW382" s="12">
        <f>+'Form20 '!N383</f>
        <v>2</v>
      </c>
      <c r="AX382" s="18">
        <v>14</v>
      </c>
      <c r="AY382" s="66" t="s">
        <v>30</v>
      </c>
      <c r="AZ382" s="12">
        <f>+'Form20 '!O383</f>
        <v>1</v>
      </c>
      <c r="BA382" s="75">
        <f t="shared" si="11"/>
        <v>687</v>
      </c>
    </row>
    <row r="383" spans="1:53" s="67" customFormat="1" ht="59.25" customHeight="1">
      <c r="A383" s="18">
        <v>333</v>
      </c>
      <c r="B383" s="59">
        <v>377</v>
      </c>
      <c r="C383" s="76" t="s">
        <v>450</v>
      </c>
      <c r="D383" s="61">
        <v>931</v>
      </c>
      <c r="E383" s="61">
        <v>245</v>
      </c>
      <c r="F383" s="61">
        <v>245</v>
      </c>
      <c r="G383" s="55">
        <v>0</v>
      </c>
      <c r="H383" s="62">
        <f t="shared" si="10"/>
        <v>490</v>
      </c>
      <c r="I383" s="55">
        <v>300</v>
      </c>
      <c r="J383" s="29">
        <v>0</v>
      </c>
      <c r="K383" s="68">
        <v>1</v>
      </c>
      <c r="L383" s="63" t="s">
        <v>29</v>
      </c>
      <c r="M383" s="12">
        <f>+'Form20 '!B384</f>
        <v>292</v>
      </c>
      <c r="N383" s="68">
        <v>2</v>
      </c>
      <c r="O383" s="58" t="s">
        <v>24</v>
      </c>
      <c r="P383" s="12">
        <f>+'Form20 '!C384</f>
        <v>15</v>
      </c>
      <c r="Q383" s="68">
        <v>3</v>
      </c>
      <c r="R383" s="63" t="s">
        <v>28</v>
      </c>
      <c r="S383" s="12">
        <f>+'Form20 '!D384</f>
        <v>167</v>
      </c>
      <c r="T383" s="68">
        <v>4</v>
      </c>
      <c r="U383" s="64" t="s">
        <v>65</v>
      </c>
      <c r="V383" s="12">
        <f>+'Form20 '!E384</f>
        <v>3</v>
      </c>
      <c r="W383" s="68">
        <v>5</v>
      </c>
      <c r="X383" s="58" t="s">
        <v>66</v>
      </c>
      <c r="Y383" s="12">
        <f>+'Form20 '!F384</f>
        <v>1</v>
      </c>
      <c r="Z383" s="18">
        <v>6</v>
      </c>
      <c r="AA383" s="64" t="s">
        <v>67</v>
      </c>
      <c r="AB383" s="12">
        <f>+'Form20 '!G384</f>
        <v>0</v>
      </c>
      <c r="AC383" s="68">
        <v>7</v>
      </c>
      <c r="AD383" s="63" t="s">
        <v>68</v>
      </c>
      <c r="AE383" s="12">
        <f>+'Form20 '!H384</f>
        <v>0</v>
      </c>
      <c r="AF383" s="68">
        <v>8</v>
      </c>
      <c r="AG383" s="63" t="s">
        <v>69</v>
      </c>
      <c r="AH383" s="12">
        <f>+'Form20 '!I384</f>
        <v>1</v>
      </c>
      <c r="AI383" s="68">
        <v>9</v>
      </c>
      <c r="AJ383" s="65" t="s">
        <v>70</v>
      </c>
      <c r="AK383" s="12">
        <f>+'Form20 '!J384</f>
        <v>9</v>
      </c>
      <c r="AL383" s="68">
        <v>10</v>
      </c>
      <c r="AM383" s="66" t="s">
        <v>30</v>
      </c>
      <c r="AN383" s="12">
        <f>+'Form20 '!K384</f>
        <v>0</v>
      </c>
      <c r="AO383" s="18">
        <v>11</v>
      </c>
      <c r="AP383" s="66" t="s">
        <v>30</v>
      </c>
      <c r="AQ383" s="12">
        <f>+'Form20 '!L384</f>
        <v>0</v>
      </c>
      <c r="AR383" s="18">
        <v>12</v>
      </c>
      <c r="AS383" s="66" t="s">
        <v>30</v>
      </c>
      <c r="AT383" s="12">
        <f>+'Form20 '!M384</f>
        <v>0</v>
      </c>
      <c r="AU383" s="18">
        <v>13</v>
      </c>
      <c r="AV383" s="66" t="s">
        <v>30</v>
      </c>
      <c r="AW383" s="12">
        <f>+'Form20 '!N384</f>
        <v>0</v>
      </c>
      <c r="AX383" s="18">
        <v>14</v>
      </c>
      <c r="AY383" s="66" t="s">
        <v>30</v>
      </c>
      <c r="AZ383" s="12">
        <f>+'Form20 '!O384</f>
        <v>0</v>
      </c>
      <c r="BA383" s="75">
        <f t="shared" si="11"/>
        <v>488</v>
      </c>
    </row>
    <row r="384" spans="1:53" s="67" customFormat="1" ht="59.25" customHeight="1">
      <c r="A384" s="18">
        <v>333</v>
      </c>
      <c r="B384" s="59">
        <v>378</v>
      </c>
      <c r="C384" s="76" t="s">
        <v>451</v>
      </c>
      <c r="D384" s="61">
        <v>1053</v>
      </c>
      <c r="E384" s="61">
        <v>286</v>
      </c>
      <c r="F384" s="61">
        <v>283</v>
      </c>
      <c r="G384" s="55">
        <v>0</v>
      </c>
      <c r="H384" s="62">
        <f t="shared" si="10"/>
        <v>569</v>
      </c>
      <c r="I384" s="55">
        <v>88</v>
      </c>
      <c r="J384" s="29">
        <v>0</v>
      </c>
      <c r="K384" s="68">
        <v>1</v>
      </c>
      <c r="L384" s="63" t="s">
        <v>29</v>
      </c>
      <c r="M384" s="12">
        <f>+'Form20 '!B385</f>
        <v>329</v>
      </c>
      <c r="N384" s="68">
        <v>2</v>
      </c>
      <c r="O384" s="58" t="s">
        <v>24</v>
      </c>
      <c r="P384" s="12">
        <f>+'Form20 '!C385</f>
        <v>65</v>
      </c>
      <c r="Q384" s="68">
        <v>3</v>
      </c>
      <c r="R384" s="63" t="s">
        <v>28</v>
      </c>
      <c r="S384" s="12">
        <f>+'Form20 '!D385</f>
        <v>156</v>
      </c>
      <c r="T384" s="68">
        <v>4</v>
      </c>
      <c r="U384" s="64" t="s">
        <v>65</v>
      </c>
      <c r="V384" s="12">
        <f>+'Form20 '!E385</f>
        <v>2</v>
      </c>
      <c r="W384" s="68">
        <v>5</v>
      </c>
      <c r="X384" s="58" t="s">
        <v>66</v>
      </c>
      <c r="Y384" s="12">
        <f>+'Form20 '!F385</f>
        <v>0</v>
      </c>
      <c r="Z384" s="18">
        <v>6</v>
      </c>
      <c r="AA384" s="64" t="s">
        <v>67</v>
      </c>
      <c r="AB384" s="12">
        <f>+'Form20 '!G385</f>
        <v>1</v>
      </c>
      <c r="AC384" s="68">
        <v>7</v>
      </c>
      <c r="AD384" s="63" t="s">
        <v>68</v>
      </c>
      <c r="AE384" s="12">
        <f>+'Form20 '!H385</f>
        <v>0</v>
      </c>
      <c r="AF384" s="68">
        <v>8</v>
      </c>
      <c r="AG384" s="63" t="s">
        <v>69</v>
      </c>
      <c r="AH384" s="12">
        <f>+'Form20 '!I385</f>
        <v>0</v>
      </c>
      <c r="AI384" s="68">
        <v>9</v>
      </c>
      <c r="AJ384" s="65" t="s">
        <v>70</v>
      </c>
      <c r="AK384" s="12">
        <f>+'Form20 '!J385</f>
        <v>3</v>
      </c>
      <c r="AL384" s="68">
        <v>10</v>
      </c>
      <c r="AM384" s="66" t="s">
        <v>30</v>
      </c>
      <c r="AN384" s="12">
        <f>+'Form20 '!K385</f>
        <v>2</v>
      </c>
      <c r="AO384" s="18">
        <v>11</v>
      </c>
      <c r="AP384" s="66" t="s">
        <v>30</v>
      </c>
      <c r="AQ384" s="12">
        <f>+'Form20 '!L385</f>
        <v>1</v>
      </c>
      <c r="AR384" s="18">
        <v>12</v>
      </c>
      <c r="AS384" s="66" t="s">
        <v>30</v>
      </c>
      <c r="AT384" s="12">
        <f>+'Form20 '!M385</f>
        <v>4</v>
      </c>
      <c r="AU384" s="18">
        <v>13</v>
      </c>
      <c r="AV384" s="66" t="s">
        <v>30</v>
      </c>
      <c r="AW384" s="12">
        <f>+'Form20 '!N385</f>
        <v>2</v>
      </c>
      <c r="AX384" s="18">
        <v>14</v>
      </c>
      <c r="AY384" s="66" t="s">
        <v>30</v>
      </c>
      <c r="AZ384" s="12">
        <f>+'Form20 '!O385</f>
        <v>2</v>
      </c>
      <c r="BA384" s="75">
        <f t="shared" si="11"/>
        <v>567</v>
      </c>
    </row>
    <row r="385" spans="1:53" s="67" customFormat="1" ht="59.25" customHeight="1">
      <c r="A385" s="18">
        <v>333</v>
      </c>
      <c r="B385" s="59">
        <v>379</v>
      </c>
      <c r="C385" s="76" t="s">
        <v>452</v>
      </c>
      <c r="D385" s="61">
        <v>739</v>
      </c>
      <c r="E385" s="61">
        <v>168</v>
      </c>
      <c r="F385" s="61">
        <v>173</v>
      </c>
      <c r="G385" s="55">
        <v>0</v>
      </c>
      <c r="H385" s="62">
        <f t="shared" si="10"/>
        <v>341</v>
      </c>
      <c r="I385" s="55">
        <v>51</v>
      </c>
      <c r="J385" s="29">
        <v>0</v>
      </c>
      <c r="K385" s="68">
        <v>1</v>
      </c>
      <c r="L385" s="63" t="s">
        <v>29</v>
      </c>
      <c r="M385" s="12">
        <f>+'Form20 '!B386</f>
        <v>285</v>
      </c>
      <c r="N385" s="68">
        <v>2</v>
      </c>
      <c r="O385" s="58" t="s">
        <v>24</v>
      </c>
      <c r="P385" s="12">
        <f>+'Form20 '!C386</f>
        <v>4</v>
      </c>
      <c r="Q385" s="68">
        <v>3</v>
      </c>
      <c r="R385" s="63" t="s">
        <v>28</v>
      </c>
      <c r="S385" s="12">
        <f>+'Form20 '!D386</f>
        <v>44</v>
      </c>
      <c r="T385" s="68">
        <v>4</v>
      </c>
      <c r="U385" s="64" t="s">
        <v>65</v>
      </c>
      <c r="V385" s="12">
        <f>+'Form20 '!E386</f>
        <v>3</v>
      </c>
      <c r="W385" s="68">
        <v>5</v>
      </c>
      <c r="X385" s="58" t="s">
        <v>66</v>
      </c>
      <c r="Y385" s="12">
        <f>+'Form20 '!F386</f>
        <v>0</v>
      </c>
      <c r="Z385" s="18">
        <v>6</v>
      </c>
      <c r="AA385" s="64" t="s">
        <v>67</v>
      </c>
      <c r="AB385" s="12">
        <f>+'Form20 '!G386</f>
        <v>0</v>
      </c>
      <c r="AC385" s="68">
        <v>7</v>
      </c>
      <c r="AD385" s="63" t="s">
        <v>68</v>
      </c>
      <c r="AE385" s="12">
        <f>+'Form20 '!H386</f>
        <v>0</v>
      </c>
      <c r="AF385" s="68">
        <v>8</v>
      </c>
      <c r="AG385" s="63" t="s">
        <v>69</v>
      </c>
      <c r="AH385" s="12">
        <f>+'Form20 '!I386</f>
        <v>0</v>
      </c>
      <c r="AI385" s="68">
        <v>9</v>
      </c>
      <c r="AJ385" s="65" t="s">
        <v>70</v>
      </c>
      <c r="AK385" s="12">
        <f>+'Form20 '!J386</f>
        <v>0</v>
      </c>
      <c r="AL385" s="68">
        <v>10</v>
      </c>
      <c r="AM385" s="66" t="s">
        <v>30</v>
      </c>
      <c r="AN385" s="12">
        <f>+'Form20 '!K386</f>
        <v>2</v>
      </c>
      <c r="AO385" s="18">
        <v>11</v>
      </c>
      <c r="AP385" s="66" t="s">
        <v>30</v>
      </c>
      <c r="AQ385" s="12">
        <f>+'Form20 '!L386</f>
        <v>0</v>
      </c>
      <c r="AR385" s="18">
        <v>12</v>
      </c>
      <c r="AS385" s="66" t="s">
        <v>30</v>
      </c>
      <c r="AT385" s="12">
        <f>+'Form20 '!M386</f>
        <v>0</v>
      </c>
      <c r="AU385" s="18">
        <v>13</v>
      </c>
      <c r="AV385" s="66" t="s">
        <v>30</v>
      </c>
      <c r="AW385" s="12">
        <f>+'Form20 '!N386</f>
        <v>1</v>
      </c>
      <c r="AX385" s="18">
        <v>14</v>
      </c>
      <c r="AY385" s="66" t="s">
        <v>30</v>
      </c>
      <c r="AZ385" s="12">
        <f>+'Form20 '!O386</f>
        <v>0</v>
      </c>
      <c r="BA385" s="75">
        <f t="shared" si="11"/>
        <v>339</v>
      </c>
    </row>
    <row r="386" spans="1:53" s="67" customFormat="1" ht="59.25" customHeight="1">
      <c r="A386" s="18">
        <v>333</v>
      </c>
      <c r="B386" s="59">
        <v>380</v>
      </c>
      <c r="C386" s="76" t="s">
        <v>453</v>
      </c>
      <c r="D386" s="61">
        <v>785</v>
      </c>
      <c r="E386" s="61">
        <v>157</v>
      </c>
      <c r="F386" s="61">
        <v>143</v>
      </c>
      <c r="G386" s="55">
        <v>0</v>
      </c>
      <c r="H386" s="62">
        <f t="shared" si="10"/>
        <v>300</v>
      </c>
      <c r="I386" s="55">
        <v>64</v>
      </c>
      <c r="J386" s="29">
        <v>0</v>
      </c>
      <c r="K386" s="68">
        <v>1</v>
      </c>
      <c r="L386" s="63" t="s">
        <v>29</v>
      </c>
      <c r="M386" s="12">
        <f>+'Form20 '!B387</f>
        <v>207</v>
      </c>
      <c r="N386" s="68">
        <v>2</v>
      </c>
      <c r="O386" s="58" t="s">
        <v>24</v>
      </c>
      <c r="P386" s="12">
        <f>+'Form20 '!C387</f>
        <v>10</v>
      </c>
      <c r="Q386" s="68">
        <v>3</v>
      </c>
      <c r="R386" s="63" t="s">
        <v>28</v>
      </c>
      <c r="S386" s="12">
        <f>+'Form20 '!D387</f>
        <v>54</v>
      </c>
      <c r="T386" s="68">
        <v>4</v>
      </c>
      <c r="U386" s="64" t="s">
        <v>65</v>
      </c>
      <c r="V386" s="12">
        <f>+'Form20 '!E387</f>
        <v>23</v>
      </c>
      <c r="W386" s="68">
        <v>5</v>
      </c>
      <c r="X386" s="58" t="s">
        <v>66</v>
      </c>
      <c r="Y386" s="12">
        <f>+'Form20 '!F387</f>
        <v>0</v>
      </c>
      <c r="Z386" s="18">
        <v>6</v>
      </c>
      <c r="AA386" s="64" t="s">
        <v>67</v>
      </c>
      <c r="AB386" s="12">
        <f>+'Form20 '!G387</f>
        <v>0</v>
      </c>
      <c r="AC386" s="68">
        <v>7</v>
      </c>
      <c r="AD386" s="63" t="s">
        <v>68</v>
      </c>
      <c r="AE386" s="12">
        <f>+'Form20 '!H387</f>
        <v>0</v>
      </c>
      <c r="AF386" s="68">
        <v>8</v>
      </c>
      <c r="AG386" s="63" t="s">
        <v>69</v>
      </c>
      <c r="AH386" s="12">
        <f>+'Form20 '!I387</f>
        <v>1</v>
      </c>
      <c r="AI386" s="68">
        <v>9</v>
      </c>
      <c r="AJ386" s="65" t="s">
        <v>70</v>
      </c>
      <c r="AK386" s="12">
        <f>+'Form20 '!J387</f>
        <v>2</v>
      </c>
      <c r="AL386" s="68">
        <v>10</v>
      </c>
      <c r="AM386" s="66" t="s">
        <v>30</v>
      </c>
      <c r="AN386" s="12">
        <f>+'Form20 '!K387</f>
        <v>0</v>
      </c>
      <c r="AO386" s="18">
        <v>11</v>
      </c>
      <c r="AP386" s="66" t="s">
        <v>30</v>
      </c>
      <c r="AQ386" s="12">
        <f>+'Form20 '!L387</f>
        <v>0</v>
      </c>
      <c r="AR386" s="18">
        <v>12</v>
      </c>
      <c r="AS386" s="66" t="s">
        <v>30</v>
      </c>
      <c r="AT386" s="12">
        <f>+'Form20 '!M387</f>
        <v>0</v>
      </c>
      <c r="AU386" s="18">
        <v>13</v>
      </c>
      <c r="AV386" s="66" t="s">
        <v>30</v>
      </c>
      <c r="AW386" s="12">
        <f>+'Form20 '!N387</f>
        <v>1</v>
      </c>
      <c r="AX386" s="18">
        <v>14</v>
      </c>
      <c r="AY386" s="66" t="s">
        <v>30</v>
      </c>
      <c r="AZ386" s="12">
        <f>+'Form20 '!O387</f>
        <v>0</v>
      </c>
      <c r="BA386" s="75">
        <f t="shared" si="11"/>
        <v>298</v>
      </c>
    </row>
    <row r="387" spans="1:53" s="67" customFormat="1" ht="59.25" customHeight="1">
      <c r="A387" s="18">
        <v>333</v>
      </c>
      <c r="B387" s="59">
        <v>381</v>
      </c>
      <c r="C387" s="76" t="s">
        <v>454</v>
      </c>
      <c r="D387" s="61">
        <v>417</v>
      </c>
      <c r="E387" s="61">
        <v>94</v>
      </c>
      <c r="F387" s="61">
        <v>122</v>
      </c>
      <c r="G387" s="55">
        <v>0</v>
      </c>
      <c r="H387" s="62">
        <f t="shared" si="10"/>
        <v>216</v>
      </c>
      <c r="I387" s="55">
        <v>28</v>
      </c>
      <c r="J387" s="29">
        <v>0</v>
      </c>
      <c r="K387" s="68">
        <v>1</v>
      </c>
      <c r="L387" s="63" t="s">
        <v>29</v>
      </c>
      <c r="M387" s="12">
        <f>+'Form20 '!B388</f>
        <v>136</v>
      </c>
      <c r="N387" s="68">
        <v>2</v>
      </c>
      <c r="O387" s="58" t="s">
        <v>24</v>
      </c>
      <c r="P387" s="12">
        <f>+'Form20 '!C388</f>
        <v>1</v>
      </c>
      <c r="Q387" s="68">
        <v>3</v>
      </c>
      <c r="R387" s="63" t="s">
        <v>28</v>
      </c>
      <c r="S387" s="12">
        <f>+'Form20 '!D388</f>
        <v>78</v>
      </c>
      <c r="T387" s="68">
        <v>4</v>
      </c>
      <c r="U387" s="64" t="s">
        <v>65</v>
      </c>
      <c r="V387" s="12">
        <f>+'Form20 '!E388</f>
        <v>0</v>
      </c>
      <c r="W387" s="68">
        <v>5</v>
      </c>
      <c r="X387" s="58" t="s">
        <v>66</v>
      </c>
      <c r="Y387" s="12">
        <f>+'Form20 '!F388</f>
        <v>0</v>
      </c>
      <c r="Z387" s="18">
        <v>6</v>
      </c>
      <c r="AA387" s="64" t="s">
        <v>67</v>
      </c>
      <c r="AB387" s="12">
        <f>+'Form20 '!G388</f>
        <v>0</v>
      </c>
      <c r="AC387" s="68">
        <v>7</v>
      </c>
      <c r="AD387" s="63" t="s">
        <v>68</v>
      </c>
      <c r="AE387" s="12">
        <f>+'Form20 '!H388</f>
        <v>0</v>
      </c>
      <c r="AF387" s="68">
        <v>8</v>
      </c>
      <c r="AG387" s="63" t="s">
        <v>69</v>
      </c>
      <c r="AH387" s="12">
        <f>+'Form20 '!I388</f>
        <v>1</v>
      </c>
      <c r="AI387" s="68">
        <v>9</v>
      </c>
      <c r="AJ387" s="65" t="s">
        <v>70</v>
      </c>
      <c r="AK387" s="12">
        <f>+'Form20 '!J388</f>
        <v>0</v>
      </c>
      <c r="AL387" s="68">
        <v>10</v>
      </c>
      <c r="AM387" s="66" t="s">
        <v>30</v>
      </c>
      <c r="AN387" s="12">
        <f>+'Form20 '!K388</f>
        <v>0</v>
      </c>
      <c r="AO387" s="18">
        <v>11</v>
      </c>
      <c r="AP387" s="66" t="s">
        <v>30</v>
      </c>
      <c r="AQ387" s="12">
        <f>+'Form20 '!L388</f>
        <v>0</v>
      </c>
      <c r="AR387" s="18">
        <v>12</v>
      </c>
      <c r="AS387" s="66" t="s">
        <v>30</v>
      </c>
      <c r="AT387" s="12">
        <f>+'Form20 '!M388</f>
        <v>0</v>
      </c>
      <c r="AU387" s="18">
        <v>13</v>
      </c>
      <c r="AV387" s="66" t="s">
        <v>30</v>
      </c>
      <c r="AW387" s="12">
        <f>+'Form20 '!N388</f>
        <v>0</v>
      </c>
      <c r="AX387" s="18">
        <v>14</v>
      </c>
      <c r="AY387" s="66" t="s">
        <v>30</v>
      </c>
      <c r="AZ387" s="12">
        <f>+'Form20 '!O388</f>
        <v>0</v>
      </c>
      <c r="BA387" s="75">
        <f t="shared" si="11"/>
        <v>216</v>
      </c>
    </row>
    <row r="388" spans="1:53" s="67" customFormat="1" ht="59.25" customHeight="1">
      <c r="A388" s="18">
        <v>333</v>
      </c>
      <c r="B388" s="59">
        <v>382</v>
      </c>
      <c r="C388" s="76" t="s">
        <v>455</v>
      </c>
      <c r="D388" s="61">
        <v>1073</v>
      </c>
      <c r="E388" s="61">
        <v>294</v>
      </c>
      <c r="F388" s="61">
        <v>422</v>
      </c>
      <c r="G388" s="55">
        <v>0</v>
      </c>
      <c r="H388" s="62">
        <f t="shared" si="10"/>
        <v>716</v>
      </c>
      <c r="I388" s="55">
        <v>44</v>
      </c>
      <c r="J388" s="29">
        <v>0</v>
      </c>
      <c r="K388" s="68">
        <v>1</v>
      </c>
      <c r="L388" s="63" t="s">
        <v>29</v>
      </c>
      <c r="M388" s="12">
        <f>+'Form20 '!B389</f>
        <v>519</v>
      </c>
      <c r="N388" s="68">
        <v>2</v>
      </c>
      <c r="O388" s="58" t="s">
        <v>24</v>
      </c>
      <c r="P388" s="12">
        <f>+'Form20 '!C389</f>
        <v>10</v>
      </c>
      <c r="Q388" s="68">
        <v>3</v>
      </c>
      <c r="R388" s="63" t="s">
        <v>28</v>
      </c>
      <c r="S388" s="12">
        <f>+'Form20 '!D389</f>
        <v>162</v>
      </c>
      <c r="T388" s="68">
        <v>4</v>
      </c>
      <c r="U388" s="64" t="s">
        <v>65</v>
      </c>
      <c r="V388" s="12">
        <f>+'Form20 '!E389</f>
        <v>6</v>
      </c>
      <c r="W388" s="68">
        <v>5</v>
      </c>
      <c r="X388" s="58" t="s">
        <v>66</v>
      </c>
      <c r="Y388" s="12">
        <f>+'Form20 '!F389</f>
        <v>0</v>
      </c>
      <c r="Z388" s="18">
        <v>6</v>
      </c>
      <c r="AA388" s="64" t="s">
        <v>67</v>
      </c>
      <c r="AB388" s="12">
        <f>+'Form20 '!G389</f>
        <v>0</v>
      </c>
      <c r="AC388" s="68">
        <v>7</v>
      </c>
      <c r="AD388" s="63" t="s">
        <v>68</v>
      </c>
      <c r="AE388" s="12">
        <f>+'Form20 '!H389</f>
        <v>1</v>
      </c>
      <c r="AF388" s="68">
        <v>8</v>
      </c>
      <c r="AG388" s="63" t="s">
        <v>69</v>
      </c>
      <c r="AH388" s="12">
        <f>+'Form20 '!I389</f>
        <v>2</v>
      </c>
      <c r="AI388" s="68">
        <v>9</v>
      </c>
      <c r="AJ388" s="65" t="s">
        <v>70</v>
      </c>
      <c r="AK388" s="12">
        <f>+'Form20 '!J389</f>
        <v>0</v>
      </c>
      <c r="AL388" s="68">
        <v>10</v>
      </c>
      <c r="AM388" s="66" t="s">
        <v>30</v>
      </c>
      <c r="AN388" s="12">
        <f>+'Form20 '!K389</f>
        <v>2</v>
      </c>
      <c r="AO388" s="18">
        <v>11</v>
      </c>
      <c r="AP388" s="66" t="s">
        <v>30</v>
      </c>
      <c r="AQ388" s="12">
        <f>+'Form20 '!L389</f>
        <v>0</v>
      </c>
      <c r="AR388" s="18">
        <v>12</v>
      </c>
      <c r="AS388" s="66" t="s">
        <v>30</v>
      </c>
      <c r="AT388" s="12">
        <f>+'Form20 '!M389</f>
        <v>0</v>
      </c>
      <c r="AU388" s="18">
        <v>13</v>
      </c>
      <c r="AV388" s="66" t="s">
        <v>30</v>
      </c>
      <c r="AW388" s="12">
        <f>+'Form20 '!N389</f>
        <v>2</v>
      </c>
      <c r="AX388" s="18">
        <v>14</v>
      </c>
      <c r="AY388" s="66" t="s">
        <v>30</v>
      </c>
      <c r="AZ388" s="12">
        <f>+'Form20 '!O389</f>
        <v>2</v>
      </c>
      <c r="BA388" s="75">
        <f t="shared" si="11"/>
        <v>706</v>
      </c>
    </row>
    <row r="389" spans="1:53" s="67" customFormat="1" ht="59.25" customHeight="1">
      <c r="A389" s="18">
        <v>333</v>
      </c>
      <c r="B389" s="59">
        <v>383</v>
      </c>
      <c r="C389" s="76" t="s">
        <v>456</v>
      </c>
      <c r="D389" s="61">
        <v>1153</v>
      </c>
      <c r="E389" s="61">
        <v>337</v>
      </c>
      <c r="F389" s="61">
        <v>412</v>
      </c>
      <c r="G389" s="55">
        <v>0</v>
      </c>
      <c r="H389" s="62">
        <f t="shared" si="10"/>
        <v>749</v>
      </c>
      <c r="I389" s="55">
        <v>20</v>
      </c>
      <c r="J389" s="29">
        <v>0</v>
      </c>
      <c r="K389" s="68">
        <v>1</v>
      </c>
      <c r="L389" s="63" t="s">
        <v>29</v>
      </c>
      <c r="M389" s="12">
        <f>+'Form20 '!B390</f>
        <v>483</v>
      </c>
      <c r="N389" s="68">
        <v>2</v>
      </c>
      <c r="O389" s="58" t="s">
        <v>24</v>
      </c>
      <c r="P389" s="12">
        <f>+'Form20 '!C390</f>
        <v>12</v>
      </c>
      <c r="Q389" s="68">
        <v>3</v>
      </c>
      <c r="R389" s="63" t="s">
        <v>28</v>
      </c>
      <c r="S389" s="12">
        <f>+'Form20 '!D390</f>
        <v>225</v>
      </c>
      <c r="T389" s="68">
        <v>4</v>
      </c>
      <c r="U389" s="64" t="s">
        <v>65</v>
      </c>
      <c r="V389" s="12">
        <f>+'Form20 '!E390</f>
        <v>4</v>
      </c>
      <c r="W389" s="68">
        <v>5</v>
      </c>
      <c r="X389" s="58" t="s">
        <v>66</v>
      </c>
      <c r="Y389" s="12">
        <f>+'Form20 '!F390</f>
        <v>1</v>
      </c>
      <c r="Z389" s="18">
        <v>6</v>
      </c>
      <c r="AA389" s="64" t="s">
        <v>67</v>
      </c>
      <c r="AB389" s="12">
        <f>+'Form20 '!G390</f>
        <v>0</v>
      </c>
      <c r="AC389" s="68">
        <v>7</v>
      </c>
      <c r="AD389" s="63" t="s">
        <v>68</v>
      </c>
      <c r="AE389" s="12">
        <f>+'Form20 '!H390</f>
        <v>2</v>
      </c>
      <c r="AF389" s="68">
        <v>8</v>
      </c>
      <c r="AG389" s="63" t="s">
        <v>69</v>
      </c>
      <c r="AH389" s="12">
        <f>+'Form20 '!I390</f>
        <v>2</v>
      </c>
      <c r="AI389" s="68">
        <v>9</v>
      </c>
      <c r="AJ389" s="65" t="s">
        <v>70</v>
      </c>
      <c r="AK389" s="12">
        <f>+'Form20 '!J390</f>
        <v>5</v>
      </c>
      <c r="AL389" s="68">
        <v>10</v>
      </c>
      <c r="AM389" s="66" t="s">
        <v>30</v>
      </c>
      <c r="AN389" s="12">
        <f>+'Form20 '!K390</f>
        <v>2</v>
      </c>
      <c r="AO389" s="18">
        <v>11</v>
      </c>
      <c r="AP389" s="66" t="s">
        <v>30</v>
      </c>
      <c r="AQ389" s="12">
        <f>+'Form20 '!L390</f>
        <v>2</v>
      </c>
      <c r="AR389" s="18">
        <v>12</v>
      </c>
      <c r="AS389" s="66" t="s">
        <v>30</v>
      </c>
      <c r="AT389" s="12">
        <f>+'Form20 '!M390</f>
        <v>1</v>
      </c>
      <c r="AU389" s="18">
        <v>13</v>
      </c>
      <c r="AV389" s="66" t="s">
        <v>30</v>
      </c>
      <c r="AW389" s="12">
        <f>+'Form20 '!N390</f>
        <v>1</v>
      </c>
      <c r="AX389" s="18">
        <v>14</v>
      </c>
      <c r="AY389" s="66" t="s">
        <v>30</v>
      </c>
      <c r="AZ389" s="12">
        <f>+'Form20 '!O390</f>
        <v>2</v>
      </c>
      <c r="BA389" s="75">
        <f t="shared" si="11"/>
        <v>742</v>
      </c>
    </row>
    <row r="390" spans="1:53" s="67" customFormat="1" ht="59.25" customHeight="1">
      <c r="A390" s="18">
        <v>333</v>
      </c>
      <c r="B390" s="59">
        <v>384</v>
      </c>
      <c r="C390" s="76" t="s">
        <v>457</v>
      </c>
      <c r="D390" s="61">
        <v>717</v>
      </c>
      <c r="E390" s="61">
        <v>222</v>
      </c>
      <c r="F390" s="61">
        <v>245</v>
      </c>
      <c r="G390" s="55">
        <v>0</v>
      </c>
      <c r="H390" s="62">
        <f t="shared" si="10"/>
        <v>467</v>
      </c>
      <c r="I390" s="55">
        <v>154</v>
      </c>
      <c r="J390" s="29">
        <v>0</v>
      </c>
      <c r="K390" s="68">
        <v>1</v>
      </c>
      <c r="L390" s="63" t="s">
        <v>29</v>
      </c>
      <c r="M390" s="12">
        <f>+'Form20 '!B391</f>
        <v>166</v>
      </c>
      <c r="N390" s="68">
        <v>2</v>
      </c>
      <c r="O390" s="58" t="s">
        <v>24</v>
      </c>
      <c r="P390" s="12">
        <f>+'Form20 '!C391</f>
        <v>64</v>
      </c>
      <c r="Q390" s="68">
        <v>3</v>
      </c>
      <c r="R390" s="63" t="s">
        <v>28</v>
      </c>
      <c r="S390" s="12">
        <f>+'Form20 '!D391</f>
        <v>212</v>
      </c>
      <c r="T390" s="68">
        <v>4</v>
      </c>
      <c r="U390" s="64" t="s">
        <v>65</v>
      </c>
      <c r="V390" s="12">
        <f>+'Form20 '!E391</f>
        <v>5</v>
      </c>
      <c r="W390" s="68">
        <v>5</v>
      </c>
      <c r="X390" s="58" t="s">
        <v>66</v>
      </c>
      <c r="Y390" s="12">
        <f>+'Form20 '!F391</f>
        <v>0</v>
      </c>
      <c r="Z390" s="18">
        <v>6</v>
      </c>
      <c r="AA390" s="64" t="s">
        <v>67</v>
      </c>
      <c r="AB390" s="12">
        <f>+'Form20 '!G391</f>
        <v>0</v>
      </c>
      <c r="AC390" s="68">
        <v>7</v>
      </c>
      <c r="AD390" s="63" t="s">
        <v>68</v>
      </c>
      <c r="AE390" s="12">
        <f>+'Form20 '!H391</f>
        <v>1</v>
      </c>
      <c r="AF390" s="68">
        <v>8</v>
      </c>
      <c r="AG390" s="63" t="s">
        <v>69</v>
      </c>
      <c r="AH390" s="12">
        <f>+'Form20 '!I391</f>
        <v>3</v>
      </c>
      <c r="AI390" s="68">
        <v>9</v>
      </c>
      <c r="AJ390" s="65" t="s">
        <v>70</v>
      </c>
      <c r="AK390" s="12">
        <f>+'Form20 '!J391</f>
        <v>4</v>
      </c>
      <c r="AL390" s="68">
        <v>10</v>
      </c>
      <c r="AM390" s="66" t="s">
        <v>30</v>
      </c>
      <c r="AN390" s="12">
        <f>+'Form20 '!K391</f>
        <v>0</v>
      </c>
      <c r="AO390" s="18">
        <v>11</v>
      </c>
      <c r="AP390" s="66" t="s">
        <v>30</v>
      </c>
      <c r="AQ390" s="12">
        <f>+'Form20 '!L391</f>
        <v>1</v>
      </c>
      <c r="AR390" s="18">
        <v>12</v>
      </c>
      <c r="AS390" s="66" t="s">
        <v>30</v>
      </c>
      <c r="AT390" s="12">
        <f>+'Form20 '!M391</f>
        <v>4</v>
      </c>
      <c r="AU390" s="18">
        <v>13</v>
      </c>
      <c r="AV390" s="66" t="s">
        <v>30</v>
      </c>
      <c r="AW390" s="12">
        <f>+'Form20 '!N391</f>
        <v>3</v>
      </c>
      <c r="AX390" s="18">
        <v>14</v>
      </c>
      <c r="AY390" s="66" t="s">
        <v>30</v>
      </c>
      <c r="AZ390" s="12">
        <f>+'Form20 '!O391</f>
        <v>3</v>
      </c>
      <c r="BA390" s="75">
        <f t="shared" si="11"/>
        <v>466</v>
      </c>
    </row>
    <row r="391" spans="1:53" s="67" customFormat="1" ht="59.25" customHeight="1">
      <c r="A391" s="18">
        <v>333</v>
      </c>
      <c r="B391" s="59">
        <v>385</v>
      </c>
      <c r="C391" s="76" t="s">
        <v>458</v>
      </c>
      <c r="D391" s="61">
        <v>742</v>
      </c>
      <c r="E391" s="61">
        <v>227</v>
      </c>
      <c r="F391" s="61">
        <v>254</v>
      </c>
      <c r="G391" s="55">
        <v>0</v>
      </c>
      <c r="H391" s="62">
        <f t="shared" si="10"/>
        <v>481</v>
      </c>
      <c r="I391" s="55">
        <v>43</v>
      </c>
      <c r="J391" s="29">
        <v>0</v>
      </c>
      <c r="K391" s="68">
        <v>1</v>
      </c>
      <c r="L391" s="63" t="s">
        <v>29</v>
      </c>
      <c r="M391" s="12">
        <f>+'Form20 '!B392</f>
        <v>179</v>
      </c>
      <c r="N391" s="68">
        <v>2</v>
      </c>
      <c r="O391" s="58" t="s">
        <v>24</v>
      </c>
      <c r="P391" s="12">
        <f>+'Form20 '!C392</f>
        <v>3</v>
      </c>
      <c r="Q391" s="68">
        <v>3</v>
      </c>
      <c r="R391" s="63" t="s">
        <v>28</v>
      </c>
      <c r="S391" s="12">
        <f>+'Form20 '!D392</f>
        <v>280</v>
      </c>
      <c r="T391" s="68">
        <v>4</v>
      </c>
      <c r="U391" s="64" t="s">
        <v>65</v>
      </c>
      <c r="V391" s="12">
        <f>+'Form20 '!E392</f>
        <v>1</v>
      </c>
      <c r="W391" s="68">
        <v>5</v>
      </c>
      <c r="X391" s="58" t="s">
        <v>66</v>
      </c>
      <c r="Y391" s="12">
        <f>+'Form20 '!F392</f>
        <v>2</v>
      </c>
      <c r="Z391" s="18">
        <v>6</v>
      </c>
      <c r="AA391" s="64" t="s">
        <v>67</v>
      </c>
      <c r="AB391" s="12">
        <f>+'Form20 '!G392</f>
        <v>0</v>
      </c>
      <c r="AC391" s="68">
        <v>7</v>
      </c>
      <c r="AD391" s="63" t="s">
        <v>68</v>
      </c>
      <c r="AE391" s="12">
        <f>+'Form20 '!H392</f>
        <v>0</v>
      </c>
      <c r="AF391" s="68">
        <v>8</v>
      </c>
      <c r="AG391" s="63" t="s">
        <v>69</v>
      </c>
      <c r="AH391" s="12">
        <f>+'Form20 '!I392</f>
        <v>7</v>
      </c>
      <c r="AI391" s="68">
        <v>9</v>
      </c>
      <c r="AJ391" s="65" t="s">
        <v>70</v>
      </c>
      <c r="AK391" s="12">
        <f>+'Form20 '!J392</f>
        <v>2</v>
      </c>
      <c r="AL391" s="68">
        <v>10</v>
      </c>
      <c r="AM391" s="66" t="s">
        <v>30</v>
      </c>
      <c r="AN391" s="12">
        <f>+'Form20 '!K392</f>
        <v>0</v>
      </c>
      <c r="AO391" s="18">
        <v>11</v>
      </c>
      <c r="AP391" s="66" t="s">
        <v>30</v>
      </c>
      <c r="AQ391" s="12">
        <f>+'Form20 '!L392</f>
        <v>0</v>
      </c>
      <c r="AR391" s="18">
        <v>12</v>
      </c>
      <c r="AS391" s="66" t="s">
        <v>30</v>
      </c>
      <c r="AT391" s="12">
        <f>+'Form20 '!M392</f>
        <v>2</v>
      </c>
      <c r="AU391" s="18">
        <v>13</v>
      </c>
      <c r="AV391" s="66" t="s">
        <v>30</v>
      </c>
      <c r="AW391" s="12">
        <f>+'Form20 '!N392</f>
        <v>0</v>
      </c>
      <c r="AX391" s="18">
        <v>14</v>
      </c>
      <c r="AY391" s="66" t="s">
        <v>30</v>
      </c>
      <c r="AZ391" s="12">
        <f>+'Form20 '!O392</f>
        <v>0</v>
      </c>
      <c r="BA391" s="75">
        <f t="shared" si="11"/>
        <v>476</v>
      </c>
    </row>
    <row r="392" spans="1:53" s="67" customFormat="1" ht="59.25" customHeight="1">
      <c r="A392" s="18">
        <v>333</v>
      </c>
      <c r="B392" s="59">
        <v>386</v>
      </c>
      <c r="C392" s="76" t="s">
        <v>459</v>
      </c>
      <c r="D392" s="61">
        <v>1015</v>
      </c>
      <c r="E392" s="61">
        <v>223</v>
      </c>
      <c r="F392" s="61">
        <v>278</v>
      </c>
      <c r="G392" s="55">
        <v>0</v>
      </c>
      <c r="H392" s="62">
        <f t="shared" ref="H392:H437" si="12">E392+F392+G392</f>
        <v>501</v>
      </c>
      <c r="I392" s="55">
        <v>32</v>
      </c>
      <c r="J392" s="29">
        <v>0</v>
      </c>
      <c r="K392" s="68">
        <v>1</v>
      </c>
      <c r="L392" s="63" t="s">
        <v>29</v>
      </c>
      <c r="M392" s="12">
        <f>+'Form20 '!B393</f>
        <v>320</v>
      </c>
      <c r="N392" s="68">
        <v>2</v>
      </c>
      <c r="O392" s="58" t="s">
        <v>24</v>
      </c>
      <c r="P392" s="12">
        <f>+'Form20 '!C393</f>
        <v>4</v>
      </c>
      <c r="Q392" s="68">
        <v>3</v>
      </c>
      <c r="R392" s="63" t="s">
        <v>28</v>
      </c>
      <c r="S392" s="12">
        <f>+'Form20 '!D393</f>
        <v>159</v>
      </c>
      <c r="T392" s="68">
        <v>4</v>
      </c>
      <c r="U392" s="64" t="s">
        <v>65</v>
      </c>
      <c r="V392" s="12">
        <f>+'Form20 '!E393</f>
        <v>4</v>
      </c>
      <c r="W392" s="68">
        <v>5</v>
      </c>
      <c r="X392" s="58" t="s">
        <v>66</v>
      </c>
      <c r="Y392" s="12">
        <f>+'Form20 '!F393</f>
        <v>0</v>
      </c>
      <c r="Z392" s="18">
        <v>6</v>
      </c>
      <c r="AA392" s="64" t="s">
        <v>67</v>
      </c>
      <c r="AB392" s="12">
        <f>+'Form20 '!G393</f>
        <v>1</v>
      </c>
      <c r="AC392" s="68">
        <v>7</v>
      </c>
      <c r="AD392" s="63" t="s">
        <v>68</v>
      </c>
      <c r="AE392" s="12">
        <f>+'Form20 '!H393</f>
        <v>0</v>
      </c>
      <c r="AF392" s="68">
        <v>8</v>
      </c>
      <c r="AG392" s="63" t="s">
        <v>69</v>
      </c>
      <c r="AH392" s="12">
        <f>+'Form20 '!I393</f>
        <v>0</v>
      </c>
      <c r="AI392" s="68">
        <v>9</v>
      </c>
      <c r="AJ392" s="65" t="s">
        <v>70</v>
      </c>
      <c r="AK392" s="12">
        <f>+'Form20 '!J393</f>
        <v>3</v>
      </c>
      <c r="AL392" s="68">
        <v>10</v>
      </c>
      <c r="AM392" s="66" t="s">
        <v>30</v>
      </c>
      <c r="AN392" s="12">
        <f>+'Form20 '!K393</f>
        <v>1</v>
      </c>
      <c r="AO392" s="18">
        <v>11</v>
      </c>
      <c r="AP392" s="66" t="s">
        <v>30</v>
      </c>
      <c r="AQ392" s="12">
        <f>+'Form20 '!L393</f>
        <v>2</v>
      </c>
      <c r="AR392" s="18">
        <v>12</v>
      </c>
      <c r="AS392" s="66" t="s">
        <v>30</v>
      </c>
      <c r="AT392" s="12">
        <f>+'Form20 '!M393</f>
        <v>0</v>
      </c>
      <c r="AU392" s="18">
        <v>13</v>
      </c>
      <c r="AV392" s="66" t="s">
        <v>30</v>
      </c>
      <c r="AW392" s="12">
        <f>+'Form20 '!N393</f>
        <v>1</v>
      </c>
      <c r="AX392" s="18">
        <v>14</v>
      </c>
      <c r="AY392" s="66" t="s">
        <v>30</v>
      </c>
      <c r="AZ392" s="12">
        <f>+'Form20 '!O393</f>
        <v>3</v>
      </c>
      <c r="BA392" s="75">
        <f t="shared" ref="BA392:BA439" si="13">AZ392+AW392+AT392+AQ392+AN392+AK392+AH392+AE392+AB392+Y392+V392+S392+P392+M392</f>
        <v>498</v>
      </c>
    </row>
    <row r="393" spans="1:53" s="67" customFormat="1" ht="59.25" customHeight="1">
      <c r="A393" s="18">
        <v>333</v>
      </c>
      <c r="B393" s="59">
        <v>387</v>
      </c>
      <c r="C393" s="76" t="s">
        <v>460</v>
      </c>
      <c r="D393" s="61">
        <v>745</v>
      </c>
      <c r="E393" s="61">
        <v>187</v>
      </c>
      <c r="F393" s="61">
        <v>217</v>
      </c>
      <c r="G393" s="55">
        <v>0</v>
      </c>
      <c r="H393" s="62">
        <f t="shared" si="12"/>
        <v>404</v>
      </c>
      <c r="I393" s="55">
        <v>82</v>
      </c>
      <c r="J393" s="29">
        <v>0</v>
      </c>
      <c r="K393" s="68">
        <v>1</v>
      </c>
      <c r="L393" s="63" t="s">
        <v>29</v>
      </c>
      <c r="M393" s="12">
        <f>+'Form20 '!B394</f>
        <v>179</v>
      </c>
      <c r="N393" s="68">
        <v>2</v>
      </c>
      <c r="O393" s="58" t="s">
        <v>24</v>
      </c>
      <c r="P393" s="12">
        <f>+'Form20 '!C394</f>
        <v>55</v>
      </c>
      <c r="Q393" s="68">
        <v>3</v>
      </c>
      <c r="R393" s="63" t="s">
        <v>28</v>
      </c>
      <c r="S393" s="12">
        <f>+'Form20 '!D394</f>
        <v>156</v>
      </c>
      <c r="T393" s="68">
        <v>4</v>
      </c>
      <c r="U393" s="64" t="s">
        <v>65</v>
      </c>
      <c r="V393" s="12">
        <f>+'Form20 '!E394</f>
        <v>3</v>
      </c>
      <c r="W393" s="68">
        <v>5</v>
      </c>
      <c r="X393" s="58" t="s">
        <v>66</v>
      </c>
      <c r="Y393" s="12">
        <f>+'Form20 '!F394</f>
        <v>1</v>
      </c>
      <c r="Z393" s="18">
        <v>6</v>
      </c>
      <c r="AA393" s="64" t="s">
        <v>67</v>
      </c>
      <c r="AB393" s="12">
        <f>+'Form20 '!G394</f>
        <v>1</v>
      </c>
      <c r="AC393" s="68">
        <v>7</v>
      </c>
      <c r="AD393" s="63" t="s">
        <v>68</v>
      </c>
      <c r="AE393" s="12">
        <f>+'Form20 '!H394</f>
        <v>0</v>
      </c>
      <c r="AF393" s="68">
        <v>8</v>
      </c>
      <c r="AG393" s="63" t="s">
        <v>69</v>
      </c>
      <c r="AH393" s="12">
        <f>+'Form20 '!I394</f>
        <v>0</v>
      </c>
      <c r="AI393" s="68">
        <v>9</v>
      </c>
      <c r="AJ393" s="65" t="s">
        <v>70</v>
      </c>
      <c r="AK393" s="12">
        <f>+'Form20 '!J394</f>
        <v>1</v>
      </c>
      <c r="AL393" s="68">
        <v>10</v>
      </c>
      <c r="AM393" s="66" t="s">
        <v>30</v>
      </c>
      <c r="AN393" s="12">
        <f>+'Form20 '!K394</f>
        <v>0</v>
      </c>
      <c r="AO393" s="18">
        <v>11</v>
      </c>
      <c r="AP393" s="66" t="s">
        <v>30</v>
      </c>
      <c r="AQ393" s="12">
        <f>+'Form20 '!L394</f>
        <v>1</v>
      </c>
      <c r="AR393" s="18">
        <v>12</v>
      </c>
      <c r="AS393" s="66" t="s">
        <v>30</v>
      </c>
      <c r="AT393" s="12">
        <f>+'Form20 '!M394</f>
        <v>1</v>
      </c>
      <c r="AU393" s="18">
        <v>13</v>
      </c>
      <c r="AV393" s="66" t="s">
        <v>30</v>
      </c>
      <c r="AW393" s="12">
        <f>+'Form20 '!N394</f>
        <v>1</v>
      </c>
      <c r="AX393" s="18">
        <v>14</v>
      </c>
      <c r="AY393" s="66" t="s">
        <v>30</v>
      </c>
      <c r="AZ393" s="12">
        <f>+'Form20 '!O394</f>
        <v>3</v>
      </c>
      <c r="BA393" s="75">
        <f t="shared" si="13"/>
        <v>402</v>
      </c>
    </row>
    <row r="394" spans="1:53" s="67" customFormat="1" ht="59.25" customHeight="1">
      <c r="A394" s="18">
        <v>333</v>
      </c>
      <c r="B394" s="59">
        <v>388</v>
      </c>
      <c r="C394" s="76" t="s">
        <v>461</v>
      </c>
      <c r="D394" s="61">
        <v>784</v>
      </c>
      <c r="E394" s="61">
        <v>196</v>
      </c>
      <c r="F394" s="61">
        <v>261</v>
      </c>
      <c r="G394" s="55">
        <v>0</v>
      </c>
      <c r="H394" s="62">
        <f t="shared" si="12"/>
        <v>457</v>
      </c>
      <c r="I394" s="55">
        <v>65</v>
      </c>
      <c r="J394" s="29">
        <v>0</v>
      </c>
      <c r="K394" s="68">
        <v>1</v>
      </c>
      <c r="L394" s="63" t="s">
        <v>29</v>
      </c>
      <c r="M394" s="12">
        <f>+'Form20 '!B395</f>
        <v>319</v>
      </c>
      <c r="N394" s="68">
        <v>2</v>
      </c>
      <c r="O394" s="58" t="s">
        <v>24</v>
      </c>
      <c r="P394" s="12">
        <f>+'Form20 '!C395</f>
        <v>22</v>
      </c>
      <c r="Q394" s="68">
        <v>3</v>
      </c>
      <c r="R394" s="63" t="s">
        <v>28</v>
      </c>
      <c r="S394" s="12">
        <f>+'Form20 '!D395</f>
        <v>95</v>
      </c>
      <c r="T394" s="68">
        <v>4</v>
      </c>
      <c r="U394" s="64" t="s">
        <v>65</v>
      </c>
      <c r="V394" s="12">
        <f>+'Form20 '!E395</f>
        <v>3</v>
      </c>
      <c r="W394" s="68">
        <v>5</v>
      </c>
      <c r="X394" s="58" t="s">
        <v>66</v>
      </c>
      <c r="Y394" s="12">
        <f>+'Form20 '!F395</f>
        <v>0</v>
      </c>
      <c r="Z394" s="18">
        <v>6</v>
      </c>
      <c r="AA394" s="64" t="s">
        <v>67</v>
      </c>
      <c r="AB394" s="12">
        <f>+'Form20 '!G395</f>
        <v>1</v>
      </c>
      <c r="AC394" s="68">
        <v>7</v>
      </c>
      <c r="AD394" s="63" t="s">
        <v>68</v>
      </c>
      <c r="AE394" s="12">
        <f>+'Form20 '!H395</f>
        <v>0</v>
      </c>
      <c r="AF394" s="68">
        <v>8</v>
      </c>
      <c r="AG394" s="63" t="s">
        <v>69</v>
      </c>
      <c r="AH394" s="12">
        <f>+'Form20 '!I395</f>
        <v>1</v>
      </c>
      <c r="AI394" s="68">
        <v>9</v>
      </c>
      <c r="AJ394" s="65" t="s">
        <v>70</v>
      </c>
      <c r="AK394" s="12">
        <f>+'Form20 '!J395</f>
        <v>0</v>
      </c>
      <c r="AL394" s="68">
        <v>10</v>
      </c>
      <c r="AM394" s="66" t="s">
        <v>30</v>
      </c>
      <c r="AN394" s="12">
        <f>+'Form20 '!K395</f>
        <v>2</v>
      </c>
      <c r="AO394" s="18">
        <v>11</v>
      </c>
      <c r="AP394" s="66" t="s">
        <v>30</v>
      </c>
      <c r="AQ394" s="12">
        <f>+'Form20 '!L395</f>
        <v>0</v>
      </c>
      <c r="AR394" s="18">
        <v>12</v>
      </c>
      <c r="AS394" s="66" t="s">
        <v>30</v>
      </c>
      <c r="AT394" s="12">
        <f>+'Form20 '!M395</f>
        <v>1</v>
      </c>
      <c r="AU394" s="18">
        <v>13</v>
      </c>
      <c r="AV394" s="66" t="s">
        <v>30</v>
      </c>
      <c r="AW394" s="12">
        <f>+'Form20 '!N395</f>
        <v>1</v>
      </c>
      <c r="AX394" s="18">
        <v>14</v>
      </c>
      <c r="AY394" s="66" t="s">
        <v>30</v>
      </c>
      <c r="AZ394" s="12">
        <f>+'Form20 '!O395</f>
        <v>5</v>
      </c>
      <c r="BA394" s="75">
        <f t="shared" si="13"/>
        <v>450</v>
      </c>
    </row>
    <row r="395" spans="1:53" s="67" customFormat="1" ht="59.25" customHeight="1">
      <c r="A395" s="18">
        <v>333</v>
      </c>
      <c r="B395" s="59">
        <v>389</v>
      </c>
      <c r="C395" s="76" t="s">
        <v>462</v>
      </c>
      <c r="D395" s="61">
        <v>1053</v>
      </c>
      <c r="E395" s="61">
        <v>274</v>
      </c>
      <c r="F395" s="61">
        <v>302</v>
      </c>
      <c r="G395" s="55">
        <v>0</v>
      </c>
      <c r="H395" s="62">
        <f t="shared" si="12"/>
        <v>576</v>
      </c>
      <c r="I395" s="55">
        <v>44</v>
      </c>
      <c r="J395" s="29">
        <v>0</v>
      </c>
      <c r="K395" s="68">
        <v>1</v>
      </c>
      <c r="L395" s="63" t="s">
        <v>29</v>
      </c>
      <c r="M395" s="12">
        <f>+'Form20 '!B396</f>
        <v>343</v>
      </c>
      <c r="N395" s="68">
        <v>2</v>
      </c>
      <c r="O395" s="58" t="s">
        <v>24</v>
      </c>
      <c r="P395" s="12">
        <f>+'Form20 '!C396</f>
        <v>38</v>
      </c>
      <c r="Q395" s="68">
        <v>3</v>
      </c>
      <c r="R395" s="63" t="s">
        <v>28</v>
      </c>
      <c r="S395" s="12">
        <f>+'Form20 '!D396</f>
        <v>180</v>
      </c>
      <c r="T395" s="68">
        <v>4</v>
      </c>
      <c r="U395" s="64" t="s">
        <v>65</v>
      </c>
      <c r="V395" s="12">
        <f>+'Form20 '!E396</f>
        <v>2</v>
      </c>
      <c r="W395" s="68">
        <v>5</v>
      </c>
      <c r="X395" s="58" t="s">
        <v>66</v>
      </c>
      <c r="Y395" s="12">
        <f>+'Form20 '!F396</f>
        <v>0</v>
      </c>
      <c r="Z395" s="18">
        <v>6</v>
      </c>
      <c r="AA395" s="64" t="s">
        <v>67</v>
      </c>
      <c r="AB395" s="12">
        <f>+'Form20 '!G396</f>
        <v>2</v>
      </c>
      <c r="AC395" s="68">
        <v>7</v>
      </c>
      <c r="AD395" s="63" t="s">
        <v>68</v>
      </c>
      <c r="AE395" s="12">
        <f>+'Form20 '!H396</f>
        <v>0</v>
      </c>
      <c r="AF395" s="68">
        <v>8</v>
      </c>
      <c r="AG395" s="63" t="s">
        <v>69</v>
      </c>
      <c r="AH395" s="12">
        <f>+'Form20 '!I396</f>
        <v>0</v>
      </c>
      <c r="AI395" s="68">
        <v>9</v>
      </c>
      <c r="AJ395" s="65" t="s">
        <v>70</v>
      </c>
      <c r="AK395" s="12">
        <f>+'Form20 '!J396</f>
        <v>3</v>
      </c>
      <c r="AL395" s="68">
        <v>10</v>
      </c>
      <c r="AM395" s="66" t="s">
        <v>30</v>
      </c>
      <c r="AN395" s="12">
        <f>+'Form20 '!K396</f>
        <v>0</v>
      </c>
      <c r="AO395" s="18">
        <v>11</v>
      </c>
      <c r="AP395" s="66" t="s">
        <v>30</v>
      </c>
      <c r="AQ395" s="12">
        <f>+'Form20 '!L396</f>
        <v>2</v>
      </c>
      <c r="AR395" s="18">
        <v>12</v>
      </c>
      <c r="AS395" s="66" t="s">
        <v>30</v>
      </c>
      <c r="AT395" s="12">
        <f>+'Form20 '!M396</f>
        <v>1</v>
      </c>
      <c r="AU395" s="18">
        <v>13</v>
      </c>
      <c r="AV395" s="66" t="s">
        <v>30</v>
      </c>
      <c r="AW395" s="12">
        <f>+'Form20 '!N396</f>
        <v>0</v>
      </c>
      <c r="AX395" s="18">
        <v>14</v>
      </c>
      <c r="AY395" s="66" t="s">
        <v>30</v>
      </c>
      <c r="AZ395" s="12">
        <f>+'Form20 '!O396</f>
        <v>2</v>
      </c>
      <c r="BA395" s="75">
        <f t="shared" si="13"/>
        <v>573</v>
      </c>
    </row>
    <row r="396" spans="1:53" s="67" customFormat="1" ht="59.25" customHeight="1">
      <c r="A396" s="18">
        <v>333</v>
      </c>
      <c r="B396" s="59">
        <v>390</v>
      </c>
      <c r="C396" s="76" t="s">
        <v>463</v>
      </c>
      <c r="D396" s="61">
        <v>991</v>
      </c>
      <c r="E396" s="61">
        <v>306</v>
      </c>
      <c r="F396" s="61">
        <v>321</v>
      </c>
      <c r="G396" s="55">
        <v>0</v>
      </c>
      <c r="H396" s="62">
        <f t="shared" si="12"/>
        <v>627</v>
      </c>
      <c r="I396" s="55">
        <v>500</v>
      </c>
      <c r="J396" s="29">
        <v>0</v>
      </c>
      <c r="K396" s="68">
        <v>1</v>
      </c>
      <c r="L396" s="63" t="s">
        <v>29</v>
      </c>
      <c r="M396" s="12">
        <f>+'Form20 '!B397</f>
        <v>456</v>
      </c>
      <c r="N396" s="68">
        <v>2</v>
      </c>
      <c r="O396" s="58" t="s">
        <v>24</v>
      </c>
      <c r="P396" s="12">
        <f>+'Form20 '!C397</f>
        <v>11</v>
      </c>
      <c r="Q396" s="68">
        <v>3</v>
      </c>
      <c r="R396" s="63" t="s">
        <v>28</v>
      </c>
      <c r="S396" s="12">
        <f>+'Form20 '!D397</f>
        <v>139</v>
      </c>
      <c r="T396" s="68">
        <v>4</v>
      </c>
      <c r="U396" s="64" t="s">
        <v>65</v>
      </c>
      <c r="V396" s="12">
        <f>+'Form20 '!E397</f>
        <v>7</v>
      </c>
      <c r="W396" s="68">
        <v>5</v>
      </c>
      <c r="X396" s="58" t="s">
        <v>66</v>
      </c>
      <c r="Y396" s="12">
        <f>+'Form20 '!F397</f>
        <v>0</v>
      </c>
      <c r="Z396" s="18">
        <v>6</v>
      </c>
      <c r="AA396" s="64" t="s">
        <v>67</v>
      </c>
      <c r="AB396" s="12">
        <f>+'Form20 '!G397</f>
        <v>0</v>
      </c>
      <c r="AC396" s="68">
        <v>7</v>
      </c>
      <c r="AD396" s="63" t="s">
        <v>68</v>
      </c>
      <c r="AE396" s="12">
        <f>+'Form20 '!H397</f>
        <v>0</v>
      </c>
      <c r="AF396" s="68">
        <v>8</v>
      </c>
      <c r="AG396" s="63" t="s">
        <v>69</v>
      </c>
      <c r="AH396" s="12">
        <f>+'Form20 '!I397</f>
        <v>0</v>
      </c>
      <c r="AI396" s="68">
        <v>9</v>
      </c>
      <c r="AJ396" s="65" t="s">
        <v>70</v>
      </c>
      <c r="AK396" s="12">
        <f>+'Form20 '!J397</f>
        <v>0</v>
      </c>
      <c r="AL396" s="68">
        <v>10</v>
      </c>
      <c r="AM396" s="66" t="s">
        <v>30</v>
      </c>
      <c r="AN396" s="12">
        <f>+'Form20 '!K397</f>
        <v>0</v>
      </c>
      <c r="AO396" s="18">
        <v>11</v>
      </c>
      <c r="AP396" s="66" t="s">
        <v>30</v>
      </c>
      <c r="AQ396" s="12">
        <f>+'Form20 '!L397</f>
        <v>0</v>
      </c>
      <c r="AR396" s="18">
        <v>12</v>
      </c>
      <c r="AS396" s="66" t="s">
        <v>30</v>
      </c>
      <c r="AT396" s="12">
        <f>+'Form20 '!M397</f>
        <v>0</v>
      </c>
      <c r="AU396" s="18">
        <v>13</v>
      </c>
      <c r="AV396" s="66" t="s">
        <v>30</v>
      </c>
      <c r="AW396" s="12">
        <f>+'Form20 '!N397</f>
        <v>2</v>
      </c>
      <c r="AX396" s="18">
        <v>14</v>
      </c>
      <c r="AY396" s="66" t="s">
        <v>30</v>
      </c>
      <c r="AZ396" s="12">
        <f>+'Form20 '!O397</f>
        <v>2</v>
      </c>
      <c r="BA396" s="75">
        <f t="shared" si="13"/>
        <v>617</v>
      </c>
    </row>
    <row r="397" spans="1:53" s="67" customFormat="1" ht="59.25" customHeight="1">
      <c r="A397" s="18">
        <v>333</v>
      </c>
      <c r="B397" s="59">
        <v>391</v>
      </c>
      <c r="C397" s="76" t="s">
        <v>464</v>
      </c>
      <c r="D397" s="61">
        <v>1140</v>
      </c>
      <c r="E397" s="61">
        <v>315</v>
      </c>
      <c r="F397" s="61">
        <v>371</v>
      </c>
      <c r="G397" s="55">
        <v>0</v>
      </c>
      <c r="H397" s="62">
        <f t="shared" si="12"/>
        <v>686</v>
      </c>
      <c r="I397" s="55">
        <v>35</v>
      </c>
      <c r="J397" s="29">
        <v>0</v>
      </c>
      <c r="K397" s="68">
        <v>1</v>
      </c>
      <c r="L397" s="63" t="s">
        <v>29</v>
      </c>
      <c r="M397" s="12">
        <f>+'Form20 '!B398</f>
        <v>491</v>
      </c>
      <c r="N397" s="68">
        <v>2</v>
      </c>
      <c r="O397" s="58" t="s">
        <v>24</v>
      </c>
      <c r="P397" s="12">
        <f>+'Form20 '!C398</f>
        <v>1</v>
      </c>
      <c r="Q397" s="68">
        <v>3</v>
      </c>
      <c r="R397" s="63" t="s">
        <v>28</v>
      </c>
      <c r="S397" s="12">
        <f>+'Form20 '!D398</f>
        <v>185</v>
      </c>
      <c r="T397" s="68">
        <v>4</v>
      </c>
      <c r="U397" s="64" t="s">
        <v>65</v>
      </c>
      <c r="V397" s="12">
        <f>+'Form20 '!E398</f>
        <v>2</v>
      </c>
      <c r="W397" s="68">
        <v>5</v>
      </c>
      <c r="X397" s="58" t="s">
        <v>66</v>
      </c>
      <c r="Y397" s="12">
        <f>+'Form20 '!F398</f>
        <v>0</v>
      </c>
      <c r="Z397" s="18">
        <v>6</v>
      </c>
      <c r="AA397" s="64" t="s">
        <v>67</v>
      </c>
      <c r="AB397" s="12">
        <f>+'Form20 '!G398</f>
        <v>0</v>
      </c>
      <c r="AC397" s="68">
        <v>7</v>
      </c>
      <c r="AD397" s="63" t="s">
        <v>68</v>
      </c>
      <c r="AE397" s="12">
        <f>+'Form20 '!H398</f>
        <v>0</v>
      </c>
      <c r="AF397" s="68">
        <v>8</v>
      </c>
      <c r="AG397" s="63" t="s">
        <v>69</v>
      </c>
      <c r="AH397" s="12">
        <f>+'Form20 '!I398</f>
        <v>2</v>
      </c>
      <c r="AI397" s="68">
        <v>9</v>
      </c>
      <c r="AJ397" s="65" t="s">
        <v>70</v>
      </c>
      <c r="AK397" s="12">
        <f>+'Form20 '!J398</f>
        <v>2</v>
      </c>
      <c r="AL397" s="68">
        <v>10</v>
      </c>
      <c r="AM397" s="66" t="s">
        <v>30</v>
      </c>
      <c r="AN397" s="12">
        <f>+'Form20 '!K398</f>
        <v>0</v>
      </c>
      <c r="AO397" s="18">
        <v>11</v>
      </c>
      <c r="AP397" s="66" t="s">
        <v>30</v>
      </c>
      <c r="AQ397" s="12">
        <f>+'Form20 '!L398</f>
        <v>1</v>
      </c>
      <c r="AR397" s="18">
        <v>12</v>
      </c>
      <c r="AS397" s="66" t="s">
        <v>30</v>
      </c>
      <c r="AT397" s="12">
        <f>+'Form20 '!M398</f>
        <v>0</v>
      </c>
      <c r="AU397" s="18">
        <v>13</v>
      </c>
      <c r="AV397" s="66" t="s">
        <v>30</v>
      </c>
      <c r="AW397" s="12">
        <f>+'Form20 '!N398</f>
        <v>0</v>
      </c>
      <c r="AX397" s="18">
        <v>14</v>
      </c>
      <c r="AY397" s="66" t="s">
        <v>30</v>
      </c>
      <c r="AZ397" s="12">
        <f>+'Form20 '!O398</f>
        <v>1</v>
      </c>
      <c r="BA397" s="75">
        <f t="shared" si="13"/>
        <v>685</v>
      </c>
    </row>
    <row r="398" spans="1:53" s="67" customFormat="1" ht="59.25" customHeight="1">
      <c r="A398" s="18">
        <v>333</v>
      </c>
      <c r="B398" s="59">
        <v>392</v>
      </c>
      <c r="C398" s="76" t="s">
        <v>465</v>
      </c>
      <c r="D398" s="61">
        <v>436</v>
      </c>
      <c r="E398" s="61">
        <v>132</v>
      </c>
      <c r="F398" s="61">
        <v>169</v>
      </c>
      <c r="G398" s="55">
        <v>0</v>
      </c>
      <c r="H398" s="62">
        <f t="shared" si="12"/>
        <v>301</v>
      </c>
      <c r="I398" s="55">
        <v>20</v>
      </c>
      <c r="J398" s="29">
        <v>0</v>
      </c>
      <c r="K398" s="68">
        <v>1</v>
      </c>
      <c r="L398" s="63" t="s">
        <v>29</v>
      </c>
      <c r="M398" s="12">
        <f>+'Form20 '!B399</f>
        <v>170</v>
      </c>
      <c r="N398" s="68">
        <v>2</v>
      </c>
      <c r="O398" s="58" t="s">
        <v>24</v>
      </c>
      <c r="P398" s="12">
        <f>+'Form20 '!C399</f>
        <v>1</v>
      </c>
      <c r="Q398" s="68">
        <v>3</v>
      </c>
      <c r="R398" s="63" t="s">
        <v>28</v>
      </c>
      <c r="S398" s="12">
        <f>+'Form20 '!D399</f>
        <v>114</v>
      </c>
      <c r="T398" s="68">
        <v>4</v>
      </c>
      <c r="U398" s="64" t="s">
        <v>65</v>
      </c>
      <c r="V398" s="12">
        <f>+'Form20 '!E399</f>
        <v>9</v>
      </c>
      <c r="W398" s="68">
        <v>5</v>
      </c>
      <c r="X398" s="58" t="s">
        <v>66</v>
      </c>
      <c r="Y398" s="12">
        <f>+'Form20 '!F399</f>
        <v>0</v>
      </c>
      <c r="Z398" s="18">
        <v>6</v>
      </c>
      <c r="AA398" s="64" t="s">
        <v>67</v>
      </c>
      <c r="AB398" s="12">
        <f>+'Form20 '!G399</f>
        <v>0</v>
      </c>
      <c r="AC398" s="68">
        <v>7</v>
      </c>
      <c r="AD398" s="63" t="s">
        <v>68</v>
      </c>
      <c r="AE398" s="12">
        <f>+'Form20 '!H399</f>
        <v>0</v>
      </c>
      <c r="AF398" s="68">
        <v>8</v>
      </c>
      <c r="AG398" s="63" t="s">
        <v>69</v>
      </c>
      <c r="AH398" s="12">
        <f>+'Form20 '!I399</f>
        <v>1</v>
      </c>
      <c r="AI398" s="68">
        <v>9</v>
      </c>
      <c r="AJ398" s="65" t="s">
        <v>70</v>
      </c>
      <c r="AK398" s="12">
        <f>+'Form20 '!J399</f>
        <v>0</v>
      </c>
      <c r="AL398" s="68">
        <v>10</v>
      </c>
      <c r="AM398" s="66" t="s">
        <v>30</v>
      </c>
      <c r="AN398" s="12">
        <f>+'Form20 '!K399</f>
        <v>0</v>
      </c>
      <c r="AO398" s="18">
        <v>11</v>
      </c>
      <c r="AP398" s="66" t="s">
        <v>30</v>
      </c>
      <c r="AQ398" s="12">
        <f>+'Form20 '!L399</f>
        <v>0</v>
      </c>
      <c r="AR398" s="18">
        <v>12</v>
      </c>
      <c r="AS398" s="66" t="s">
        <v>30</v>
      </c>
      <c r="AT398" s="12">
        <f>+'Form20 '!M399</f>
        <v>0</v>
      </c>
      <c r="AU398" s="18">
        <v>13</v>
      </c>
      <c r="AV398" s="66" t="s">
        <v>30</v>
      </c>
      <c r="AW398" s="12">
        <f>+'Form20 '!N399</f>
        <v>2</v>
      </c>
      <c r="AX398" s="18">
        <v>14</v>
      </c>
      <c r="AY398" s="66" t="s">
        <v>30</v>
      </c>
      <c r="AZ398" s="12">
        <f>+'Form20 '!O399</f>
        <v>1</v>
      </c>
      <c r="BA398" s="75">
        <f t="shared" si="13"/>
        <v>298</v>
      </c>
    </row>
    <row r="399" spans="1:53" s="67" customFormat="1" ht="59.25" customHeight="1">
      <c r="A399" s="18">
        <v>333</v>
      </c>
      <c r="B399" s="59">
        <v>393</v>
      </c>
      <c r="C399" s="76" t="s">
        <v>466</v>
      </c>
      <c r="D399" s="61">
        <v>806</v>
      </c>
      <c r="E399" s="61">
        <v>262</v>
      </c>
      <c r="F399" s="61">
        <v>279</v>
      </c>
      <c r="G399" s="55">
        <v>0</v>
      </c>
      <c r="H399" s="62">
        <f t="shared" si="12"/>
        <v>541</v>
      </c>
      <c r="I399" s="55">
        <v>91</v>
      </c>
      <c r="J399" s="29">
        <v>0</v>
      </c>
      <c r="K399" s="68">
        <v>1</v>
      </c>
      <c r="L399" s="63" t="s">
        <v>29</v>
      </c>
      <c r="M399" s="12">
        <f>+'Form20 '!B400</f>
        <v>394</v>
      </c>
      <c r="N399" s="68">
        <v>2</v>
      </c>
      <c r="O399" s="58" t="s">
        <v>24</v>
      </c>
      <c r="P399" s="12">
        <f>+'Form20 '!C400</f>
        <v>10</v>
      </c>
      <c r="Q399" s="68">
        <v>3</v>
      </c>
      <c r="R399" s="63" t="s">
        <v>28</v>
      </c>
      <c r="S399" s="12">
        <f>+'Form20 '!D400</f>
        <v>128</v>
      </c>
      <c r="T399" s="68">
        <v>4</v>
      </c>
      <c r="U399" s="64" t="s">
        <v>65</v>
      </c>
      <c r="V399" s="12">
        <f>+'Form20 '!E400</f>
        <v>0</v>
      </c>
      <c r="W399" s="68">
        <v>5</v>
      </c>
      <c r="X399" s="58" t="s">
        <v>66</v>
      </c>
      <c r="Y399" s="12">
        <f>+'Form20 '!F400</f>
        <v>0</v>
      </c>
      <c r="Z399" s="18">
        <v>6</v>
      </c>
      <c r="AA399" s="64" t="s">
        <v>67</v>
      </c>
      <c r="AB399" s="12">
        <f>+'Form20 '!G400</f>
        <v>0</v>
      </c>
      <c r="AC399" s="68">
        <v>7</v>
      </c>
      <c r="AD399" s="63" t="s">
        <v>68</v>
      </c>
      <c r="AE399" s="12">
        <f>+'Form20 '!H400</f>
        <v>0</v>
      </c>
      <c r="AF399" s="68">
        <v>8</v>
      </c>
      <c r="AG399" s="63" t="s">
        <v>69</v>
      </c>
      <c r="AH399" s="12">
        <f>+'Form20 '!I400</f>
        <v>0</v>
      </c>
      <c r="AI399" s="68">
        <v>9</v>
      </c>
      <c r="AJ399" s="65" t="s">
        <v>70</v>
      </c>
      <c r="AK399" s="12">
        <f>+'Form20 '!J400</f>
        <v>0</v>
      </c>
      <c r="AL399" s="68">
        <v>10</v>
      </c>
      <c r="AM399" s="66" t="s">
        <v>30</v>
      </c>
      <c r="AN399" s="12">
        <f>+'Form20 '!K400</f>
        <v>1</v>
      </c>
      <c r="AO399" s="18">
        <v>11</v>
      </c>
      <c r="AP399" s="66" t="s">
        <v>30</v>
      </c>
      <c r="AQ399" s="12">
        <f>+'Form20 '!L400</f>
        <v>0</v>
      </c>
      <c r="AR399" s="18">
        <v>12</v>
      </c>
      <c r="AS399" s="66" t="s">
        <v>30</v>
      </c>
      <c r="AT399" s="12">
        <f>+'Form20 '!M400</f>
        <v>3</v>
      </c>
      <c r="AU399" s="18">
        <v>13</v>
      </c>
      <c r="AV399" s="66" t="s">
        <v>30</v>
      </c>
      <c r="AW399" s="12">
        <f>+'Form20 '!N400</f>
        <v>0</v>
      </c>
      <c r="AX399" s="18">
        <v>14</v>
      </c>
      <c r="AY399" s="66" t="s">
        <v>30</v>
      </c>
      <c r="AZ399" s="12">
        <f>+'Form20 '!O400</f>
        <v>1</v>
      </c>
      <c r="BA399" s="75">
        <f t="shared" si="13"/>
        <v>537</v>
      </c>
    </row>
    <row r="400" spans="1:53" s="67" customFormat="1" ht="59.25" customHeight="1">
      <c r="A400" s="18">
        <v>333</v>
      </c>
      <c r="B400" s="59">
        <v>394</v>
      </c>
      <c r="C400" s="76" t="s">
        <v>467</v>
      </c>
      <c r="D400" s="61">
        <v>898</v>
      </c>
      <c r="E400" s="61">
        <v>269</v>
      </c>
      <c r="F400" s="61">
        <v>275</v>
      </c>
      <c r="G400" s="55">
        <v>0</v>
      </c>
      <c r="H400" s="62">
        <f t="shared" si="12"/>
        <v>544</v>
      </c>
      <c r="I400" s="55">
        <v>37</v>
      </c>
      <c r="J400" s="29">
        <v>0</v>
      </c>
      <c r="K400" s="68">
        <v>1</v>
      </c>
      <c r="L400" s="63" t="s">
        <v>29</v>
      </c>
      <c r="M400" s="12">
        <f>+'Form20 '!B401</f>
        <v>436</v>
      </c>
      <c r="N400" s="68">
        <v>2</v>
      </c>
      <c r="O400" s="58" t="s">
        <v>24</v>
      </c>
      <c r="P400" s="12">
        <f>+'Form20 '!C401</f>
        <v>41</v>
      </c>
      <c r="Q400" s="68">
        <v>3</v>
      </c>
      <c r="R400" s="63" t="s">
        <v>28</v>
      </c>
      <c r="S400" s="12">
        <f>+'Form20 '!D401</f>
        <v>46</v>
      </c>
      <c r="T400" s="68">
        <v>4</v>
      </c>
      <c r="U400" s="64" t="s">
        <v>65</v>
      </c>
      <c r="V400" s="12">
        <f>+'Form20 '!E401</f>
        <v>3</v>
      </c>
      <c r="W400" s="68">
        <v>5</v>
      </c>
      <c r="X400" s="58" t="s">
        <v>66</v>
      </c>
      <c r="Y400" s="12">
        <f>+'Form20 '!F401</f>
        <v>0</v>
      </c>
      <c r="Z400" s="18">
        <v>6</v>
      </c>
      <c r="AA400" s="64" t="s">
        <v>67</v>
      </c>
      <c r="AB400" s="12">
        <f>+'Form20 '!G401</f>
        <v>0</v>
      </c>
      <c r="AC400" s="68">
        <v>7</v>
      </c>
      <c r="AD400" s="63" t="s">
        <v>68</v>
      </c>
      <c r="AE400" s="12">
        <f>+'Form20 '!H401</f>
        <v>0</v>
      </c>
      <c r="AF400" s="68">
        <v>8</v>
      </c>
      <c r="AG400" s="63" t="s">
        <v>69</v>
      </c>
      <c r="AH400" s="12">
        <f>+'Form20 '!I401</f>
        <v>0</v>
      </c>
      <c r="AI400" s="68">
        <v>9</v>
      </c>
      <c r="AJ400" s="65" t="s">
        <v>70</v>
      </c>
      <c r="AK400" s="12">
        <f>+'Form20 '!J401</f>
        <v>1</v>
      </c>
      <c r="AL400" s="68">
        <v>10</v>
      </c>
      <c r="AM400" s="66" t="s">
        <v>30</v>
      </c>
      <c r="AN400" s="12">
        <f>+'Form20 '!K401</f>
        <v>2</v>
      </c>
      <c r="AO400" s="18">
        <v>11</v>
      </c>
      <c r="AP400" s="66" t="s">
        <v>30</v>
      </c>
      <c r="AQ400" s="12">
        <f>+'Form20 '!L401</f>
        <v>0</v>
      </c>
      <c r="AR400" s="18">
        <v>12</v>
      </c>
      <c r="AS400" s="66" t="s">
        <v>30</v>
      </c>
      <c r="AT400" s="12">
        <f>+'Form20 '!M401</f>
        <v>1</v>
      </c>
      <c r="AU400" s="18">
        <v>13</v>
      </c>
      <c r="AV400" s="66" t="s">
        <v>30</v>
      </c>
      <c r="AW400" s="12">
        <f>+'Form20 '!N401</f>
        <v>1</v>
      </c>
      <c r="AX400" s="18">
        <v>14</v>
      </c>
      <c r="AY400" s="66" t="s">
        <v>30</v>
      </c>
      <c r="AZ400" s="12">
        <f>+'Form20 '!O401</f>
        <v>5</v>
      </c>
      <c r="BA400" s="75">
        <f t="shared" si="13"/>
        <v>536</v>
      </c>
    </row>
    <row r="401" spans="1:53" s="67" customFormat="1" ht="59.25" customHeight="1">
      <c r="A401" s="18">
        <v>333</v>
      </c>
      <c r="B401" s="59">
        <v>395</v>
      </c>
      <c r="C401" s="76" t="s">
        <v>468</v>
      </c>
      <c r="D401" s="61">
        <v>836</v>
      </c>
      <c r="E401" s="61">
        <v>219</v>
      </c>
      <c r="F401" s="61">
        <v>230</v>
      </c>
      <c r="G401" s="55">
        <v>0</v>
      </c>
      <c r="H401" s="62">
        <f t="shared" si="12"/>
        <v>449</v>
      </c>
      <c r="I401" s="55">
        <v>71</v>
      </c>
      <c r="J401" s="29">
        <v>0</v>
      </c>
      <c r="K401" s="68">
        <v>1</v>
      </c>
      <c r="L401" s="63" t="s">
        <v>29</v>
      </c>
      <c r="M401" s="12">
        <f>+'Form20 '!B402</f>
        <v>277</v>
      </c>
      <c r="N401" s="68">
        <v>2</v>
      </c>
      <c r="O401" s="58" t="s">
        <v>24</v>
      </c>
      <c r="P401" s="12">
        <f>+'Form20 '!C402</f>
        <v>72</v>
      </c>
      <c r="Q401" s="68">
        <v>3</v>
      </c>
      <c r="R401" s="63" t="s">
        <v>28</v>
      </c>
      <c r="S401" s="12">
        <f>+'Form20 '!D402</f>
        <v>92</v>
      </c>
      <c r="T401" s="68">
        <v>4</v>
      </c>
      <c r="U401" s="64" t="s">
        <v>65</v>
      </c>
      <c r="V401" s="12">
        <f>+'Form20 '!E402</f>
        <v>2</v>
      </c>
      <c r="W401" s="68">
        <v>5</v>
      </c>
      <c r="X401" s="58" t="s">
        <v>66</v>
      </c>
      <c r="Y401" s="12">
        <f>+'Form20 '!F402</f>
        <v>0</v>
      </c>
      <c r="Z401" s="18">
        <v>6</v>
      </c>
      <c r="AA401" s="64" t="s">
        <v>67</v>
      </c>
      <c r="AB401" s="12">
        <f>+'Form20 '!G402</f>
        <v>0</v>
      </c>
      <c r="AC401" s="68">
        <v>7</v>
      </c>
      <c r="AD401" s="63" t="s">
        <v>68</v>
      </c>
      <c r="AE401" s="12">
        <f>+'Form20 '!H402</f>
        <v>0</v>
      </c>
      <c r="AF401" s="68">
        <v>8</v>
      </c>
      <c r="AG401" s="63" t="s">
        <v>69</v>
      </c>
      <c r="AH401" s="12">
        <f>+'Form20 '!I402</f>
        <v>0</v>
      </c>
      <c r="AI401" s="68">
        <v>9</v>
      </c>
      <c r="AJ401" s="65" t="s">
        <v>70</v>
      </c>
      <c r="AK401" s="12">
        <f>+'Form20 '!J402</f>
        <v>0</v>
      </c>
      <c r="AL401" s="68">
        <v>10</v>
      </c>
      <c r="AM401" s="66" t="s">
        <v>30</v>
      </c>
      <c r="AN401" s="12">
        <f>+'Form20 '!K402</f>
        <v>0</v>
      </c>
      <c r="AO401" s="18">
        <v>11</v>
      </c>
      <c r="AP401" s="66" t="s">
        <v>30</v>
      </c>
      <c r="AQ401" s="12">
        <f>+'Form20 '!L402</f>
        <v>0</v>
      </c>
      <c r="AR401" s="18">
        <v>12</v>
      </c>
      <c r="AS401" s="66" t="s">
        <v>30</v>
      </c>
      <c r="AT401" s="12">
        <f>+'Form20 '!M402</f>
        <v>0</v>
      </c>
      <c r="AU401" s="18">
        <v>13</v>
      </c>
      <c r="AV401" s="66" t="s">
        <v>30</v>
      </c>
      <c r="AW401" s="12">
        <f>+'Form20 '!N402</f>
        <v>1</v>
      </c>
      <c r="AX401" s="18">
        <v>14</v>
      </c>
      <c r="AY401" s="66" t="s">
        <v>30</v>
      </c>
      <c r="AZ401" s="12">
        <f>+'Form20 '!O402</f>
        <v>2</v>
      </c>
      <c r="BA401" s="75">
        <f t="shared" si="13"/>
        <v>446</v>
      </c>
    </row>
    <row r="402" spans="1:53" s="67" customFormat="1" ht="59.25" customHeight="1">
      <c r="A402" s="18">
        <v>333</v>
      </c>
      <c r="B402" s="59">
        <v>396</v>
      </c>
      <c r="C402" s="76" t="s">
        <v>469</v>
      </c>
      <c r="D402" s="61">
        <v>1031</v>
      </c>
      <c r="E402" s="61">
        <v>290</v>
      </c>
      <c r="F402" s="61">
        <v>364</v>
      </c>
      <c r="G402" s="55">
        <v>0</v>
      </c>
      <c r="H402" s="62">
        <f t="shared" si="12"/>
        <v>654</v>
      </c>
      <c r="I402" s="55">
        <v>86</v>
      </c>
      <c r="J402" s="29">
        <v>0</v>
      </c>
      <c r="K402" s="68">
        <v>1</v>
      </c>
      <c r="L402" s="63" t="s">
        <v>29</v>
      </c>
      <c r="M402" s="12">
        <f>+'Form20 '!B403</f>
        <v>404</v>
      </c>
      <c r="N402" s="68">
        <v>2</v>
      </c>
      <c r="O402" s="58" t="s">
        <v>24</v>
      </c>
      <c r="P402" s="12">
        <f>+'Form20 '!C403</f>
        <v>18</v>
      </c>
      <c r="Q402" s="68">
        <v>3</v>
      </c>
      <c r="R402" s="63" t="s">
        <v>28</v>
      </c>
      <c r="S402" s="12">
        <f>+'Form20 '!D403</f>
        <v>206</v>
      </c>
      <c r="T402" s="68">
        <v>4</v>
      </c>
      <c r="U402" s="64" t="s">
        <v>65</v>
      </c>
      <c r="V402" s="12">
        <f>+'Form20 '!E403</f>
        <v>1</v>
      </c>
      <c r="W402" s="68">
        <v>5</v>
      </c>
      <c r="X402" s="58" t="s">
        <v>66</v>
      </c>
      <c r="Y402" s="12">
        <f>+'Form20 '!F403</f>
        <v>0</v>
      </c>
      <c r="Z402" s="18">
        <v>6</v>
      </c>
      <c r="AA402" s="64" t="s">
        <v>67</v>
      </c>
      <c r="AB402" s="12">
        <f>+'Form20 '!G403</f>
        <v>0</v>
      </c>
      <c r="AC402" s="68">
        <v>7</v>
      </c>
      <c r="AD402" s="63" t="s">
        <v>68</v>
      </c>
      <c r="AE402" s="12">
        <f>+'Form20 '!H403</f>
        <v>0</v>
      </c>
      <c r="AF402" s="68">
        <v>8</v>
      </c>
      <c r="AG402" s="63" t="s">
        <v>69</v>
      </c>
      <c r="AH402" s="12">
        <f>+'Form20 '!I403</f>
        <v>0</v>
      </c>
      <c r="AI402" s="68">
        <v>9</v>
      </c>
      <c r="AJ402" s="65" t="s">
        <v>70</v>
      </c>
      <c r="AK402" s="12">
        <f>+'Form20 '!J403</f>
        <v>5</v>
      </c>
      <c r="AL402" s="68">
        <v>10</v>
      </c>
      <c r="AM402" s="66" t="s">
        <v>30</v>
      </c>
      <c r="AN402" s="12">
        <f>+'Form20 '!K403</f>
        <v>0</v>
      </c>
      <c r="AO402" s="18">
        <v>11</v>
      </c>
      <c r="AP402" s="66" t="s">
        <v>30</v>
      </c>
      <c r="AQ402" s="12">
        <f>+'Form20 '!L403</f>
        <v>1</v>
      </c>
      <c r="AR402" s="18">
        <v>12</v>
      </c>
      <c r="AS402" s="66" t="s">
        <v>30</v>
      </c>
      <c r="AT402" s="12">
        <f>+'Form20 '!M403</f>
        <v>3</v>
      </c>
      <c r="AU402" s="18">
        <v>13</v>
      </c>
      <c r="AV402" s="66" t="s">
        <v>30</v>
      </c>
      <c r="AW402" s="12">
        <f>+'Form20 '!N403</f>
        <v>4</v>
      </c>
      <c r="AX402" s="18">
        <v>14</v>
      </c>
      <c r="AY402" s="66" t="s">
        <v>30</v>
      </c>
      <c r="AZ402" s="12">
        <f>+'Form20 '!O403</f>
        <v>3</v>
      </c>
      <c r="BA402" s="75">
        <f t="shared" si="13"/>
        <v>645</v>
      </c>
    </row>
    <row r="403" spans="1:53" s="67" customFormat="1" ht="59.25" customHeight="1">
      <c r="A403" s="18">
        <v>333</v>
      </c>
      <c r="B403" s="59">
        <v>397</v>
      </c>
      <c r="C403" s="76" t="s">
        <v>470</v>
      </c>
      <c r="D403" s="61">
        <v>1101</v>
      </c>
      <c r="E403" s="61">
        <v>326</v>
      </c>
      <c r="F403" s="61">
        <v>397</v>
      </c>
      <c r="G403" s="55">
        <v>0</v>
      </c>
      <c r="H403" s="62">
        <f t="shared" si="12"/>
        <v>723</v>
      </c>
      <c r="I403" s="55">
        <v>80</v>
      </c>
      <c r="J403" s="29">
        <v>0</v>
      </c>
      <c r="K403" s="68">
        <v>1</v>
      </c>
      <c r="L403" s="63" t="s">
        <v>29</v>
      </c>
      <c r="M403" s="12">
        <f>+'Form20 '!B404</f>
        <v>408</v>
      </c>
      <c r="N403" s="68">
        <v>2</v>
      </c>
      <c r="O403" s="58" t="s">
        <v>24</v>
      </c>
      <c r="P403" s="12">
        <f>+'Form20 '!C404</f>
        <v>173</v>
      </c>
      <c r="Q403" s="68">
        <v>3</v>
      </c>
      <c r="R403" s="63" t="s">
        <v>28</v>
      </c>
      <c r="S403" s="12">
        <f>+'Form20 '!D404</f>
        <v>118</v>
      </c>
      <c r="T403" s="68">
        <v>4</v>
      </c>
      <c r="U403" s="64" t="s">
        <v>65</v>
      </c>
      <c r="V403" s="12">
        <f>+'Form20 '!E404</f>
        <v>4</v>
      </c>
      <c r="W403" s="68">
        <v>5</v>
      </c>
      <c r="X403" s="58" t="s">
        <v>66</v>
      </c>
      <c r="Y403" s="12">
        <f>+'Form20 '!F404</f>
        <v>0</v>
      </c>
      <c r="Z403" s="18">
        <v>6</v>
      </c>
      <c r="AA403" s="64" t="s">
        <v>67</v>
      </c>
      <c r="AB403" s="12">
        <f>+'Form20 '!G404</f>
        <v>0</v>
      </c>
      <c r="AC403" s="68">
        <v>7</v>
      </c>
      <c r="AD403" s="63" t="s">
        <v>68</v>
      </c>
      <c r="AE403" s="12">
        <f>+'Form20 '!H404</f>
        <v>3</v>
      </c>
      <c r="AF403" s="68">
        <v>8</v>
      </c>
      <c r="AG403" s="63" t="s">
        <v>69</v>
      </c>
      <c r="AH403" s="12">
        <f>+'Form20 '!I404</f>
        <v>0</v>
      </c>
      <c r="AI403" s="68">
        <v>9</v>
      </c>
      <c r="AJ403" s="65" t="s">
        <v>70</v>
      </c>
      <c r="AK403" s="12">
        <f>+'Form20 '!J404</f>
        <v>2</v>
      </c>
      <c r="AL403" s="68">
        <v>10</v>
      </c>
      <c r="AM403" s="66" t="s">
        <v>30</v>
      </c>
      <c r="AN403" s="12">
        <f>+'Form20 '!K404</f>
        <v>3</v>
      </c>
      <c r="AO403" s="18">
        <v>11</v>
      </c>
      <c r="AP403" s="66" t="s">
        <v>30</v>
      </c>
      <c r="AQ403" s="12">
        <f>+'Form20 '!L404</f>
        <v>3</v>
      </c>
      <c r="AR403" s="18">
        <v>12</v>
      </c>
      <c r="AS403" s="66" t="s">
        <v>30</v>
      </c>
      <c r="AT403" s="12">
        <f>+'Form20 '!M404</f>
        <v>4</v>
      </c>
      <c r="AU403" s="18">
        <v>13</v>
      </c>
      <c r="AV403" s="66" t="s">
        <v>30</v>
      </c>
      <c r="AW403" s="12">
        <f>+'Form20 '!N404</f>
        <v>0</v>
      </c>
      <c r="AX403" s="18">
        <v>14</v>
      </c>
      <c r="AY403" s="66" t="s">
        <v>30</v>
      </c>
      <c r="AZ403" s="12">
        <f>+'Form20 '!O404</f>
        <v>1</v>
      </c>
      <c r="BA403" s="75">
        <f t="shared" si="13"/>
        <v>719</v>
      </c>
    </row>
    <row r="404" spans="1:53" s="67" customFormat="1" ht="59.25" customHeight="1">
      <c r="A404" s="18">
        <v>333</v>
      </c>
      <c r="B404" s="59">
        <v>398</v>
      </c>
      <c r="C404" s="76" t="s">
        <v>471</v>
      </c>
      <c r="D404" s="61">
        <v>1119</v>
      </c>
      <c r="E404" s="61">
        <v>330</v>
      </c>
      <c r="F404" s="61">
        <v>366</v>
      </c>
      <c r="G404" s="55">
        <v>0</v>
      </c>
      <c r="H404" s="62">
        <f t="shared" si="12"/>
        <v>696</v>
      </c>
      <c r="I404" s="55">
        <v>96</v>
      </c>
      <c r="J404" s="29">
        <v>0</v>
      </c>
      <c r="K404" s="68">
        <v>1</v>
      </c>
      <c r="L404" s="63" t="s">
        <v>29</v>
      </c>
      <c r="M404" s="12">
        <f>+'Form20 '!B405</f>
        <v>494</v>
      </c>
      <c r="N404" s="68">
        <v>2</v>
      </c>
      <c r="O404" s="58" t="s">
        <v>24</v>
      </c>
      <c r="P404" s="12">
        <f>+'Form20 '!C405</f>
        <v>11</v>
      </c>
      <c r="Q404" s="68">
        <v>3</v>
      </c>
      <c r="R404" s="63" t="s">
        <v>28</v>
      </c>
      <c r="S404" s="12">
        <f>+'Form20 '!D405</f>
        <v>166</v>
      </c>
      <c r="T404" s="68">
        <v>4</v>
      </c>
      <c r="U404" s="64" t="s">
        <v>65</v>
      </c>
      <c r="V404" s="12">
        <f>+'Form20 '!E405</f>
        <v>6</v>
      </c>
      <c r="W404" s="68">
        <v>5</v>
      </c>
      <c r="X404" s="58" t="s">
        <v>66</v>
      </c>
      <c r="Y404" s="12">
        <f>+'Form20 '!F405</f>
        <v>0</v>
      </c>
      <c r="Z404" s="18">
        <v>6</v>
      </c>
      <c r="AA404" s="64" t="s">
        <v>67</v>
      </c>
      <c r="AB404" s="12">
        <f>+'Form20 '!G405</f>
        <v>1</v>
      </c>
      <c r="AC404" s="68">
        <v>7</v>
      </c>
      <c r="AD404" s="63" t="s">
        <v>68</v>
      </c>
      <c r="AE404" s="12">
        <f>+'Form20 '!H405</f>
        <v>1</v>
      </c>
      <c r="AF404" s="68">
        <v>8</v>
      </c>
      <c r="AG404" s="63" t="s">
        <v>69</v>
      </c>
      <c r="AH404" s="12">
        <f>+'Form20 '!I405</f>
        <v>0</v>
      </c>
      <c r="AI404" s="68">
        <v>9</v>
      </c>
      <c r="AJ404" s="65" t="s">
        <v>70</v>
      </c>
      <c r="AK404" s="12">
        <f>+'Form20 '!J405</f>
        <v>2</v>
      </c>
      <c r="AL404" s="68">
        <v>10</v>
      </c>
      <c r="AM404" s="66" t="s">
        <v>30</v>
      </c>
      <c r="AN404" s="12">
        <f>+'Form20 '!K405</f>
        <v>0</v>
      </c>
      <c r="AO404" s="18">
        <v>11</v>
      </c>
      <c r="AP404" s="66" t="s">
        <v>30</v>
      </c>
      <c r="AQ404" s="12">
        <f>+'Form20 '!L405</f>
        <v>2</v>
      </c>
      <c r="AR404" s="18">
        <v>12</v>
      </c>
      <c r="AS404" s="66" t="s">
        <v>30</v>
      </c>
      <c r="AT404" s="12">
        <f>+'Form20 '!M405</f>
        <v>2</v>
      </c>
      <c r="AU404" s="18">
        <v>13</v>
      </c>
      <c r="AV404" s="66" t="s">
        <v>30</v>
      </c>
      <c r="AW404" s="12">
        <f>+'Form20 '!N405</f>
        <v>3</v>
      </c>
      <c r="AX404" s="18">
        <v>14</v>
      </c>
      <c r="AY404" s="66" t="s">
        <v>30</v>
      </c>
      <c r="AZ404" s="12">
        <f>+'Form20 '!O405</f>
        <v>2</v>
      </c>
      <c r="BA404" s="75">
        <f t="shared" si="13"/>
        <v>690</v>
      </c>
    </row>
    <row r="405" spans="1:53" s="67" customFormat="1" ht="59.25" customHeight="1">
      <c r="A405" s="18">
        <v>333</v>
      </c>
      <c r="B405" s="59">
        <v>399</v>
      </c>
      <c r="C405" s="76" t="s">
        <v>472</v>
      </c>
      <c r="D405" s="61">
        <v>1046</v>
      </c>
      <c r="E405" s="61">
        <v>299</v>
      </c>
      <c r="F405" s="61">
        <v>356</v>
      </c>
      <c r="G405" s="55">
        <v>0</v>
      </c>
      <c r="H405" s="62">
        <f t="shared" si="12"/>
        <v>655</v>
      </c>
      <c r="I405" s="55">
        <v>36</v>
      </c>
      <c r="J405" s="29">
        <v>0</v>
      </c>
      <c r="K405" s="68">
        <v>1</v>
      </c>
      <c r="L405" s="63" t="s">
        <v>29</v>
      </c>
      <c r="M405" s="12">
        <f>+'Form20 '!B406</f>
        <v>333</v>
      </c>
      <c r="N405" s="68">
        <v>2</v>
      </c>
      <c r="O405" s="58" t="s">
        <v>24</v>
      </c>
      <c r="P405" s="12">
        <f>+'Form20 '!C406</f>
        <v>30</v>
      </c>
      <c r="Q405" s="68">
        <v>3</v>
      </c>
      <c r="R405" s="63" t="s">
        <v>28</v>
      </c>
      <c r="S405" s="12">
        <f>+'Form20 '!D406</f>
        <v>261</v>
      </c>
      <c r="T405" s="68">
        <v>4</v>
      </c>
      <c r="U405" s="64" t="s">
        <v>65</v>
      </c>
      <c r="V405" s="12">
        <f>+'Form20 '!E406</f>
        <v>1</v>
      </c>
      <c r="W405" s="68">
        <v>5</v>
      </c>
      <c r="X405" s="58" t="s">
        <v>66</v>
      </c>
      <c r="Y405" s="12">
        <f>+'Form20 '!F406</f>
        <v>0</v>
      </c>
      <c r="Z405" s="18">
        <v>6</v>
      </c>
      <c r="AA405" s="64" t="s">
        <v>67</v>
      </c>
      <c r="AB405" s="12">
        <f>+'Form20 '!G406</f>
        <v>2</v>
      </c>
      <c r="AC405" s="68">
        <v>7</v>
      </c>
      <c r="AD405" s="63" t="s">
        <v>68</v>
      </c>
      <c r="AE405" s="12">
        <f>+'Form20 '!H406</f>
        <v>0</v>
      </c>
      <c r="AF405" s="68">
        <v>8</v>
      </c>
      <c r="AG405" s="63" t="s">
        <v>69</v>
      </c>
      <c r="AH405" s="12">
        <f>+'Form20 '!I406</f>
        <v>1</v>
      </c>
      <c r="AI405" s="68">
        <v>9</v>
      </c>
      <c r="AJ405" s="65" t="s">
        <v>70</v>
      </c>
      <c r="AK405" s="12">
        <f>+'Form20 '!J406</f>
        <v>0</v>
      </c>
      <c r="AL405" s="68">
        <v>10</v>
      </c>
      <c r="AM405" s="66" t="s">
        <v>30</v>
      </c>
      <c r="AN405" s="12">
        <f>+'Form20 '!K406</f>
        <v>3</v>
      </c>
      <c r="AO405" s="18">
        <v>11</v>
      </c>
      <c r="AP405" s="66" t="s">
        <v>30</v>
      </c>
      <c r="AQ405" s="12">
        <f>+'Form20 '!L406</f>
        <v>4</v>
      </c>
      <c r="AR405" s="18">
        <v>12</v>
      </c>
      <c r="AS405" s="66" t="s">
        <v>30</v>
      </c>
      <c r="AT405" s="12">
        <f>+'Form20 '!M406</f>
        <v>3</v>
      </c>
      <c r="AU405" s="18">
        <v>13</v>
      </c>
      <c r="AV405" s="66" t="s">
        <v>30</v>
      </c>
      <c r="AW405" s="12">
        <f>+'Form20 '!N406</f>
        <v>6</v>
      </c>
      <c r="AX405" s="18">
        <v>14</v>
      </c>
      <c r="AY405" s="66" t="s">
        <v>30</v>
      </c>
      <c r="AZ405" s="12">
        <f>+'Form20 '!O406</f>
        <v>3</v>
      </c>
      <c r="BA405" s="75">
        <f t="shared" si="13"/>
        <v>647</v>
      </c>
    </row>
    <row r="406" spans="1:53" s="67" customFormat="1" ht="59.25" customHeight="1">
      <c r="A406" s="18">
        <v>333</v>
      </c>
      <c r="B406" s="59">
        <v>400</v>
      </c>
      <c r="C406" s="76" t="s">
        <v>473</v>
      </c>
      <c r="D406" s="61">
        <v>1084</v>
      </c>
      <c r="E406" s="61">
        <v>345</v>
      </c>
      <c r="F406" s="61">
        <v>339</v>
      </c>
      <c r="G406" s="55">
        <v>0</v>
      </c>
      <c r="H406" s="62">
        <f t="shared" si="12"/>
        <v>684</v>
      </c>
      <c r="I406" s="55">
        <v>51</v>
      </c>
      <c r="J406" s="29">
        <v>0</v>
      </c>
      <c r="K406" s="68">
        <v>1</v>
      </c>
      <c r="L406" s="63" t="s">
        <v>29</v>
      </c>
      <c r="M406" s="12">
        <f>+'Form20 '!B407</f>
        <v>425</v>
      </c>
      <c r="N406" s="68">
        <v>2</v>
      </c>
      <c r="O406" s="58" t="s">
        <v>24</v>
      </c>
      <c r="P406" s="12">
        <f>+'Form20 '!C407</f>
        <v>6</v>
      </c>
      <c r="Q406" s="68">
        <v>3</v>
      </c>
      <c r="R406" s="63" t="s">
        <v>28</v>
      </c>
      <c r="S406" s="12">
        <f>+'Form20 '!D407</f>
        <v>223</v>
      </c>
      <c r="T406" s="68">
        <v>4</v>
      </c>
      <c r="U406" s="64" t="s">
        <v>65</v>
      </c>
      <c r="V406" s="12">
        <f>+'Form20 '!E407</f>
        <v>1</v>
      </c>
      <c r="W406" s="68">
        <v>5</v>
      </c>
      <c r="X406" s="58" t="s">
        <v>66</v>
      </c>
      <c r="Y406" s="12">
        <f>+'Form20 '!F407</f>
        <v>0</v>
      </c>
      <c r="Z406" s="18">
        <v>6</v>
      </c>
      <c r="AA406" s="64" t="s">
        <v>67</v>
      </c>
      <c r="AB406" s="12">
        <f>+'Form20 '!G407</f>
        <v>0</v>
      </c>
      <c r="AC406" s="68">
        <v>7</v>
      </c>
      <c r="AD406" s="63" t="s">
        <v>68</v>
      </c>
      <c r="AE406" s="12">
        <f>+'Form20 '!H407</f>
        <v>3</v>
      </c>
      <c r="AF406" s="68">
        <v>8</v>
      </c>
      <c r="AG406" s="63" t="s">
        <v>69</v>
      </c>
      <c r="AH406" s="12">
        <f>+'Form20 '!I407</f>
        <v>1</v>
      </c>
      <c r="AI406" s="68">
        <v>9</v>
      </c>
      <c r="AJ406" s="65" t="s">
        <v>70</v>
      </c>
      <c r="AK406" s="12">
        <f>+'Form20 '!J407</f>
        <v>3</v>
      </c>
      <c r="AL406" s="68">
        <v>10</v>
      </c>
      <c r="AM406" s="66" t="s">
        <v>30</v>
      </c>
      <c r="AN406" s="12">
        <f>+'Form20 '!K407</f>
        <v>0</v>
      </c>
      <c r="AO406" s="18">
        <v>11</v>
      </c>
      <c r="AP406" s="66" t="s">
        <v>30</v>
      </c>
      <c r="AQ406" s="12">
        <f>+'Form20 '!L407</f>
        <v>2</v>
      </c>
      <c r="AR406" s="18">
        <v>12</v>
      </c>
      <c r="AS406" s="66" t="s">
        <v>30</v>
      </c>
      <c r="AT406" s="12">
        <f>+'Form20 '!M407</f>
        <v>5</v>
      </c>
      <c r="AU406" s="18">
        <v>13</v>
      </c>
      <c r="AV406" s="66" t="s">
        <v>30</v>
      </c>
      <c r="AW406" s="12">
        <f>+'Form20 '!N407</f>
        <v>1</v>
      </c>
      <c r="AX406" s="18">
        <v>14</v>
      </c>
      <c r="AY406" s="66" t="s">
        <v>30</v>
      </c>
      <c r="AZ406" s="12">
        <f>+'Form20 '!O407</f>
        <v>4</v>
      </c>
      <c r="BA406" s="75">
        <f t="shared" si="13"/>
        <v>674</v>
      </c>
    </row>
    <row r="407" spans="1:53" s="67" customFormat="1" ht="59.25" customHeight="1">
      <c r="A407" s="18">
        <v>333</v>
      </c>
      <c r="B407" s="59">
        <v>401</v>
      </c>
      <c r="C407" s="76" t="s">
        <v>474</v>
      </c>
      <c r="D407" s="61">
        <v>780</v>
      </c>
      <c r="E407" s="61">
        <v>222</v>
      </c>
      <c r="F407" s="61">
        <v>224</v>
      </c>
      <c r="G407" s="55">
        <v>0</v>
      </c>
      <c r="H407" s="62">
        <f t="shared" si="12"/>
        <v>446</v>
      </c>
      <c r="I407" s="55">
        <v>192</v>
      </c>
      <c r="J407" s="29">
        <v>0</v>
      </c>
      <c r="K407" s="68">
        <v>1</v>
      </c>
      <c r="L407" s="63" t="s">
        <v>29</v>
      </c>
      <c r="M407" s="12">
        <f>+'Form20 '!B408</f>
        <v>233</v>
      </c>
      <c r="N407" s="68">
        <v>2</v>
      </c>
      <c r="O407" s="58" t="s">
        <v>24</v>
      </c>
      <c r="P407" s="12">
        <f>+'Form20 '!C408</f>
        <v>8</v>
      </c>
      <c r="Q407" s="68">
        <v>3</v>
      </c>
      <c r="R407" s="63" t="s">
        <v>28</v>
      </c>
      <c r="S407" s="12">
        <f>+'Form20 '!D408</f>
        <v>179</v>
      </c>
      <c r="T407" s="68">
        <v>4</v>
      </c>
      <c r="U407" s="64" t="s">
        <v>65</v>
      </c>
      <c r="V407" s="12">
        <f>+'Form20 '!E408</f>
        <v>0</v>
      </c>
      <c r="W407" s="68">
        <v>5</v>
      </c>
      <c r="X407" s="58" t="s">
        <v>66</v>
      </c>
      <c r="Y407" s="12">
        <f>+'Form20 '!F408</f>
        <v>0</v>
      </c>
      <c r="Z407" s="18">
        <v>6</v>
      </c>
      <c r="AA407" s="64" t="s">
        <v>67</v>
      </c>
      <c r="AB407" s="12">
        <f>+'Form20 '!G408</f>
        <v>9</v>
      </c>
      <c r="AC407" s="68">
        <v>7</v>
      </c>
      <c r="AD407" s="63" t="s">
        <v>68</v>
      </c>
      <c r="AE407" s="12">
        <f>+'Form20 '!H408</f>
        <v>1</v>
      </c>
      <c r="AF407" s="68">
        <v>8</v>
      </c>
      <c r="AG407" s="63" t="s">
        <v>69</v>
      </c>
      <c r="AH407" s="12">
        <f>+'Form20 '!I408</f>
        <v>0</v>
      </c>
      <c r="AI407" s="68">
        <v>9</v>
      </c>
      <c r="AJ407" s="65" t="s">
        <v>70</v>
      </c>
      <c r="AK407" s="12">
        <f>+'Form20 '!J408</f>
        <v>1</v>
      </c>
      <c r="AL407" s="68">
        <v>10</v>
      </c>
      <c r="AM407" s="66" t="s">
        <v>30</v>
      </c>
      <c r="AN407" s="12">
        <f>+'Form20 '!K408</f>
        <v>0</v>
      </c>
      <c r="AO407" s="18">
        <v>11</v>
      </c>
      <c r="AP407" s="66" t="s">
        <v>30</v>
      </c>
      <c r="AQ407" s="12">
        <f>+'Form20 '!L408</f>
        <v>1</v>
      </c>
      <c r="AR407" s="18">
        <v>12</v>
      </c>
      <c r="AS407" s="66" t="s">
        <v>30</v>
      </c>
      <c r="AT407" s="12">
        <f>+'Form20 '!M408</f>
        <v>4</v>
      </c>
      <c r="AU407" s="18">
        <v>13</v>
      </c>
      <c r="AV407" s="66" t="s">
        <v>30</v>
      </c>
      <c r="AW407" s="12">
        <f>+'Form20 '!N408</f>
        <v>2</v>
      </c>
      <c r="AX407" s="18">
        <v>14</v>
      </c>
      <c r="AY407" s="66" t="s">
        <v>30</v>
      </c>
      <c r="AZ407" s="12">
        <f>+'Form20 '!O408</f>
        <v>0</v>
      </c>
      <c r="BA407" s="75">
        <f t="shared" si="13"/>
        <v>438</v>
      </c>
    </row>
    <row r="408" spans="1:53" s="67" customFormat="1" ht="59.25" customHeight="1">
      <c r="A408" s="18">
        <v>333</v>
      </c>
      <c r="B408" s="59">
        <v>402</v>
      </c>
      <c r="C408" s="76" t="s">
        <v>475</v>
      </c>
      <c r="D408" s="61">
        <v>783</v>
      </c>
      <c r="E408" s="61">
        <v>235</v>
      </c>
      <c r="F408" s="61">
        <v>237</v>
      </c>
      <c r="G408" s="55">
        <v>0</v>
      </c>
      <c r="H408" s="62">
        <f t="shared" si="12"/>
        <v>472</v>
      </c>
      <c r="I408" s="55">
        <v>16</v>
      </c>
      <c r="J408" s="29">
        <v>0</v>
      </c>
      <c r="K408" s="68">
        <v>1</v>
      </c>
      <c r="L408" s="63" t="s">
        <v>29</v>
      </c>
      <c r="M408" s="12">
        <f>+'Form20 '!B409</f>
        <v>304</v>
      </c>
      <c r="N408" s="68">
        <v>2</v>
      </c>
      <c r="O408" s="58" t="s">
        <v>24</v>
      </c>
      <c r="P408" s="12">
        <f>+'Form20 '!C409</f>
        <v>27</v>
      </c>
      <c r="Q408" s="68">
        <v>3</v>
      </c>
      <c r="R408" s="63" t="s">
        <v>28</v>
      </c>
      <c r="S408" s="12">
        <f>+'Form20 '!D409</f>
        <v>120</v>
      </c>
      <c r="T408" s="68">
        <v>4</v>
      </c>
      <c r="U408" s="64" t="s">
        <v>65</v>
      </c>
      <c r="V408" s="12">
        <f>+'Form20 '!E409</f>
        <v>3</v>
      </c>
      <c r="W408" s="68">
        <v>5</v>
      </c>
      <c r="X408" s="58" t="s">
        <v>66</v>
      </c>
      <c r="Y408" s="12">
        <f>+'Form20 '!F409</f>
        <v>0</v>
      </c>
      <c r="Z408" s="18">
        <v>6</v>
      </c>
      <c r="AA408" s="64" t="s">
        <v>67</v>
      </c>
      <c r="AB408" s="12">
        <f>+'Form20 '!G409</f>
        <v>0</v>
      </c>
      <c r="AC408" s="68">
        <v>7</v>
      </c>
      <c r="AD408" s="63" t="s">
        <v>68</v>
      </c>
      <c r="AE408" s="12">
        <f>+'Form20 '!H409</f>
        <v>0</v>
      </c>
      <c r="AF408" s="68">
        <v>8</v>
      </c>
      <c r="AG408" s="63" t="s">
        <v>69</v>
      </c>
      <c r="AH408" s="12">
        <f>+'Form20 '!I409</f>
        <v>0</v>
      </c>
      <c r="AI408" s="68">
        <v>9</v>
      </c>
      <c r="AJ408" s="65" t="s">
        <v>70</v>
      </c>
      <c r="AK408" s="12">
        <f>+'Form20 '!J409</f>
        <v>0</v>
      </c>
      <c r="AL408" s="68">
        <v>10</v>
      </c>
      <c r="AM408" s="66" t="s">
        <v>30</v>
      </c>
      <c r="AN408" s="12">
        <f>+'Form20 '!K409</f>
        <v>1</v>
      </c>
      <c r="AO408" s="18">
        <v>11</v>
      </c>
      <c r="AP408" s="66" t="s">
        <v>30</v>
      </c>
      <c r="AQ408" s="12">
        <f>+'Form20 '!L409</f>
        <v>5</v>
      </c>
      <c r="AR408" s="18">
        <v>12</v>
      </c>
      <c r="AS408" s="66" t="s">
        <v>30</v>
      </c>
      <c r="AT408" s="12">
        <f>+'Form20 '!M409</f>
        <v>5</v>
      </c>
      <c r="AU408" s="18">
        <v>13</v>
      </c>
      <c r="AV408" s="66" t="s">
        <v>30</v>
      </c>
      <c r="AW408" s="12">
        <f>+'Form20 '!N409</f>
        <v>4</v>
      </c>
      <c r="AX408" s="18">
        <v>14</v>
      </c>
      <c r="AY408" s="66" t="s">
        <v>30</v>
      </c>
      <c r="AZ408" s="12">
        <f>+'Form20 '!O409</f>
        <v>0</v>
      </c>
      <c r="BA408" s="75">
        <f t="shared" si="13"/>
        <v>469</v>
      </c>
    </row>
    <row r="409" spans="1:53" s="67" customFormat="1" ht="59.25" customHeight="1">
      <c r="A409" s="18">
        <v>333</v>
      </c>
      <c r="B409" s="59">
        <v>403</v>
      </c>
      <c r="C409" s="76" t="s">
        <v>79</v>
      </c>
      <c r="D409" s="61">
        <v>935</v>
      </c>
      <c r="E409" s="61">
        <v>192</v>
      </c>
      <c r="F409" s="61">
        <v>183</v>
      </c>
      <c r="G409" s="55">
        <v>0</v>
      </c>
      <c r="H409" s="62">
        <f t="shared" si="12"/>
        <v>375</v>
      </c>
      <c r="I409" s="55">
        <v>10</v>
      </c>
      <c r="J409" s="29">
        <v>0</v>
      </c>
      <c r="K409" s="68">
        <v>1</v>
      </c>
      <c r="L409" s="63" t="s">
        <v>29</v>
      </c>
      <c r="M409" s="12">
        <f>+'Form20 '!B410</f>
        <v>263</v>
      </c>
      <c r="N409" s="68">
        <v>2</v>
      </c>
      <c r="O409" s="58" t="s">
        <v>24</v>
      </c>
      <c r="P409" s="12">
        <f>+'Form20 '!C410</f>
        <v>20</v>
      </c>
      <c r="Q409" s="68">
        <v>3</v>
      </c>
      <c r="R409" s="63" t="s">
        <v>28</v>
      </c>
      <c r="S409" s="12">
        <f>+'Form20 '!D410</f>
        <v>71</v>
      </c>
      <c r="T409" s="68">
        <v>4</v>
      </c>
      <c r="U409" s="64" t="s">
        <v>65</v>
      </c>
      <c r="V409" s="12">
        <f>+'Form20 '!E410</f>
        <v>1</v>
      </c>
      <c r="W409" s="68">
        <v>5</v>
      </c>
      <c r="X409" s="58" t="s">
        <v>66</v>
      </c>
      <c r="Y409" s="12">
        <f>+'Form20 '!F410</f>
        <v>0</v>
      </c>
      <c r="Z409" s="18">
        <v>6</v>
      </c>
      <c r="AA409" s="64" t="s">
        <v>67</v>
      </c>
      <c r="AB409" s="12">
        <f>+'Form20 '!G410</f>
        <v>1</v>
      </c>
      <c r="AC409" s="68">
        <v>7</v>
      </c>
      <c r="AD409" s="63" t="s">
        <v>68</v>
      </c>
      <c r="AE409" s="12">
        <f>+'Form20 '!H410</f>
        <v>0</v>
      </c>
      <c r="AF409" s="68">
        <v>8</v>
      </c>
      <c r="AG409" s="63" t="s">
        <v>69</v>
      </c>
      <c r="AH409" s="12">
        <f>+'Form20 '!I410</f>
        <v>1</v>
      </c>
      <c r="AI409" s="68">
        <v>9</v>
      </c>
      <c r="AJ409" s="65" t="s">
        <v>70</v>
      </c>
      <c r="AK409" s="12">
        <f>+'Form20 '!J410</f>
        <v>3</v>
      </c>
      <c r="AL409" s="68">
        <v>10</v>
      </c>
      <c r="AM409" s="66" t="s">
        <v>30</v>
      </c>
      <c r="AN409" s="12">
        <f>+'Form20 '!K410</f>
        <v>1</v>
      </c>
      <c r="AO409" s="18">
        <v>11</v>
      </c>
      <c r="AP409" s="66" t="s">
        <v>30</v>
      </c>
      <c r="AQ409" s="12">
        <f>+'Form20 '!L410</f>
        <v>1</v>
      </c>
      <c r="AR409" s="18">
        <v>12</v>
      </c>
      <c r="AS409" s="66" t="s">
        <v>30</v>
      </c>
      <c r="AT409" s="12">
        <f>+'Form20 '!M410</f>
        <v>1</v>
      </c>
      <c r="AU409" s="18">
        <v>13</v>
      </c>
      <c r="AV409" s="66" t="s">
        <v>30</v>
      </c>
      <c r="AW409" s="12">
        <f>+'Form20 '!N410</f>
        <v>2</v>
      </c>
      <c r="AX409" s="18">
        <v>14</v>
      </c>
      <c r="AY409" s="66" t="s">
        <v>30</v>
      </c>
      <c r="AZ409" s="12">
        <f>+'Form20 '!O410</f>
        <v>4</v>
      </c>
      <c r="BA409" s="75">
        <f t="shared" si="13"/>
        <v>369</v>
      </c>
    </row>
    <row r="410" spans="1:53" s="67" customFormat="1" ht="59.25" customHeight="1">
      <c r="A410" s="18">
        <v>333</v>
      </c>
      <c r="B410" s="59">
        <v>404</v>
      </c>
      <c r="C410" s="76" t="s">
        <v>78</v>
      </c>
      <c r="D410" s="61">
        <v>957</v>
      </c>
      <c r="E410" s="61">
        <v>236</v>
      </c>
      <c r="F410" s="61">
        <v>256</v>
      </c>
      <c r="G410" s="55">
        <v>0</v>
      </c>
      <c r="H410" s="62">
        <f t="shared" si="12"/>
        <v>492</v>
      </c>
      <c r="I410" s="55">
        <v>30</v>
      </c>
      <c r="J410" s="29">
        <v>0</v>
      </c>
      <c r="K410" s="68">
        <v>1</v>
      </c>
      <c r="L410" s="63" t="s">
        <v>29</v>
      </c>
      <c r="M410" s="12">
        <f>+'Form20 '!B411</f>
        <v>321</v>
      </c>
      <c r="N410" s="68">
        <v>2</v>
      </c>
      <c r="O410" s="58" t="s">
        <v>24</v>
      </c>
      <c r="P410" s="12">
        <f>+'Form20 '!C411</f>
        <v>17</v>
      </c>
      <c r="Q410" s="68">
        <v>3</v>
      </c>
      <c r="R410" s="63" t="s">
        <v>28</v>
      </c>
      <c r="S410" s="12">
        <f>+'Form20 '!D411</f>
        <v>136</v>
      </c>
      <c r="T410" s="68">
        <v>4</v>
      </c>
      <c r="U410" s="64" t="s">
        <v>65</v>
      </c>
      <c r="V410" s="12">
        <f>+'Form20 '!E411</f>
        <v>5</v>
      </c>
      <c r="W410" s="68">
        <v>5</v>
      </c>
      <c r="X410" s="58" t="s">
        <v>66</v>
      </c>
      <c r="Y410" s="12">
        <f>+'Form20 '!F411</f>
        <v>0</v>
      </c>
      <c r="Z410" s="18">
        <v>6</v>
      </c>
      <c r="AA410" s="64" t="s">
        <v>67</v>
      </c>
      <c r="AB410" s="12">
        <f>+'Form20 '!G411</f>
        <v>2</v>
      </c>
      <c r="AC410" s="68">
        <v>7</v>
      </c>
      <c r="AD410" s="63" t="s">
        <v>68</v>
      </c>
      <c r="AE410" s="12">
        <f>+'Form20 '!H411</f>
        <v>1</v>
      </c>
      <c r="AF410" s="68">
        <v>8</v>
      </c>
      <c r="AG410" s="63" t="s">
        <v>69</v>
      </c>
      <c r="AH410" s="12">
        <f>+'Form20 '!I411</f>
        <v>1</v>
      </c>
      <c r="AI410" s="68">
        <v>9</v>
      </c>
      <c r="AJ410" s="65" t="s">
        <v>70</v>
      </c>
      <c r="AK410" s="12">
        <f>+'Form20 '!J411</f>
        <v>2</v>
      </c>
      <c r="AL410" s="68">
        <v>10</v>
      </c>
      <c r="AM410" s="66" t="s">
        <v>30</v>
      </c>
      <c r="AN410" s="12">
        <f>+'Form20 '!K411</f>
        <v>0</v>
      </c>
      <c r="AO410" s="18">
        <v>11</v>
      </c>
      <c r="AP410" s="66" t="s">
        <v>30</v>
      </c>
      <c r="AQ410" s="12">
        <f>+'Form20 '!L411</f>
        <v>1</v>
      </c>
      <c r="AR410" s="18">
        <v>12</v>
      </c>
      <c r="AS410" s="66" t="s">
        <v>30</v>
      </c>
      <c r="AT410" s="12">
        <f>+'Form20 '!M411</f>
        <v>1</v>
      </c>
      <c r="AU410" s="18">
        <v>13</v>
      </c>
      <c r="AV410" s="66" t="s">
        <v>30</v>
      </c>
      <c r="AW410" s="12">
        <f>+'Form20 '!N411</f>
        <v>1</v>
      </c>
      <c r="AX410" s="18">
        <v>14</v>
      </c>
      <c r="AY410" s="66" t="s">
        <v>30</v>
      </c>
      <c r="AZ410" s="12">
        <f>+'Form20 '!O411</f>
        <v>1</v>
      </c>
      <c r="BA410" s="75">
        <f t="shared" si="13"/>
        <v>489</v>
      </c>
    </row>
    <row r="411" spans="1:53" s="67" customFormat="1" ht="59.25" customHeight="1">
      <c r="A411" s="18">
        <v>333</v>
      </c>
      <c r="B411" s="59">
        <v>405</v>
      </c>
      <c r="C411" s="76" t="s">
        <v>476</v>
      </c>
      <c r="D411" s="61">
        <v>1035</v>
      </c>
      <c r="E411" s="61">
        <v>281</v>
      </c>
      <c r="F411" s="61">
        <v>304</v>
      </c>
      <c r="G411" s="55">
        <v>0</v>
      </c>
      <c r="H411" s="62">
        <f t="shared" si="12"/>
        <v>585</v>
      </c>
      <c r="I411" s="55">
        <v>200</v>
      </c>
      <c r="J411" s="29">
        <v>0</v>
      </c>
      <c r="K411" s="68">
        <v>1</v>
      </c>
      <c r="L411" s="63" t="s">
        <v>29</v>
      </c>
      <c r="M411" s="12">
        <f>+'Form20 '!B412</f>
        <v>277</v>
      </c>
      <c r="N411" s="68">
        <v>2</v>
      </c>
      <c r="O411" s="58" t="s">
        <v>24</v>
      </c>
      <c r="P411" s="12">
        <f>+'Form20 '!C412</f>
        <v>15</v>
      </c>
      <c r="Q411" s="68">
        <v>3</v>
      </c>
      <c r="R411" s="63" t="s">
        <v>28</v>
      </c>
      <c r="S411" s="12">
        <f>+'Form20 '!D412</f>
        <v>263</v>
      </c>
      <c r="T411" s="68">
        <v>4</v>
      </c>
      <c r="U411" s="64" t="s">
        <v>65</v>
      </c>
      <c r="V411" s="12">
        <f>+'Form20 '!E412</f>
        <v>0</v>
      </c>
      <c r="W411" s="68">
        <v>5</v>
      </c>
      <c r="X411" s="58" t="s">
        <v>66</v>
      </c>
      <c r="Y411" s="12">
        <f>+'Form20 '!F412</f>
        <v>0</v>
      </c>
      <c r="Z411" s="18">
        <v>6</v>
      </c>
      <c r="AA411" s="64" t="s">
        <v>67</v>
      </c>
      <c r="AB411" s="12">
        <f>+'Form20 '!G412</f>
        <v>1</v>
      </c>
      <c r="AC411" s="68">
        <v>7</v>
      </c>
      <c r="AD411" s="63" t="s">
        <v>68</v>
      </c>
      <c r="AE411" s="12">
        <f>+'Form20 '!H412</f>
        <v>0</v>
      </c>
      <c r="AF411" s="68">
        <v>8</v>
      </c>
      <c r="AG411" s="63" t="s">
        <v>69</v>
      </c>
      <c r="AH411" s="12">
        <f>+'Form20 '!I412</f>
        <v>7</v>
      </c>
      <c r="AI411" s="68">
        <v>9</v>
      </c>
      <c r="AJ411" s="65" t="s">
        <v>70</v>
      </c>
      <c r="AK411" s="12">
        <f>+'Form20 '!J412</f>
        <v>6</v>
      </c>
      <c r="AL411" s="68">
        <v>10</v>
      </c>
      <c r="AM411" s="66" t="s">
        <v>30</v>
      </c>
      <c r="AN411" s="12">
        <f>+'Form20 '!K412</f>
        <v>1</v>
      </c>
      <c r="AO411" s="18">
        <v>11</v>
      </c>
      <c r="AP411" s="66" t="s">
        <v>30</v>
      </c>
      <c r="AQ411" s="12">
        <f>+'Form20 '!L412</f>
        <v>2</v>
      </c>
      <c r="AR411" s="18">
        <v>12</v>
      </c>
      <c r="AS411" s="66" t="s">
        <v>30</v>
      </c>
      <c r="AT411" s="12">
        <f>+'Form20 '!M412</f>
        <v>3</v>
      </c>
      <c r="AU411" s="18">
        <v>13</v>
      </c>
      <c r="AV411" s="66" t="s">
        <v>30</v>
      </c>
      <c r="AW411" s="12">
        <f>+'Form20 '!N412</f>
        <v>1</v>
      </c>
      <c r="AX411" s="18">
        <v>14</v>
      </c>
      <c r="AY411" s="66" t="s">
        <v>30</v>
      </c>
      <c r="AZ411" s="12">
        <f>+'Form20 '!O412</f>
        <v>3</v>
      </c>
      <c r="BA411" s="75">
        <f t="shared" si="13"/>
        <v>579</v>
      </c>
    </row>
    <row r="412" spans="1:53" s="67" customFormat="1" ht="59.25" customHeight="1">
      <c r="A412" s="18">
        <v>333</v>
      </c>
      <c r="B412" s="59">
        <v>406</v>
      </c>
      <c r="C412" s="76" t="s">
        <v>476</v>
      </c>
      <c r="D412" s="61">
        <v>1044</v>
      </c>
      <c r="E412" s="61">
        <v>278</v>
      </c>
      <c r="F412" s="61">
        <v>302</v>
      </c>
      <c r="G412" s="55">
        <v>0</v>
      </c>
      <c r="H412" s="62">
        <f t="shared" si="12"/>
        <v>580</v>
      </c>
      <c r="I412" s="55">
        <v>20</v>
      </c>
      <c r="J412" s="29">
        <v>0</v>
      </c>
      <c r="K412" s="68">
        <v>1</v>
      </c>
      <c r="L412" s="63" t="s">
        <v>29</v>
      </c>
      <c r="M412" s="12">
        <f>+'Form20 '!B413</f>
        <v>315</v>
      </c>
      <c r="N412" s="68">
        <v>2</v>
      </c>
      <c r="O412" s="58" t="s">
        <v>24</v>
      </c>
      <c r="P412" s="12">
        <f>+'Form20 '!C413</f>
        <v>5</v>
      </c>
      <c r="Q412" s="68">
        <v>3</v>
      </c>
      <c r="R412" s="63" t="s">
        <v>28</v>
      </c>
      <c r="S412" s="12">
        <f>+'Form20 '!D413</f>
        <v>229</v>
      </c>
      <c r="T412" s="68">
        <v>4</v>
      </c>
      <c r="U412" s="64" t="s">
        <v>65</v>
      </c>
      <c r="V412" s="12">
        <f>+'Form20 '!E413</f>
        <v>3</v>
      </c>
      <c r="W412" s="68">
        <v>5</v>
      </c>
      <c r="X412" s="58" t="s">
        <v>66</v>
      </c>
      <c r="Y412" s="12">
        <f>+'Form20 '!F413</f>
        <v>1</v>
      </c>
      <c r="Z412" s="18">
        <v>6</v>
      </c>
      <c r="AA412" s="64" t="s">
        <v>67</v>
      </c>
      <c r="AB412" s="12">
        <f>+'Form20 '!G413</f>
        <v>0</v>
      </c>
      <c r="AC412" s="68">
        <v>7</v>
      </c>
      <c r="AD412" s="63" t="s">
        <v>68</v>
      </c>
      <c r="AE412" s="12">
        <f>+'Form20 '!H413</f>
        <v>0</v>
      </c>
      <c r="AF412" s="68">
        <v>8</v>
      </c>
      <c r="AG412" s="63" t="s">
        <v>69</v>
      </c>
      <c r="AH412" s="12">
        <f>+'Form20 '!I413</f>
        <v>8</v>
      </c>
      <c r="AI412" s="68">
        <v>9</v>
      </c>
      <c r="AJ412" s="65" t="s">
        <v>70</v>
      </c>
      <c r="AK412" s="12">
        <f>+'Form20 '!J413</f>
        <v>5</v>
      </c>
      <c r="AL412" s="68">
        <v>10</v>
      </c>
      <c r="AM412" s="66" t="s">
        <v>30</v>
      </c>
      <c r="AN412" s="12">
        <f>+'Form20 '!K413</f>
        <v>0</v>
      </c>
      <c r="AO412" s="18">
        <v>11</v>
      </c>
      <c r="AP412" s="66" t="s">
        <v>30</v>
      </c>
      <c r="AQ412" s="12">
        <f>+'Form20 '!L413</f>
        <v>0</v>
      </c>
      <c r="AR412" s="18">
        <v>12</v>
      </c>
      <c r="AS412" s="66" t="s">
        <v>30</v>
      </c>
      <c r="AT412" s="12">
        <f>+'Form20 '!M413</f>
        <v>2</v>
      </c>
      <c r="AU412" s="18">
        <v>13</v>
      </c>
      <c r="AV412" s="66" t="s">
        <v>30</v>
      </c>
      <c r="AW412" s="12">
        <f>+'Form20 '!N413</f>
        <v>2</v>
      </c>
      <c r="AX412" s="18">
        <v>14</v>
      </c>
      <c r="AY412" s="66" t="s">
        <v>30</v>
      </c>
      <c r="AZ412" s="12">
        <f>+'Form20 '!O413</f>
        <v>3</v>
      </c>
      <c r="BA412" s="75">
        <f t="shared" si="13"/>
        <v>573</v>
      </c>
    </row>
    <row r="413" spans="1:53" s="67" customFormat="1" ht="59.25" customHeight="1">
      <c r="A413" s="18">
        <v>333</v>
      </c>
      <c r="B413" s="59">
        <v>407</v>
      </c>
      <c r="C413" s="76" t="s">
        <v>477</v>
      </c>
      <c r="D413" s="61">
        <v>964</v>
      </c>
      <c r="E413" s="61">
        <v>304</v>
      </c>
      <c r="F413" s="61">
        <v>339</v>
      </c>
      <c r="G413" s="55">
        <v>0</v>
      </c>
      <c r="H413" s="62">
        <f t="shared" si="12"/>
        <v>643</v>
      </c>
      <c r="I413" s="55">
        <v>128</v>
      </c>
      <c r="J413" s="29">
        <v>0</v>
      </c>
      <c r="K413" s="68">
        <v>1</v>
      </c>
      <c r="L413" s="63" t="s">
        <v>29</v>
      </c>
      <c r="M413" s="12">
        <f>+'Form20 '!B414</f>
        <v>507</v>
      </c>
      <c r="N413" s="68">
        <v>2</v>
      </c>
      <c r="O413" s="58" t="s">
        <v>24</v>
      </c>
      <c r="P413" s="12">
        <f>+'Form20 '!C414</f>
        <v>20</v>
      </c>
      <c r="Q413" s="68">
        <v>3</v>
      </c>
      <c r="R413" s="63" t="s">
        <v>28</v>
      </c>
      <c r="S413" s="12">
        <f>+'Form20 '!D414</f>
        <v>82</v>
      </c>
      <c r="T413" s="68">
        <v>4</v>
      </c>
      <c r="U413" s="64" t="s">
        <v>65</v>
      </c>
      <c r="V413" s="12">
        <f>+'Form20 '!E414</f>
        <v>2</v>
      </c>
      <c r="W413" s="68">
        <v>5</v>
      </c>
      <c r="X413" s="58" t="s">
        <v>66</v>
      </c>
      <c r="Y413" s="12">
        <f>+'Form20 '!F414</f>
        <v>4</v>
      </c>
      <c r="Z413" s="18">
        <v>6</v>
      </c>
      <c r="AA413" s="64" t="s">
        <v>67</v>
      </c>
      <c r="AB413" s="12">
        <f>+'Form20 '!G414</f>
        <v>0</v>
      </c>
      <c r="AC413" s="68">
        <v>7</v>
      </c>
      <c r="AD413" s="63" t="s">
        <v>68</v>
      </c>
      <c r="AE413" s="12">
        <f>+'Form20 '!H414</f>
        <v>0</v>
      </c>
      <c r="AF413" s="68">
        <v>8</v>
      </c>
      <c r="AG413" s="63" t="s">
        <v>69</v>
      </c>
      <c r="AH413" s="12">
        <f>+'Form20 '!I414</f>
        <v>0</v>
      </c>
      <c r="AI413" s="68">
        <v>9</v>
      </c>
      <c r="AJ413" s="65" t="s">
        <v>70</v>
      </c>
      <c r="AK413" s="12">
        <f>+'Form20 '!J414</f>
        <v>2</v>
      </c>
      <c r="AL413" s="68">
        <v>10</v>
      </c>
      <c r="AM413" s="66" t="s">
        <v>30</v>
      </c>
      <c r="AN413" s="12">
        <f>+'Form20 '!K414</f>
        <v>2</v>
      </c>
      <c r="AO413" s="18">
        <v>11</v>
      </c>
      <c r="AP413" s="66" t="s">
        <v>30</v>
      </c>
      <c r="AQ413" s="12">
        <f>+'Form20 '!L414</f>
        <v>2</v>
      </c>
      <c r="AR413" s="18">
        <v>12</v>
      </c>
      <c r="AS413" s="66" t="s">
        <v>30</v>
      </c>
      <c r="AT413" s="12">
        <f>+'Form20 '!M414</f>
        <v>3</v>
      </c>
      <c r="AU413" s="18">
        <v>13</v>
      </c>
      <c r="AV413" s="66" t="s">
        <v>30</v>
      </c>
      <c r="AW413" s="12">
        <f>+'Form20 '!N414</f>
        <v>6</v>
      </c>
      <c r="AX413" s="18">
        <v>14</v>
      </c>
      <c r="AY413" s="66" t="s">
        <v>30</v>
      </c>
      <c r="AZ413" s="12">
        <f>+'Form20 '!O414</f>
        <v>1</v>
      </c>
      <c r="BA413" s="75">
        <f t="shared" si="13"/>
        <v>631</v>
      </c>
    </row>
    <row r="414" spans="1:53" s="67" customFormat="1" ht="59.25" customHeight="1">
      <c r="A414" s="18">
        <v>333</v>
      </c>
      <c r="B414" s="59">
        <v>408</v>
      </c>
      <c r="C414" s="76" t="s">
        <v>478</v>
      </c>
      <c r="D414" s="61">
        <v>946</v>
      </c>
      <c r="E414" s="61">
        <v>248</v>
      </c>
      <c r="F414" s="61">
        <v>317</v>
      </c>
      <c r="G414" s="55">
        <v>0</v>
      </c>
      <c r="H414" s="62">
        <f t="shared" si="12"/>
        <v>565</v>
      </c>
      <c r="I414" s="55">
        <v>45</v>
      </c>
      <c r="J414" s="29">
        <v>0</v>
      </c>
      <c r="K414" s="68">
        <v>1</v>
      </c>
      <c r="L414" s="63" t="s">
        <v>29</v>
      </c>
      <c r="M414" s="12">
        <f>+'Form20 '!B415</f>
        <v>349</v>
      </c>
      <c r="N414" s="68">
        <v>2</v>
      </c>
      <c r="O414" s="58" t="s">
        <v>24</v>
      </c>
      <c r="P414" s="12">
        <f>+'Form20 '!C415</f>
        <v>65</v>
      </c>
      <c r="Q414" s="68">
        <v>3</v>
      </c>
      <c r="R414" s="63" t="s">
        <v>28</v>
      </c>
      <c r="S414" s="12">
        <f>+'Form20 '!D415</f>
        <v>122</v>
      </c>
      <c r="T414" s="68">
        <v>4</v>
      </c>
      <c r="U414" s="64" t="s">
        <v>65</v>
      </c>
      <c r="V414" s="12">
        <f>+'Form20 '!E415</f>
        <v>2</v>
      </c>
      <c r="W414" s="68">
        <v>5</v>
      </c>
      <c r="X414" s="58" t="s">
        <v>66</v>
      </c>
      <c r="Y414" s="12">
        <f>+'Form20 '!F415</f>
        <v>2</v>
      </c>
      <c r="Z414" s="18">
        <v>6</v>
      </c>
      <c r="AA414" s="64" t="s">
        <v>67</v>
      </c>
      <c r="AB414" s="12">
        <f>+'Form20 '!G415</f>
        <v>1</v>
      </c>
      <c r="AC414" s="68">
        <v>7</v>
      </c>
      <c r="AD414" s="63" t="s">
        <v>68</v>
      </c>
      <c r="AE414" s="12">
        <f>+'Form20 '!H415</f>
        <v>1</v>
      </c>
      <c r="AF414" s="68">
        <v>8</v>
      </c>
      <c r="AG414" s="63" t="s">
        <v>69</v>
      </c>
      <c r="AH414" s="12">
        <f>+'Form20 '!I415</f>
        <v>0</v>
      </c>
      <c r="AI414" s="68">
        <v>9</v>
      </c>
      <c r="AJ414" s="65" t="s">
        <v>70</v>
      </c>
      <c r="AK414" s="12">
        <f>+'Form20 '!J415</f>
        <v>0</v>
      </c>
      <c r="AL414" s="68">
        <v>10</v>
      </c>
      <c r="AM414" s="66" t="s">
        <v>30</v>
      </c>
      <c r="AN414" s="12">
        <f>+'Form20 '!K415</f>
        <v>1</v>
      </c>
      <c r="AO414" s="18">
        <v>11</v>
      </c>
      <c r="AP414" s="66" t="s">
        <v>30</v>
      </c>
      <c r="AQ414" s="12">
        <f>+'Form20 '!L415</f>
        <v>2</v>
      </c>
      <c r="AR414" s="18">
        <v>12</v>
      </c>
      <c r="AS414" s="66" t="s">
        <v>30</v>
      </c>
      <c r="AT414" s="12">
        <f>+'Form20 '!M415</f>
        <v>2</v>
      </c>
      <c r="AU414" s="18">
        <v>13</v>
      </c>
      <c r="AV414" s="66" t="s">
        <v>30</v>
      </c>
      <c r="AW414" s="12">
        <f>+'Form20 '!N415</f>
        <v>2</v>
      </c>
      <c r="AX414" s="18">
        <v>14</v>
      </c>
      <c r="AY414" s="66" t="s">
        <v>30</v>
      </c>
      <c r="AZ414" s="12">
        <f>+'Form20 '!O415</f>
        <v>6</v>
      </c>
      <c r="BA414" s="75">
        <f t="shared" si="13"/>
        <v>555</v>
      </c>
    </row>
    <row r="415" spans="1:53" s="67" customFormat="1" ht="59.25" customHeight="1">
      <c r="A415" s="18">
        <v>333</v>
      </c>
      <c r="B415" s="59">
        <v>409</v>
      </c>
      <c r="C415" s="76" t="s">
        <v>479</v>
      </c>
      <c r="D415" s="61">
        <v>975</v>
      </c>
      <c r="E415" s="61">
        <v>275</v>
      </c>
      <c r="F415" s="61">
        <v>309</v>
      </c>
      <c r="G415" s="55">
        <v>0</v>
      </c>
      <c r="H415" s="62">
        <f t="shared" si="12"/>
        <v>584</v>
      </c>
      <c r="I415" s="55">
        <v>45</v>
      </c>
      <c r="J415" s="29">
        <v>0</v>
      </c>
      <c r="K415" s="68">
        <v>1</v>
      </c>
      <c r="L415" s="63" t="s">
        <v>29</v>
      </c>
      <c r="M415" s="12">
        <f>+'Form20 '!B416</f>
        <v>361</v>
      </c>
      <c r="N415" s="68">
        <v>2</v>
      </c>
      <c r="O415" s="58" t="s">
        <v>24</v>
      </c>
      <c r="P415" s="12">
        <f>+'Form20 '!C416</f>
        <v>15</v>
      </c>
      <c r="Q415" s="68">
        <v>3</v>
      </c>
      <c r="R415" s="63" t="s">
        <v>28</v>
      </c>
      <c r="S415" s="12">
        <f>+'Form20 '!D416</f>
        <v>165</v>
      </c>
      <c r="T415" s="68">
        <v>4</v>
      </c>
      <c r="U415" s="64" t="s">
        <v>65</v>
      </c>
      <c r="V415" s="12">
        <f>+'Form20 '!E416</f>
        <v>4</v>
      </c>
      <c r="W415" s="68">
        <v>5</v>
      </c>
      <c r="X415" s="58" t="s">
        <v>66</v>
      </c>
      <c r="Y415" s="12">
        <f>+'Form20 '!F416</f>
        <v>1</v>
      </c>
      <c r="Z415" s="18">
        <v>6</v>
      </c>
      <c r="AA415" s="64" t="s">
        <v>67</v>
      </c>
      <c r="AB415" s="12">
        <f>+'Form20 '!G416</f>
        <v>0</v>
      </c>
      <c r="AC415" s="68">
        <v>7</v>
      </c>
      <c r="AD415" s="63" t="s">
        <v>68</v>
      </c>
      <c r="AE415" s="12">
        <f>+'Form20 '!H416</f>
        <v>1</v>
      </c>
      <c r="AF415" s="68">
        <v>8</v>
      </c>
      <c r="AG415" s="63" t="s">
        <v>69</v>
      </c>
      <c r="AH415" s="12">
        <f>+'Form20 '!I416</f>
        <v>2</v>
      </c>
      <c r="AI415" s="68">
        <v>9</v>
      </c>
      <c r="AJ415" s="65" t="s">
        <v>70</v>
      </c>
      <c r="AK415" s="12">
        <f>+'Form20 '!J416</f>
        <v>1</v>
      </c>
      <c r="AL415" s="68">
        <v>10</v>
      </c>
      <c r="AM415" s="66" t="s">
        <v>30</v>
      </c>
      <c r="AN415" s="12">
        <f>+'Form20 '!K416</f>
        <v>1</v>
      </c>
      <c r="AO415" s="18">
        <v>11</v>
      </c>
      <c r="AP415" s="66" t="s">
        <v>30</v>
      </c>
      <c r="AQ415" s="12">
        <f>+'Form20 '!L416</f>
        <v>3</v>
      </c>
      <c r="AR415" s="18">
        <v>12</v>
      </c>
      <c r="AS415" s="66" t="s">
        <v>30</v>
      </c>
      <c r="AT415" s="12">
        <f>+'Form20 '!M416</f>
        <v>4</v>
      </c>
      <c r="AU415" s="18">
        <v>13</v>
      </c>
      <c r="AV415" s="66" t="s">
        <v>30</v>
      </c>
      <c r="AW415" s="12">
        <f>+'Form20 '!N416</f>
        <v>5</v>
      </c>
      <c r="AX415" s="18">
        <v>14</v>
      </c>
      <c r="AY415" s="66" t="s">
        <v>30</v>
      </c>
      <c r="AZ415" s="12">
        <f>+'Form20 '!O416</f>
        <v>5</v>
      </c>
      <c r="BA415" s="75">
        <f t="shared" si="13"/>
        <v>568</v>
      </c>
    </row>
    <row r="416" spans="1:53" s="67" customFormat="1" ht="59.25" customHeight="1" thickBot="1">
      <c r="A416" s="18">
        <v>333</v>
      </c>
      <c r="B416" s="59">
        <v>410</v>
      </c>
      <c r="C416" s="77" t="s">
        <v>480</v>
      </c>
      <c r="D416" s="61">
        <v>974</v>
      </c>
      <c r="E416" s="61">
        <v>277</v>
      </c>
      <c r="F416" s="61">
        <v>318</v>
      </c>
      <c r="G416" s="55">
        <v>0</v>
      </c>
      <c r="H416" s="62">
        <f t="shared" si="12"/>
        <v>595</v>
      </c>
      <c r="I416" s="55">
        <v>54</v>
      </c>
      <c r="J416" s="29">
        <v>0</v>
      </c>
      <c r="K416" s="68">
        <v>1</v>
      </c>
      <c r="L416" s="63" t="s">
        <v>29</v>
      </c>
      <c r="M416" s="12">
        <f>+'Form20 '!B417</f>
        <v>398</v>
      </c>
      <c r="N416" s="68">
        <v>2</v>
      </c>
      <c r="O416" s="58" t="s">
        <v>24</v>
      </c>
      <c r="P416" s="12">
        <f>+'Form20 '!C417</f>
        <v>23</v>
      </c>
      <c r="Q416" s="68">
        <v>3</v>
      </c>
      <c r="R416" s="63" t="s">
        <v>28</v>
      </c>
      <c r="S416" s="12">
        <f>+'Form20 '!D417</f>
        <v>146</v>
      </c>
      <c r="T416" s="68">
        <v>4</v>
      </c>
      <c r="U416" s="64" t="s">
        <v>65</v>
      </c>
      <c r="V416" s="12">
        <f>+'Form20 '!E417</f>
        <v>5</v>
      </c>
      <c r="W416" s="68">
        <v>5</v>
      </c>
      <c r="X416" s="58" t="s">
        <v>66</v>
      </c>
      <c r="Y416" s="12">
        <f>+'Form20 '!F417</f>
        <v>0</v>
      </c>
      <c r="Z416" s="18">
        <v>6</v>
      </c>
      <c r="AA416" s="64" t="s">
        <v>67</v>
      </c>
      <c r="AB416" s="12">
        <f>+'Form20 '!G417</f>
        <v>0</v>
      </c>
      <c r="AC416" s="68">
        <v>7</v>
      </c>
      <c r="AD416" s="63" t="s">
        <v>68</v>
      </c>
      <c r="AE416" s="12">
        <f>+'Form20 '!H417</f>
        <v>0</v>
      </c>
      <c r="AF416" s="68">
        <v>8</v>
      </c>
      <c r="AG416" s="63" t="s">
        <v>69</v>
      </c>
      <c r="AH416" s="12">
        <f>+'Form20 '!I417</f>
        <v>0</v>
      </c>
      <c r="AI416" s="68">
        <v>9</v>
      </c>
      <c r="AJ416" s="65" t="s">
        <v>70</v>
      </c>
      <c r="AK416" s="12">
        <f>+'Form20 '!J417</f>
        <v>4</v>
      </c>
      <c r="AL416" s="68">
        <v>10</v>
      </c>
      <c r="AM416" s="66" t="s">
        <v>30</v>
      </c>
      <c r="AN416" s="12">
        <f>+'Form20 '!K417</f>
        <v>0</v>
      </c>
      <c r="AO416" s="18">
        <v>11</v>
      </c>
      <c r="AP416" s="66" t="s">
        <v>30</v>
      </c>
      <c r="AQ416" s="12">
        <f>+'Form20 '!L417</f>
        <v>2</v>
      </c>
      <c r="AR416" s="18">
        <v>12</v>
      </c>
      <c r="AS416" s="66" t="s">
        <v>30</v>
      </c>
      <c r="AT416" s="12">
        <f>+'Form20 '!M417</f>
        <v>3</v>
      </c>
      <c r="AU416" s="18">
        <v>13</v>
      </c>
      <c r="AV416" s="66" t="s">
        <v>30</v>
      </c>
      <c r="AW416" s="12">
        <f>+'Form20 '!N417</f>
        <v>0</v>
      </c>
      <c r="AX416" s="18">
        <v>14</v>
      </c>
      <c r="AY416" s="66" t="s">
        <v>30</v>
      </c>
      <c r="AZ416" s="12">
        <f>+'Form20 '!O417</f>
        <v>5</v>
      </c>
      <c r="BA416" s="75">
        <f t="shared" si="13"/>
        <v>586</v>
      </c>
    </row>
    <row r="417" spans="1:53" s="67" customFormat="1" ht="59.25" customHeight="1">
      <c r="A417" s="18">
        <v>333</v>
      </c>
      <c r="B417" s="59">
        <v>411</v>
      </c>
      <c r="C417" s="60" t="s">
        <v>51</v>
      </c>
      <c r="D417" s="61">
        <v>991</v>
      </c>
      <c r="E417" s="61">
        <v>337</v>
      </c>
      <c r="F417" s="61">
        <v>332</v>
      </c>
      <c r="G417" s="55">
        <v>0</v>
      </c>
      <c r="H417" s="62">
        <f t="shared" si="12"/>
        <v>669</v>
      </c>
      <c r="I417" s="55">
        <v>50</v>
      </c>
      <c r="J417" s="29">
        <v>0</v>
      </c>
      <c r="K417" s="68">
        <v>1</v>
      </c>
      <c r="L417" s="63" t="s">
        <v>29</v>
      </c>
      <c r="M417" s="12">
        <f>+'Form20 '!B418</f>
        <v>298</v>
      </c>
      <c r="N417" s="68">
        <v>2</v>
      </c>
      <c r="O417" s="58" t="s">
        <v>24</v>
      </c>
      <c r="P417" s="12">
        <f>+'Form20 '!C418</f>
        <v>210</v>
      </c>
      <c r="Q417" s="68">
        <v>3</v>
      </c>
      <c r="R417" s="63" t="s">
        <v>28</v>
      </c>
      <c r="S417" s="12">
        <f>+'Form20 '!D418</f>
        <v>140</v>
      </c>
      <c r="T417" s="68">
        <v>4</v>
      </c>
      <c r="U417" s="64" t="s">
        <v>65</v>
      </c>
      <c r="V417" s="12">
        <f>+'Form20 '!E418</f>
        <v>7</v>
      </c>
      <c r="W417" s="68">
        <v>5</v>
      </c>
      <c r="X417" s="58" t="s">
        <v>66</v>
      </c>
      <c r="Y417" s="12">
        <f>+'Form20 '!F418</f>
        <v>1</v>
      </c>
      <c r="Z417" s="18">
        <v>6</v>
      </c>
      <c r="AA417" s="64" t="s">
        <v>67</v>
      </c>
      <c r="AB417" s="12">
        <f>+'Form20 '!G418</f>
        <v>1</v>
      </c>
      <c r="AC417" s="68">
        <v>7</v>
      </c>
      <c r="AD417" s="63" t="s">
        <v>68</v>
      </c>
      <c r="AE417" s="12">
        <f>+'Form20 '!H418</f>
        <v>0</v>
      </c>
      <c r="AF417" s="68">
        <v>8</v>
      </c>
      <c r="AG417" s="63" t="s">
        <v>69</v>
      </c>
      <c r="AH417" s="12">
        <f>+'Form20 '!I418</f>
        <v>1</v>
      </c>
      <c r="AI417" s="68">
        <v>9</v>
      </c>
      <c r="AJ417" s="65" t="s">
        <v>70</v>
      </c>
      <c r="AK417" s="12">
        <f>+'Form20 '!J418</f>
        <v>0</v>
      </c>
      <c r="AL417" s="68">
        <v>10</v>
      </c>
      <c r="AM417" s="66" t="s">
        <v>30</v>
      </c>
      <c r="AN417" s="12">
        <f>+'Form20 '!K418</f>
        <v>1</v>
      </c>
      <c r="AO417" s="18">
        <v>11</v>
      </c>
      <c r="AP417" s="66" t="s">
        <v>30</v>
      </c>
      <c r="AQ417" s="12">
        <f>+'Form20 '!L418</f>
        <v>1</v>
      </c>
      <c r="AR417" s="18">
        <v>12</v>
      </c>
      <c r="AS417" s="66" t="s">
        <v>30</v>
      </c>
      <c r="AT417" s="12">
        <f>+'Form20 '!M418</f>
        <v>0</v>
      </c>
      <c r="AU417" s="18">
        <v>13</v>
      </c>
      <c r="AV417" s="66" t="s">
        <v>30</v>
      </c>
      <c r="AW417" s="12">
        <f>+'Form20 '!N418</f>
        <v>1</v>
      </c>
      <c r="AX417" s="18">
        <v>14</v>
      </c>
      <c r="AY417" s="66" t="s">
        <v>30</v>
      </c>
      <c r="AZ417" s="12">
        <f>+'Form20 '!O418</f>
        <v>1</v>
      </c>
      <c r="BA417" s="75">
        <f t="shared" si="13"/>
        <v>662</v>
      </c>
    </row>
    <row r="418" spans="1:53" s="67" customFormat="1" ht="59.25" customHeight="1">
      <c r="A418" s="18">
        <v>333</v>
      </c>
      <c r="B418" s="59">
        <v>412</v>
      </c>
      <c r="C418" s="60" t="s">
        <v>52</v>
      </c>
      <c r="D418" s="61">
        <v>1134</v>
      </c>
      <c r="E418" s="61">
        <v>318</v>
      </c>
      <c r="F418" s="61">
        <v>336</v>
      </c>
      <c r="G418" s="55">
        <v>0</v>
      </c>
      <c r="H418" s="62">
        <f t="shared" si="12"/>
        <v>654</v>
      </c>
      <c r="I418" s="55">
        <v>56</v>
      </c>
      <c r="J418" s="29">
        <v>0</v>
      </c>
      <c r="K418" s="68">
        <v>1</v>
      </c>
      <c r="L418" s="63" t="s">
        <v>29</v>
      </c>
      <c r="M418" s="12">
        <f>+'Form20 '!B419</f>
        <v>355</v>
      </c>
      <c r="N418" s="68">
        <v>2</v>
      </c>
      <c r="O418" s="58" t="s">
        <v>24</v>
      </c>
      <c r="P418" s="12">
        <f>+'Form20 '!C419</f>
        <v>13</v>
      </c>
      <c r="Q418" s="68">
        <v>3</v>
      </c>
      <c r="R418" s="63" t="s">
        <v>28</v>
      </c>
      <c r="S418" s="12">
        <f>+'Form20 '!D419</f>
        <v>273</v>
      </c>
      <c r="T418" s="68">
        <v>4</v>
      </c>
      <c r="U418" s="64" t="s">
        <v>65</v>
      </c>
      <c r="V418" s="12">
        <f>+'Form20 '!E419</f>
        <v>0</v>
      </c>
      <c r="W418" s="68">
        <v>5</v>
      </c>
      <c r="X418" s="58" t="s">
        <v>66</v>
      </c>
      <c r="Y418" s="12">
        <f>+'Form20 '!F419</f>
        <v>1</v>
      </c>
      <c r="Z418" s="18">
        <v>6</v>
      </c>
      <c r="AA418" s="64" t="s">
        <v>67</v>
      </c>
      <c r="AB418" s="12">
        <f>+'Form20 '!G419</f>
        <v>0</v>
      </c>
      <c r="AC418" s="68">
        <v>7</v>
      </c>
      <c r="AD418" s="63" t="s">
        <v>68</v>
      </c>
      <c r="AE418" s="12">
        <f>+'Form20 '!H419</f>
        <v>0</v>
      </c>
      <c r="AF418" s="68">
        <v>8</v>
      </c>
      <c r="AG418" s="63" t="s">
        <v>69</v>
      </c>
      <c r="AH418" s="12">
        <f>+'Form20 '!I419</f>
        <v>1</v>
      </c>
      <c r="AI418" s="68">
        <v>9</v>
      </c>
      <c r="AJ418" s="65" t="s">
        <v>70</v>
      </c>
      <c r="AK418" s="12">
        <f>+'Form20 '!J419</f>
        <v>0</v>
      </c>
      <c r="AL418" s="68">
        <v>10</v>
      </c>
      <c r="AM418" s="66" t="s">
        <v>30</v>
      </c>
      <c r="AN418" s="12">
        <f>+'Form20 '!K419</f>
        <v>0</v>
      </c>
      <c r="AO418" s="18">
        <v>11</v>
      </c>
      <c r="AP418" s="66" t="s">
        <v>30</v>
      </c>
      <c r="AQ418" s="12">
        <f>+'Form20 '!L419</f>
        <v>0</v>
      </c>
      <c r="AR418" s="18">
        <v>12</v>
      </c>
      <c r="AS418" s="66" t="s">
        <v>30</v>
      </c>
      <c r="AT418" s="12">
        <f>+'Form20 '!M419</f>
        <v>1</v>
      </c>
      <c r="AU418" s="18">
        <v>13</v>
      </c>
      <c r="AV418" s="66" t="s">
        <v>30</v>
      </c>
      <c r="AW418" s="12">
        <f>+'Form20 '!N419</f>
        <v>7</v>
      </c>
      <c r="AX418" s="18">
        <v>14</v>
      </c>
      <c r="AY418" s="66" t="s">
        <v>30</v>
      </c>
      <c r="AZ418" s="12">
        <f>+'Form20 '!O419</f>
        <v>1</v>
      </c>
      <c r="BA418" s="75">
        <f t="shared" si="13"/>
        <v>652</v>
      </c>
    </row>
    <row r="419" spans="1:53" s="67" customFormat="1" ht="59.25" customHeight="1">
      <c r="A419" s="18">
        <v>333</v>
      </c>
      <c r="B419" s="59">
        <v>413</v>
      </c>
      <c r="C419" s="60" t="s">
        <v>53</v>
      </c>
      <c r="D419" s="61">
        <v>1047</v>
      </c>
      <c r="E419" s="61">
        <v>317</v>
      </c>
      <c r="F419" s="61">
        <v>318</v>
      </c>
      <c r="G419" s="55">
        <v>0</v>
      </c>
      <c r="H419" s="62">
        <f t="shared" si="12"/>
        <v>635</v>
      </c>
      <c r="I419" s="55">
        <v>73</v>
      </c>
      <c r="J419" s="29">
        <v>0</v>
      </c>
      <c r="K419" s="68">
        <v>1</v>
      </c>
      <c r="L419" s="63" t="s">
        <v>29</v>
      </c>
      <c r="M419" s="12">
        <f>+'Form20 '!B420</f>
        <v>502</v>
      </c>
      <c r="N419" s="68">
        <v>2</v>
      </c>
      <c r="O419" s="58" t="s">
        <v>24</v>
      </c>
      <c r="P419" s="12">
        <f>+'Form20 '!C420</f>
        <v>11</v>
      </c>
      <c r="Q419" s="68">
        <v>3</v>
      </c>
      <c r="R419" s="63" t="s">
        <v>28</v>
      </c>
      <c r="S419" s="12">
        <f>+'Form20 '!D420</f>
        <v>104</v>
      </c>
      <c r="T419" s="68">
        <v>4</v>
      </c>
      <c r="U419" s="64" t="s">
        <v>65</v>
      </c>
      <c r="V419" s="12">
        <f>+'Form20 '!E420</f>
        <v>3</v>
      </c>
      <c r="W419" s="68">
        <v>5</v>
      </c>
      <c r="X419" s="58" t="s">
        <v>66</v>
      </c>
      <c r="Y419" s="12">
        <f>+'Form20 '!F420</f>
        <v>0</v>
      </c>
      <c r="Z419" s="18">
        <v>6</v>
      </c>
      <c r="AA419" s="64" t="s">
        <v>67</v>
      </c>
      <c r="AB419" s="12">
        <f>+'Form20 '!G420</f>
        <v>0</v>
      </c>
      <c r="AC419" s="68">
        <v>7</v>
      </c>
      <c r="AD419" s="63" t="s">
        <v>68</v>
      </c>
      <c r="AE419" s="12">
        <f>+'Form20 '!H420</f>
        <v>2</v>
      </c>
      <c r="AF419" s="68">
        <v>8</v>
      </c>
      <c r="AG419" s="63" t="s">
        <v>69</v>
      </c>
      <c r="AH419" s="12">
        <f>+'Form20 '!I420</f>
        <v>1</v>
      </c>
      <c r="AI419" s="68">
        <v>9</v>
      </c>
      <c r="AJ419" s="65" t="s">
        <v>70</v>
      </c>
      <c r="AK419" s="12">
        <f>+'Form20 '!J420</f>
        <v>1</v>
      </c>
      <c r="AL419" s="68">
        <v>10</v>
      </c>
      <c r="AM419" s="66" t="s">
        <v>30</v>
      </c>
      <c r="AN419" s="12">
        <f>+'Form20 '!K420</f>
        <v>0</v>
      </c>
      <c r="AO419" s="18">
        <v>11</v>
      </c>
      <c r="AP419" s="66" t="s">
        <v>30</v>
      </c>
      <c r="AQ419" s="12">
        <f>+'Form20 '!L420</f>
        <v>1</v>
      </c>
      <c r="AR419" s="18">
        <v>12</v>
      </c>
      <c r="AS419" s="66" t="s">
        <v>30</v>
      </c>
      <c r="AT419" s="12">
        <f>+'Form20 '!M420</f>
        <v>0</v>
      </c>
      <c r="AU419" s="18">
        <v>13</v>
      </c>
      <c r="AV419" s="66" t="s">
        <v>30</v>
      </c>
      <c r="AW419" s="12">
        <f>+'Form20 '!N420</f>
        <v>2</v>
      </c>
      <c r="AX419" s="18">
        <v>14</v>
      </c>
      <c r="AY419" s="66" t="s">
        <v>30</v>
      </c>
      <c r="AZ419" s="12">
        <f>+'Form20 '!O420</f>
        <v>1</v>
      </c>
      <c r="BA419" s="75">
        <f t="shared" si="13"/>
        <v>628</v>
      </c>
    </row>
    <row r="420" spans="1:53" s="67" customFormat="1" ht="59.25" customHeight="1">
      <c r="A420" s="18">
        <v>333</v>
      </c>
      <c r="B420" s="59">
        <v>414</v>
      </c>
      <c r="C420" s="60" t="s">
        <v>54</v>
      </c>
      <c r="D420" s="61">
        <v>740</v>
      </c>
      <c r="E420" s="61">
        <v>190</v>
      </c>
      <c r="F420" s="61">
        <v>186</v>
      </c>
      <c r="G420" s="55">
        <v>0</v>
      </c>
      <c r="H420" s="62">
        <f t="shared" si="12"/>
        <v>376</v>
      </c>
      <c r="I420" s="55">
        <v>58</v>
      </c>
      <c r="J420" s="29">
        <v>0</v>
      </c>
      <c r="K420" s="68">
        <v>1</v>
      </c>
      <c r="L420" s="63" t="s">
        <v>29</v>
      </c>
      <c r="M420" s="12">
        <f>+'Form20 '!B421</f>
        <v>295</v>
      </c>
      <c r="N420" s="68">
        <v>2</v>
      </c>
      <c r="O420" s="58" t="s">
        <v>24</v>
      </c>
      <c r="P420" s="12">
        <f>+'Form20 '!C421</f>
        <v>2</v>
      </c>
      <c r="Q420" s="68">
        <v>3</v>
      </c>
      <c r="R420" s="63" t="s">
        <v>28</v>
      </c>
      <c r="S420" s="12">
        <f>+'Form20 '!D421</f>
        <v>70</v>
      </c>
      <c r="T420" s="68">
        <v>4</v>
      </c>
      <c r="U420" s="64" t="s">
        <v>65</v>
      </c>
      <c r="V420" s="12">
        <f>+'Form20 '!E421</f>
        <v>0</v>
      </c>
      <c r="W420" s="68">
        <v>5</v>
      </c>
      <c r="X420" s="58" t="s">
        <v>66</v>
      </c>
      <c r="Y420" s="12">
        <f>+'Form20 '!F421</f>
        <v>0</v>
      </c>
      <c r="Z420" s="18">
        <v>6</v>
      </c>
      <c r="AA420" s="64" t="s">
        <v>67</v>
      </c>
      <c r="AB420" s="12">
        <f>+'Form20 '!G421</f>
        <v>1</v>
      </c>
      <c r="AC420" s="68">
        <v>7</v>
      </c>
      <c r="AD420" s="63" t="s">
        <v>68</v>
      </c>
      <c r="AE420" s="12">
        <f>+'Form20 '!H421</f>
        <v>0</v>
      </c>
      <c r="AF420" s="68">
        <v>8</v>
      </c>
      <c r="AG420" s="63" t="s">
        <v>69</v>
      </c>
      <c r="AH420" s="12">
        <f>+'Form20 '!I421</f>
        <v>0</v>
      </c>
      <c r="AI420" s="68">
        <v>9</v>
      </c>
      <c r="AJ420" s="65" t="s">
        <v>70</v>
      </c>
      <c r="AK420" s="12">
        <f>+'Form20 '!J421</f>
        <v>3</v>
      </c>
      <c r="AL420" s="68">
        <v>10</v>
      </c>
      <c r="AM420" s="66" t="s">
        <v>30</v>
      </c>
      <c r="AN420" s="12">
        <f>+'Form20 '!K421</f>
        <v>0</v>
      </c>
      <c r="AO420" s="18">
        <v>11</v>
      </c>
      <c r="AP420" s="66" t="s">
        <v>30</v>
      </c>
      <c r="AQ420" s="12">
        <f>+'Form20 '!L421</f>
        <v>0</v>
      </c>
      <c r="AR420" s="18">
        <v>12</v>
      </c>
      <c r="AS420" s="66" t="s">
        <v>30</v>
      </c>
      <c r="AT420" s="12">
        <f>+'Form20 '!M421</f>
        <v>0</v>
      </c>
      <c r="AU420" s="18">
        <v>13</v>
      </c>
      <c r="AV420" s="66" t="s">
        <v>30</v>
      </c>
      <c r="AW420" s="12">
        <f>+'Form20 '!N421</f>
        <v>2</v>
      </c>
      <c r="AX420" s="18">
        <v>14</v>
      </c>
      <c r="AY420" s="66" t="s">
        <v>30</v>
      </c>
      <c r="AZ420" s="12">
        <f>+'Form20 '!O421</f>
        <v>1</v>
      </c>
      <c r="BA420" s="75">
        <f t="shared" si="13"/>
        <v>374</v>
      </c>
    </row>
    <row r="421" spans="1:53" s="67" customFormat="1" ht="59.25" customHeight="1">
      <c r="A421" s="18">
        <v>333</v>
      </c>
      <c r="B421" s="59">
        <v>415</v>
      </c>
      <c r="C421" s="60" t="s">
        <v>55</v>
      </c>
      <c r="D421" s="61">
        <v>1156</v>
      </c>
      <c r="E421" s="61">
        <v>362</v>
      </c>
      <c r="F421" s="61">
        <v>363</v>
      </c>
      <c r="G421" s="55">
        <v>0</v>
      </c>
      <c r="H421" s="62">
        <f t="shared" si="12"/>
        <v>725</v>
      </c>
      <c r="I421" s="55">
        <v>47</v>
      </c>
      <c r="J421" s="29">
        <v>0</v>
      </c>
      <c r="K421" s="68">
        <v>1</v>
      </c>
      <c r="L421" s="63" t="s">
        <v>29</v>
      </c>
      <c r="M421" s="12">
        <f>+'Form20 '!B422</f>
        <v>447</v>
      </c>
      <c r="N421" s="68">
        <v>2</v>
      </c>
      <c r="O421" s="58" t="s">
        <v>24</v>
      </c>
      <c r="P421" s="12">
        <f>+'Form20 '!C422</f>
        <v>40</v>
      </c>
      <c r="Q421" s="68">
        <v>3</v>
      </c>
      <c r="R421" s="63" t="s">
        <v>28</v>
      </c>
      <c r="S421" s="12">
        <f>+'Form20 '!D422</f>
        <v>186</v>
      </c>
      <c r="T421" s="68">
        <v>4</v>
      </c>
      <c r="U421" s="64" t="s">
        <v>65</v>
      </c>
      <c r="V421" s="12">
        <f>+'Form20 '!E422</f>
        <v>13</v>
      </c>
      <c r="W421" s="68">
        <v>5</v>
      </c>
      <c r="X421" s="58" t="s">
        <v>66</v>
      </c>
      <c r="Y421" s="12">
        <f>+'Form20 '!F422</f>
        <v>0</v>
      </c>
      <c r="Z421" s="18">
        <v>6</v>
      </c>
      <c r="AA421" s="64" t="s">
        <v>67</v>
      </c>
      <c r="AB421" s="12">
        <f>+'Form20 '!G422</f>
        <v>0</v>
      </c>
      <c r="AC421" s="68">
        <v>7</v>
      </c>
      <c r="AD421" s="63" t="s">
        <v>68</v>
      </c>
      <c r="AE421" s="12">
        <f>+'Form20 '!H422</f>
        <v>0</v>
      </c>
      <c r="AF421" s="68">
        <v>8</v>
      </c>
      <c r="AG421" s="63" t="s">
        <v>69</v>
      </c>
      <c r="AH421" s="12">
        <f>+'Form20 '!I422</f>
        <v>2</v>
      </c>
      <c r="AI421" s="68">
        <v>9</v>
      </c>
      <c r="AJ421" s="65" t="s">
        <v>70</v>
      </c>
      <c r="AK421" s="12">
        <f>+'Form20 '!J422</f>
        <v>2</v>
      </c>
      <c r="AL421" s="68">
        <v>10</v>
      </c>
      <c r="AM421" s="66" t="s">
        <v>30</v>
      </c>
      <c r="AN421" s="12">
        <f>+'Form20 '!K422</f>
        <v>2</v>
      </c>
      <c r="AO421" s="18">
        <v>11</v>
      </c>
      <c r="AP421" s="66" t="s">
        <v>30</v>
      </c>
      <c r="AQ421" s="12">
        <f>+'Form20 '!L422</f>
        <v>4</v>
      </c>
      <c r="AR421" s="18">
        <v>12</v>
      </c>
      <c r="AS421" s="66" t="s">
        <v>30</v>
      </c>
      <c r="AT421" s="12">
        <f>+'Form20 '!M422</f>
        <v>5</v>
      </c>
      <c r="AU421" s="18">
        <v>13</v>
      </c>
      <c r="AV421" s="66" t="s">
        <v>30</v>
      </c>
      <c r="AW421" s="12">
        <f>+'Form20 '!N422</f>
        <v>5</v>
      </c>
      <c r="AX421" s="18">
        <v>14</v>
      </c>
      <c r="AY421" s="66" t="s">
        <v>30</v>
      </c>
      <c r="AZ421" s="12">
        <f>+'Form20 '!O422</f>
        <v>3</v>
      </c>
      <c r="BA421" s="75">
        <f t="shared" si="13"/>
        <v>709</v>
      </c>
    </row>
    <row r="422" spans="1:53" s="67" customFormat="1" ht="59.25" customHeight="1">
      <c r="A422" s="18">
        <v>333</v>
      </c>
      <c r="B422" s="59">
        <v>416</v>
      </c>
      <c r="C422" s="60" t="s">
        <v>56</v>
      </c>
      <c r="D422" s="61">
        <v>1096</v>
      </c>
      <c r="E422" s="61">
        <v>277</v>
      </c>
      <c r="F422" s="61">
        <v>268</v>
      </c>
      <c r="G422" s="55">
        <v>0</v>
      </c>
      <c r="H422" s="62">
        <f t="shared" si="12"/>
        <v>545</v>
      </c>
      <c r="I422" s="55">
        <v>45</v>
      </c>
      <c r="J422" s="29">
        <v>0</v>
      </c>
      <c r="K422" s="68">
        <v>1</v>
      </c>
      <c r="L422" s="63" t="s">
        <v>29</v>
      </c>
      <c r="M422" s="12">
        <f>+'Form20 '!B423</f>
        <v>293</v>
      </c>
      <c r="N422" s="68">
        <v>2</v>
      </c>
      <c r="O422" s="58" t="s">
        <v>24</v>
      </c>
      <c r="P422" s="12">
        <f>+'Form20 '!C423</f>
        <v>99</v>
      </c>
      <c r="Q422" s="68">
        <v>3</v>
      </c>
      <c r="R422" s="63" t="s">
        <v>28</v>
      </c>
      <c r="S422" s="12">
        <f>+'Form20 '!D423</f>
        <v>142</v>
      </c>
      <c r="T422" s="68">
        <v>4</v>
      </c>
      <c r="U422" s="64" t="s">
        <v>65</v>
      </c>
      <c r="V422" s="12">
        <f>+'Form20 '!E423</f>
        <v>3</v>
      </c>
      <c r="W422" s="68">
        <v>5</v>
      </c>
      <c r="X422" s="58" t="s">
        <v>66</v>
      </c>
      <c r="Y422" s="12">
        <f>+'Form20 '!F423</f>
        <v>0</v>
      </c>
      <c r="Z422" s="18">
        <v>6</v>
      </c>
      <c r="AA422" s="64" t="s">
        <v>67</v>
      </c>
      <c r="AB422" s="12">
        <f>+'Form20 '!G423</f>
        <v>0</v>
      </c>
      <c r="AC422" s="68">
        <v>7</v>
      </c>
      <c r="AD422" s="63" t="s">
        <v>68</v>
      </c>
      <c r="AE422" s="12">
        <f>+'Form20 '!H423</f>
        <v>0</v>
      </c>
      <c r="AF422" s="68">
        <v>8</v>
      </c>
      <c r="AG422" s="63" t="s">
        <v>69</v>
      </c>
      <c r="AH422" s="12">
        <f>+'Form20 '!I423</f>
        <v>0</v>
      </c>
      <c r="AI422" s="68">
        <v>9</v>
      </c>
      <c r="AJ422" s="65" t="s">
        <v>70</v>
      </c>
      <c r="AK422" s="12">
        <f>+'Form20 '!J423</f>
        <v>1</v>
      </c>
      <c r="AL422" s="68">
        <v>10</v>
      </c>
      <c r="AM422" s="66" t="s">
        <v>30</v>
      </c>
      <c r="AN422" s="12">
        <f>+'Form20 '!K423</f>
        <v>1</v>
      </c>
      <c r="AO422" s="18">
        <v>11</v>
      </c>
      <c r="AP422" s="66" t="s">
        <v>30</v>
      </c>
      <c r="AQ422" s="12">
        <f>+'Form20 '!L423</f>
        <v>1</v>
      </c>
      <c r="AR422" s="18">
        <v>12</v>
      </c>
      <c r="AS422" s="66" t="s">
        <v>30</v>
      </c>
      <c r="AT422" s="12">
        <f>+'Form20 '!M423</f>
        <v>0</v>
      </c>
      <c r="AU422" s="18">
        <v>13</v>
      </c>
      <c r="AV422" s="66" t="s">
        <v>30</v>
      </c>
      <c r="AW422" s="12">
        <f>+'Form20 '!N423</f>
        <v>2</v>
      </c>
      <c r="AX422" s="18">
        <v>14</v>
      </c>
      <c r="AY422" s="66" t="s">
        <v>30</v>
      </c>
      <c r="AZ422" s="12">
        <f>+'Form20 '!O423</f>
        <v>0</v>
      </c>
      <c r="BA422" s="75">
        <f t="shared" si="13"/>
        <v>542</v>
      </c>
    </row>
    <row r="423" spans="1:53" s="67" customFormat="1" ht="59.25" customHeight="1">
      <c r="A423" s="18">
        <v>333</v>
      </c>
      <c r="B423" s="59">
        <v>417</v>
      </c>
      <c r="C423" s="60" t="s">
        <v>57</v>
      </c>
      <c r="D423" s="61">
        <v>939</v>
      </c>
      <c r="E423" s="61">
        <v>238</v>
      </c>
      <c r="F423" s="61">
        <v>244</v>
      </c>
      <c r="G423" s="55">
        <v>0</v>
      </c>
      <c r="H423" s="62">
        <f t="shared" si="12"/>
        <v>482</v>
      </c>
      <c r="I423" s="55">
        <v>40</v>
      </c>
      <c r="J423" s="29">
        <v>0</v>
      </c>
      <c r="K423" s="68">
        <v>1</v>
      </c>
      <c r="L423" s="63" t="s">
        <v>29</v>
      </c>
      <c r="M423" s="12">
        <f>+'Form20 '!B424</f>
        <v>277</v>
      </c>
      <c r="N423" s="68">
        <v>2</v>
      </c>
      <c r="O423" s="58" t="s">
        <v>24</v>
      </c>
      <c r="P423" s="12">
        <f>+'Form20 '!C424</f>
        <v>41</v>
      </c>
      <c r="Q423" s="68">
        <v>3</v>
      </c>
      <c r="R423" s="63" t="s">
        <v>28</v>
      </c>
      <c r="S423" s="12">
        <f>+'Form20 '!D424</f>
        <v>151</v>
      </c>
      <c r="T423" s="68">
        <v>4</v>
      </c>
      <c r="U423" s="64" t="s">
        <v>65</v>
      </c>
      <c r="V423" s="12">
        <f>+'Form20 '!E424</f>
        <v>2</v>
      </c>
      <c r="W423" s="68">
        <v>5</v>
      </c>
      <c r="X423" s="58" t="s">
        <v>66</v>
      </c>
      <c r="Y423" s="12">
        <f>+'Form20 '!F424</f>
        <v>0</v>
      </c>
      <c r="Z423" s="18">
        <v>6</v>
      </c>
      <c r="AA423" s="64" t="s">
        <v>67</v>
      </c>
      <c r="AB423" s="12">
        <f>+'Form20 '!G424</f>
        <v>0</v>
      </c>
      <c r="AC423" s="68">
        <v>7</v>
      </c>
      <c r="AD423" s="63" t="s">
        <v>68</v>
      </c>
      <c r="AE423" s="12">
        <f>+'Form20 '!H424</f>
        <v>0</v>
      </c>
      <c r="AF423" s="68">
        <v>8</v>
      </c>
      <c r="AG423" s="63" t="s">
        <v>69</v>
      </c>
      <c r="AH423" s="12">
        <f>+'Form20 '!I424</f>
        <v>1</v>
      </c>
      <c r="AI423" s="68">
        <v>9</v>
      </c>
      <c r="AJ423" s="65" t="s">
        <v>70</v>
      </c>
      <c r="AK423" s="12">
        <f>+'Form20 '!J424</f>
        <v>1</v>
      </c>
      <c r="AL423" s="68">
        <v>10</v>
      </c>
      <c r="AM423" s="66" t="s">
        <v>30</v>
      </c>
      <c r="AN423" s="12">
        <f>+'Form20 '!K424</f>
        <v>0</v>
      </c>
      <c r="AO423" s="18">
        <v>11</v>
      </c>
      <c r="AP423" s="66" t="s">
        <v>30</v>
      </c>
      <c r="AQ423" s="12">
        <f>+'Form20 '!L424</f>
        <v>0</v>
      </c>
      <c r="AR423" s="18">
        <v>12</v>
      </c>
      <c r="AS423" s="66" t="s">
        <v>30</v>
      </c>
      <c r="AT423" s="12">
        <f>+'Form20 '!M424</f>
        <v>2</v>
      </c>
      <c r="AU423" s="18">
        <v>13</v>
      </c>
      <c r="AV423" s="66" t="s">
        <v>30</v>
      </c>
      <c r="AW423" s="12">
        <f>+'Form20 '!N424</f>
        <v>1</v>
      </c>
      <c r="AX423" s="18">
        <v>14</v>
      </c>
      <c r="AY423" s="66" t="s">
        <v>30</v>
      </c>
      <c r="AZ423" s="12">
        <f>+'Form20 '!O424</f>
        <v>3</v>
      </c>
      <c r="BA423" s="75">
        <f t="shared" si="13"/>
        <v>479</v>
      </c>
    </row>
    <row r="424" spans="1:53" s="67" customFormat="1" ht="59.25" customHeight="1">
      <c r="A424" s="18">
        <v>333</v>
      </c>
      <c r="B424" s="59">
        <v>418</v>
      </c>
      <c r="C424" s="60" t="s">
        <v>58</v>
      </c>
      <c r="D424" s="61">
        <v>1072</v>
      </c>
      <c r="E424" s="61">
        <v>309</v>
      </c>
      <c r="F424" s="61">
        <v>354</v>
      </c>
      <c r="G424" s="55">
        <v>0</v>
      </c>
      <c r="H424" s="62">
        <f t="shared" si="12"/>
        <v>663</v>
      </c>
      <c r="I424" s="55">
        <v>63</v>
      </c>
      <c r="J424" s="29">
        <v>0</v>
      </c>
      <c r="K424" s="68">
        <v>1</v>
      </c>
      <c r="L424" s="63" t="s">
        <v>29</v>
      </c>
      <c r="M424" s="12">
        <f>+'Form20 '!B425</f>
        <v>185</v>
      </c>
      <c r="N424" s="68">
        <v>2</v>
      </c>
      <c r="O424" s="58" t="s">
        <v>24</v>
      </c>
      <c r="P424" s="12">
        <f>+'Form20 '!C425</f>
        <v>46</v>
      </c>
      <c r="Q424" s="68">
        <v>3</v>
      </c>
      <c r="R424" s="63" t="s">
        <v>28</v>
      </c>
      <c r="S424" s="12">
        <f>+'Form20 '!D425</f>
        <v>414</v>
      </c>
      <c r="T424" s="68">
        <v>4</v>
      </c>
      <c r="U424" s="64" t="s">
        <v>65</v>
      </c>
      <c r="V424" s="12">
        <f>+'Form20 '!E425</f>
        <v>2</v>
      </c>
      <c r="W424" s="68">
        <v>5</v>
      </c>
      <c r="X424" s="58" t="s">
        <v>66</v>
      </c>
      <c r="Y424" s="12">
        <f>+'Form20 '!F425</f>
        <v>0</v>
      </c>
      <c r="Z424" s="18">
        <v>6</v>
      </c>
      <c r="AA424" s="64" t="s">
        <v>67</v>
      </c>
      <c r="AB424" s="12">
        <f>+'Form20 '!G425</f>
        <v>0</v>
      </c>
      <c r="AC424" s="68">
        <v>7</v>
      </c>
      <c r="AD424" s="63" t="s">
        <v>68</v>
      </c>
      <c r="AE424" s="12">
        <f>+'Form20 '!H425</f>
        <v>0</v>
      </c>
      <c r="AF424" s="68">
        <v>8</v>
      </c>
      <c r="AG424" s="63" t="s">
        <v>69</v>
      </c>
      <c r="AH424" s="12">
        <f>+'Form20 '!I425</f>
        <v>1</v>
      </c>
      <c r="AI424" s="68">
        <v>9</v>
      </c>
      <c r="AJ424" s="65" t="s">
        <v>70</v>
      </c>
      <c r="AK424" s="12">
        <f>+'Form20 '!J425</f>
        <v>9</v>
      </c>
      <c r="AL424" s="68">
        <v>10</v>
      </c>
      <c r="AM424" s="66" t="s">
        <v>30</v>
      </c>
      <c r="AN424" s="12">
        <f>+'Form20 '!K425</f>
        <v>1</v>
      </c>
      <c r="AO424" s="18">
        <v>11</v>
      </c>
      <c r="AP424" s="66" t="s">
        <v>30</v>
      </c>
      <c r="AQ424" s="12">
        <f>+'Form20 '!L425</f>
        <v>1</v>
      </c>
      <c r="AR424" s="18">
        <v>12</v>
      </c>
      <c r="AS424" s="66" t="s">
        <v>30</v>
      </c>
      <c r="AT424" s="12">
        <f>+'Form20 '!M425</f>
        <v>1</v>
      </c>
      <c r="AU424" s="18">
        <v>13</v>
      </c>
      <c r="AV424" s="66" t="s">
        <v>30</v>
      </c>
      <c r="AW424" s="12">
        <f>+'Form20 '!N425</f>
        <v>0</v>
      </c>
      <c r="AX424" s="18">
        <v>14</v>
      </c>
      <c r="AY424" s="66" t="s">
        <v>30</v>
      </c>
      <c r="AZ424" s="12">
        <f>+'Form20 '!O425</f>
        <v>0</v>
      </c>
      <c r="BA424" s="75">
        <f t="shared" si="13"/>
        <v>660</v>
      </c>
    </row>
    <row r="425" spans="1:53" s="67" customFormat="1" ht="59.25" customHeight="1">
      <c r="A425" s="18">
        <v>333</v>
      </c>
      <c r="B425" s="59">
        <v>419</v>
      </c>
      <c r="C425" s="60" t="s">
        <v>59</v>
      </c>
      <c r="D425" s="61">
        <v>580</v>
      </c>
      <c r="E425" s="61">
        <v>176</v>
      </c>
      <c r="F425" s="61">
        <v>180</v>
      </c>
      <c r="G425" s="55">
        <v>0</v>
      </c>
      <c r="H425" s="62">
        <f t="shared" si="12"/>
        <v>356</v>
      </c>
      <c r="I425" s="55">
        <v>31</v>
      </c>
      <c r="J425" s="29">
        <v>0</v>
      </c>
      <c r="K425" s="68">
        <v>1</v>
      </c>
      <c r="L425" s="63" t="s">
        <v>29</v>
      </c>
      <c r="M425" s="12">
        <f>+'Form20 '!B426</f>
        <v>204</v>
      </c>
      <c r="N425" s="68">
        <v>2</v>
      </c>
      <c r="O425" s="58" t="s">
        <v>24</v>
      </c>
      <c r="P425" s="12">
        <f>+'Form20 '!C426</f>
        <v>37</v>
      </c>
      <c r="Q425" s="68">
        <v>3</v>
      </c>
      <c r="R425" s="63" t="s">
        <v>28</v>
      </c>
      <c r="S425" s="12">
        <f>+'Form20 '!D426</f>
        <v>95</v>
      </c>
      <c r="T425" s="68">
        <v>4</v>
      </c>
      <c r="U425" s="64" t="s">
        <v>65</v>
      </c>
      <c r="V425" s="12">
        <f>+'Form20 '!E426</f>
        <v>7</v>
      </c>
      <c r="W425" s="68">
        <v>5</v>
      </c>
      <c r="X425" s="58" t="s">
        <v>66</v>
      </c>
      <c r="Y425" s="12">
        <f>+'Form20 '!F426</f>
        <v>0</v>
      </c>
      <c r="Z425" s="18">
        <v>6</v>
      </c>
      <c r="AA425" s="64" t="s">
        <v>67</v>
      </c>
      <c r="AB425" s="12">
        <f>+'Form20 '!G426</f>
        <v>0</v>
      </c>
      <c r="AC425" s="68">
        <v>7</v>
      </c>
      <c r="AD425" s="63" t="s">
        <v>68</v>
      </c>
      <c r="AE425" s="12">
        <f>+'Form20 '!H426</f>
        <v>0</v>
      </c>
      <c r="AF425" s="68">
        <v>8</v>
      </c>
      <c r="AG425" s="63" t="s">
        <v>69</v>
      </c>
      <c r="AH425" s="12">
        <f>+'Form20 '!I426</f>
        <v>0</v>
      </c>
      <c r="AI425" s="68">
        <v>9</v>
      </c>
      <c r="AJ425" s="65" t="s">
        <v>70</v>
      </c>
      <c r="AK425" s="12">
        <f>+'Form20 '!J426</f>
        <v>0</v>
      </c>
      <c r="AL425" s="68">
        <v>10</v>
      </c>
      <c r="AM425" s="66" t="s">
        <v>30</v>
      </c>
      <c r="AN425" s="12">
        <f>+'Form20 '!K426</f>
        <v>0</v>
      </c>
      <c r="AO425" s="18">
        <v>11</v>
      </c>
      <c r="AP425" s="66" t="s">
        <v>30</v>
      </c>
      <c r="AQ425" s="12">
        <f>+'Form20 '!L426</f>
        <v>0</v>
      </c>
      <c r="AR425" s="18">
        <v>12</v>
      </c>
      <c r="AS425" s="66" t="s">
        <v>30</v>
      </c>
      <c r="AT425" s="12">
        <f>+'Form20 '!M426</f>
        <v>1</v>
      </c>
      <c r="AU425" s="18">
        <v>13</v>
      </c>
      <c r="AV425" s="66" t="s">
        <v>30</v>
      </c>
      <c r="AW425" s="12">
        <f>+'Form20 '!N426</f>
        <v>2</v>
      </c>
      <c r="AX425" s="18">
        <v>14</v>
      </c>
      <c r="AY425" s="66" t="s">
        <v>30</v>
      </c>
      <c r="AZ425" s="12">
        <f>+'Form20 '!O426</f>
        <v>9</v>
      </c>
      <c r="BA425" s="75">
        <f t="shared" si="13"/>
        <v>355</v>
      </c>
    </row>
    <row r="426" spans="1:53" s="67" customFormat="1" ht="59.25" customHeight="1">
      <c r="A426" s="18">
        <v>333</v>
      </c>
      <c r="B426" s="59">
        <v>420</v>
      </c>
      <c r="C426" s="60" t="s">
        <v>60</v>
      </c>
      <c r="D426" s="61">
        <v>638</v>
      </c>
      <c r="E426" s="61">
        <v>182</v>
      </c>
      <c r="F426" s="61">
        <v>187</v>
      </c>
      <c r="G426" s="55">
        <v>0</v>
      </c>
      <c r="H426" s="62">
        <f t="shared" si="12"/>
        <v>369</v>
      </c>
      <c r="I426" s="55">
        <v>41</v>
      </c>
      <c r="J426" s="29">
        <v>0</v>
      </c>
      <c r="K426" s="68">
        <v>1</v>
      </c>
      <c r="L426" s="63" t="s">
        <v>29</v>
      </c>
      <c r="M426" s="12">
        <f>+'Form20 '!B427</f>
        <v>226</v>
      </c>
      <c r="N426" s="68">
        <v>2</v>
      </c>
      <c r="O426" s="58" t="s">
        <v>24</v>
      </c>
      <c r="P426" s="12">
        <f>+'Form20 '!C427</f>
        <v>25</v>
      </c>
      <c r="Q426" s="68">
        <v>3</v>
      </c>
      <c r="R426" s="63" t="s">
        <v>28</v>
      </c>
      <c r="S426" s="12">
        <f>+'Form20 '!D427</f>
        <v>98</v>
      </c>
      <c r="T426" s="68">
        <v>4</v>
      </c>
      <c r="U426" s="64" t="s">
        <v>65</v>
      </c>
      <c r="V426" s="12">
        <f>+'Form20 '!E427</f>
        <v>5</v>
      </c>
      <c r="W426" s="68">
        <v>5</v>
      </c>
      <c r="X426" s="58" t="s">
        <v>66</v>
      </c>
      <c r="Y426" s="12">
        <f>+'Form20 '!F427</f>
        <v>0</v>
      </c>
      <c r="Z426" s="18">
        <v>6</v>
      </c>
      <c r="AA426" s="64" t="s">
        <v>67</v>
      </c>
      <c r="AB426" s="12">
        <f>+'Form20 '!G427</f>
        <v>0</v>
      </c>
      <c r="AC426" s="68">
        <v>7</v>
      </c>
      <c r="AD426" s="63" t="s">
        <v>68</v>
      </c>
      <c r="AE426" s="12">
        <f>+'Form20 '!H427</f>
        <v>0</v>
      </c>
      <c r="AF426" s="68">
        <v>8</v>
      </c>
      <c r="AG426" s="63" t="s">
        <v>69</v>
      </c>
      <c r="AH426" s="12">
        <f>+'Form20 '!I427</f>
        <v>0</v>
      </c>
      <c r="AI426" s="68">
        <v>9</v>
      </c>
      <c r="AJ426" s="65" t="s">
        <v>70</v>
      </c>
      <c r="AK426" s="12">
        <f>+'Form20 '!J427</f>
        <v>0</v>
      </c>
      <c r="AL426" s="68">
        <v>10</v>
      </c>
      <c r="AM426" s="66" t="s">
        <v>30</v>
      </c>
      <c r="AN426" s="12">
        <f>+'Form20 '!K427</f>
        <v>1</v>
      </c>
      <c r="AO426" s="18">
        <v>11</v>
      </c>
      <c r="AP426" s="66" t="s">
        <v>30</v>
      </c>
      <c r="AQ426" s="12">
        <f>+'Form20 '!L427</f>
        <v>0</v>
      </c>
      <c r="AR426" s="18">
        <v>12</v>
      </c>
      <c r="AS426" s="66" t="s">
        <v>30</v>
      </c>
      <c r="AT426" s="12">
        <f>+'Form20 '!M427</f>
        <v>1</v>
      </c>
      <c r="AU426" s="18">
        <v>13</v>
      </c>
      <c r="AV426" s="66" t="s">
        <v>30</v>
      </c>
      <c r="AW426" s="12">
        <f>+'Form20 '!N427</f>
        <v>2</v>
      </c>
      <c r="AX426" s="18">
        <v>14</v>
      </c>
      <c r="AY426" s="66" t="s">
        <v>30</v>
      </c>
      <c r="AZ426" s="12">
        <f>+'Form20 '!O427</f>
        <v>10</v>
      </c>
      <c r="BA426" s="75">
        <f t="shared" si="13"/>
        <v>368</v>
      </c>
    </row>
    <row r="427" spans="1:53" s="67" customFormat="1" ht="59.25" customHeight="1">
      <c r="A427" s="18">
        <v>333</v>
      </c>
      <c r="B427" s="59">
        <v>421</v>
      </c>
      <c r="C427" s="60" t="s">
        <v>61</v>
      </c>
      <c r="D427" s="61">
        <v>710</v>
      </c>
      <c r="E427" s="61">
        <v>182</v>
      </c>
      <c r="F427" s="61">
        <v>183</v>
      </c>
      <c r="G427" s="55">
        <v>0</v>
      </c>
      <c r="H427" s="62">
        <f t="shared" si="12"/>
        <v>365</v>
      </c>
      <c r="I427" s="55">
        <v>39</v>
      </c>
      <c r="J427" s="29">
        <v>0</v>
      </c>
      <c r="K427" s="68">
        <v>1</v>
      </c>
      <c r="L427" s="63" t="s">
        <v>29</v>
      </c>
      <c r="M427" s="12">
        <f>+'Form20 '!B428</f>
        <v>147</v>
      </c>
      <c r="N427" s="68">
        <v>2</v>
      </c>
      <c r="O427" s="58" t="s">
        <v>24</v>
      </c>
      <c r="P427" s="12">
        <f>+'Form20 '!C428</f>
        <v>15</v>
      </c>
      <c r="Q427" s="68">
        <v>3</v>
      </c>
      <c r="R427" s="63" t="s">
        <v>28</v>
      </c>
      <c r="S427" s="12">
        <f>+'Form20 '!D428</f>
        <v>197</v>
      </c>
      <c r="T427" s="68">
        <v>4</v>
      </c>
      <c r="U427" s="64" t="s">
        <v>65</v>
      </c>
      <c r="V427" s="12">
        <f>+'Form20 '!E428</f>
        <v>0</v>
      </c>
      <c r="W427" s="68">
        <v>5</v>
      </c>
      <c r="X427" s="58" t="s">
        <v>66</v>
      </c>
      <c r="Y427" s="12">
        <f>+'Form20 '!F428</f>
        <v>0</v>
      </c>
      <c r="Z427" s="18">
        <v>6</v>
      </c>
      <c r="AA427" s="64" t="s">
        <v>67</v>
      </c>
      <c r="AB427" s="12">
        <f>+'Form20 '!G428</f>
        <v>0</v>
      </c>
      <c r="AC427" s="68">
        <v>7</v>
      </c>
      <c r="AD427" s="63" t="s">
        <v>68</v>
      </c>
      <c r="AE427" s="12">
        <f>+'Form20 '!H428</f>
        <v>0</v>
      </c>
      <c r="AF427" s="68">
        <v>8</v>
      </c>
      <c r="AG427" s="63" t="s">
        <v>69</v>
      </c>
      <c r="AH427" s="12">
        <f>+'Form20 '!I428</f>
        <v>0</v>
      </c>
      <c r="AI427" s="68">
        <v>9</v>
      </c>
      <c r="AJ427" s="65" t="s">
        <v>70</v>
      </c>
      <c r="AK427" s="12">
        <f>+'Form20 '!J428</f>
        <v>3</v>
      </c>
      <c r="AL427" s="68">
        <v>10</v>
      </c>
      <c r="AM427" s="66" t="s">
        <v>30</v>
      </c>
      <c r="AN427" s="12">
        <f>+'Form20 '!K428</f>
        <v>0</v>
      </c>
      <c r="AO427" s="18">
        <v>11</v>
      </c>
      <c r="AP427" s="66" t="s">
        <v>30</v>
      </c>
      <c r="AQ427" s="12">
        <f>+'Form20 '!L428</f>
        <v>0</v>
      </c>
      <c r="AR427" s="18">
        <v>12</v>
      </c>
      <c r="AS427" s="66" t="s">
        <v>30</v>
      </c>
      <c r="AT427" s="12">
        <f>+'Form20 '!M428</f>
        <v>0</v>
      </c>
      <c r="AU427" s="18">
        <v>13</v>
      </c>
      <c r="AV427" s="66" t="s">
        <v>30</v>
      </c>
      <c r="AW427" s="12">
        <f>+'Form20 '!N428</f>
        <v>0</v>
      </c>
      <c r="AX427" s="18">
        <v>14</v>
      </c>
      <c r="AY427" s="66" t="s">
        <v>30</v>
      </c>
      <c r="AZ427" s="12">
        <f>+'Form20 '!O428</f>
        <v>2</v>
      </c>
      <c r="BA427" s="75">
        <f t="shared" si="13"/>
        <v>364</v>
      </c>
    </row>
    <row r="428" spans="1:53" s="67" customFormat="1" ht="59.25" customHeight="1">
      <c r="A428" s="18">
        <v>333</v>
      </c>
      <c r="B428" s="59">
        <v>422</v>
      </c>
      <c r="C428" s="60" t="s">
        <v>62</v>
      </c>
      <c r="D428" s="61">
        <v>717</v>
      </c>
      <c r="E428" s="61">
        <v>177</v>
      </c>
      <c r="F428" s="61">
        <v>201</v>
      </c>
      <c r="G428" s="55">
        <v>0</v>
      </c>
      <c r="H428" s="62">
        <f t="shared" si="12"/>
        <v>378</v>
      </c>
      <c r="I428" s="55">
        <v>30</v>
      </c>
      <c r="J428" s="29">
        <v>0</v>
      </c>
      <c r="K428" s="68">
        <v>1</v>
      </c>
      <c r="L428" s="63" t="s">
        <v>29</v>
      </c>
      <c r="M428" s="12">
        <f>+'Form20 '!B429</f>
        <v>184</v>
      </c>
      <c r="N428" s="68">
        <v>2</v>
      </c>
      <c r="O428" s="58" t="s">
        <v>24</v>
      </c>
      <c r="P428" s="12">
        <f>+'Form20 '!C429</f>
        <v>10</v>
      </c>
      <c r="Q428" s="68">
        <v>3</v>
      </c>
      <c r="R428" s="63" t="s">
        <v>28</v>
      </c>
      <c r="S428" s="12">
        <f>+'Form20 '!D429</f>
        <v>168</v>
      </c>
      <c r="T428" s="68">
        <v>4</v>
      </c>
      <c r="U428" s="64" t="s">
        <v>65</v>
      </c>
      <c r="V428" s="12">
        <f>+'Form20 '!E429</f>
        <v>6</v>
      </c>
      <c r="W428" s="68">
        <v>5</v>
      </c>
      <c r="X428" s="58" t="s">
        <v>66</v>
      </c>
      <c r="Y428" s="12">
        <f>+'Form20 '!F429</f>
        <v>0</v>
      </c>
      <c r="Z428" s="18">
        <v>6</v>
      </c>
      <c r="AA428" s="64" t="s">
        <v>67</v>
      </c>
      <c r="AB428" s="12">
        <f>+'Form20 '!G429</f>
        <v>0</v>
      </c>
      <c r="AC428" s="68">
        <v>7</v>
      </c>
      <c r="AD428" s="63" t="s">
        <v>68</v>
      </c>
      <c r="AE428" s="12">
        <f>+'Form20 '!H429</f>
        <v>0</v>
      </c>
      <c r="AF428" s="68">
        <v>8</v>
      </c>
      <c r="AG428" s="63" t="s">
        <v>69</v>
      </c>
      <c r="AH428" s="12">
        <f>+'Form20 '!I429</f>
        <v>1</v>
      </c>
      <c r="AI428" s="68">
        <v>9</v>
      </c>
      <c r="AJ428" s="65" t="s">
        <v>70</v>
      </c>
      <c r="AK428" s="12">
        <f>+'Form20 '!J429</f>
        <v>0</v>
      </c>
      <c r="AL428" s="68">
        <v>10</v>
      </c>
      <c r="AM428" s="66" t="s">
        <v>30</v>
      </c>
      <c r="AN428" s="12">
        <f>+'Form20 '!K429</f>
        <v>4</v>
      </c>
      <c r="AO428" s="18">
        <v>11</v>
      </c>
      <c r="AP428" s="66" t="s">
        <v>30</v>
      </c>
      <c r="AQ428" s="12">
        <f>+'Form20 '!L429</f>
        <v>0</v>
      </c>
      <c r="AR428" s="18">
        <v>12</v>
      </c>
      <c r="AS428" s="66" t="s">
        <v>30</v>
      </c>
      <c r="AT428" s="12">
        <f>+'Form20 '!M429</f>
        <v>2</v>
      </c>
      <c r="AU428" s="18">
        <v>13</v>
      </c>
      <c r="AV428" s="66" t="s">
        <v>30</v>
      </c>
      <c r="AW428" s="12">
        <f>+'Form20 '!N429</f>
        <v>3</v>
      </c>
      <c r="AX428" s="18">
        <v>14</v>
      </c>
      <c r="AY428" s="66" t="s">
        <v>30</v>
      </c>
      <c r="AZ428" s="12">
        <f>+'Form20 '!O429</f>
        <v>0</v>
      </c>
      <c r="BA428" s="75">
        <f t="shared" si="13"/>
        <v>378</v>
      </c>
    </row>
    <row r="429" spans="1:53" s="67" customFormat="1" ht="59.25" customHeight="1">
      <c r="A429" s="18">
        <v>333</v>
      </c>
      <c r="B429" s="59">
        <v>423</v>
      </c>
      <c r="C429" s="60" t="s">
        <v>63</v>
      </c>
      <c r="D429" s="61">
        <v>1090</v>
      </c>
      <c r="E429" s="61">
        <v>271</v>
      </c>
      <c r="F429" s="61">
        <v>328</v>
      </c>
      <c r="G429" s="55">
        <v>0</v>
      </c>
      <c r="H429" s="62">
        <f t="shared" si="12"/>
        <v>599</v>
      </c>
      <c r="I429" s="55">
        <v>17</v>
      </c>
      <c r="J429" s="29">
        <v>0</v>
      </c>
      <c r="K429" s="68">
        <v>1</v>
      </c>
      <c r="L429" s="63" t="s">
        <v>29</v>
      </c>
      <c r="M429" s="12">
        <f>+'Form20 '!B430</f>
        <v>331</v>
      </c>
      <c r="N429" s="68">
        <v>2</v>
      </c>
      <c r="O429" s="58" t="s">
        <v>24</v>
      </c>
      <c r="P429" s="12">
        <f>+'Form20 '!C430</f>
        <v>57</v>
      </c>
      <c r="Q429" s="68">
        <v>3</v>
      </c>
      <c r="R429" s="63" t="s">
        <v>28</v>
      </c>
      <c r="S429" s="12">
        <f>+'Form20 '!D430</f>
        <v>193</v>
      </c>
      <c r="T429" s="68">
        <v>4</v>
      </c>
      <c r="U429" s="64" t="s">
        <v>65</v>
      </c>
      <c r="V429" s="12">
        <f>+'Form20 '!E430</f>
        <v>2</v>
      </c>
      <c r="W429" s="68">
        <v>5</v>
      </c>
      <c r="X429" s="58" t="s">
        <v>66</v>
      </c>
      <c r="Y429" s="12">
        <f>+'Form20 '!F430</f>
        <v>0</v>
      </c>
      <c r="Z429" s="18">
        <v>6</v>
      </c>
      <c r="AA429" s="64" t="s">
        <v>67</v>
      </c>
      <c r="AB429" s="12">
        <f>+'Form20 '!G430</f>
        <v>0</v>
      </c>
      <c r="AC429" s="68">
        <v>7</v>
      </c>
      <c r="AD429" s="63" t="s">
        <v>68</v>
      </c>
      <c r="AE429" s="12">
        <f>+'Form20 '!H430</f>
        <v>0</v>
      </c>
      <c r="AF429" s="68">
        <v>8</v>
      </c>
      <c r="AG429" s="63" t="s">
        <v>69</v>
      </c>
      <c r="AH429" s="12">
        <f>+'Form20 '!I430</f>
        <v>0</v>
      </c>
      <c r="AI429" s="68">
        <v>9</v>
      </c>
      <c r="AJ429" s="65" t="s">
        <v>70</v>
      </c>
      <c r="AK429" s="12">
        <f>+'Form20 '!J430</f>
        <v>0</v>
      </c>
      <c r="AL429" s="68">
        <v>10</v>
      </c>
      <c r="AM429" s="66" t="s">
        <v>30</v>
      </c>
      <c r="AN429" s="12">
        <f>+'Form20 '!K430</f>
        <v>0</v>
      </c>
      <c r="AO429" s="18">
        <v>11</v>
      </c>
      <c r="AP429" s="66" t="s">
        <v>30</v>
      </c>
      <c r="AQ429" s="12">
        <f>+'Form20 '!L430</f>
        <v>6</v>
      </c>
      <c r="AR429" s="18">
        <v>12</v>
      </c>
      <c r="AS429" s="66" t="s">
        <v>30</v>
      </c>
      <c r="AT429" s="12">
        <f>+'Form20 '!M430</f>
        <v>0</v>
      </c>
      <c r="AU429" s="18">
        <v>13</v>
      </c>
      <c r="AV429" s="66" t="s">
        <v>30</v>
      </c>
      <c r="AW429" s="12">
        <f>+'Form20 '!N430</f>
        <v>3</v>
      </c>
      <c r="AX429" s="18">
        <v>14</v>
      </c>
      <c r="AY429" s="66" t="s">
        <v>30</v>
      </c>
      <c r="AZ429" s="12">
        <f>+'Form20 '!O430</f>
        <v>4</v>
      </c>
      <c r="BA429" s="75">
        <f t="shared" si="13"/>
        <v>596</v>
      </c>
    </row>
    <row r="430" spans="1:53" s="67" customFormat="1" ht="59.25" customHeight="1">
      <c r="A430" s="18">
        <v>333</v>
      </c>
      <c r="B430" s="59">
        <v>424</v>
      </c>
      <c r="C430" s="60" t="s">
        <v>64</v>
      </c>
      <c r="D430" s="61">
        <v>1145</v>
      </c>
      <c r="E430" s="61">
        <v>261</v>
      </c>
      <c r="F430" s="61">
        <v>286</v>
      </c>
      <c r="G430" s="55">
        <v>0</v>
      </c>
      <c r="H430" s="62">
        <f t="shared" si="12"/>
        <v>547</v>
      </c>
      <c r="I430" s="55">
        <v>46</v>
      </c>
      <c r="J430" s="29">
        <v>0</v>
      </c>
      <c r="K430" s="68">
        <v>1</v>
      </c>
      <c r="L430" s="63" t="s">
        <v>29</v>
      </c>
      <c r="M430" s="12">
        <f>+'Form20 '!B431</f>
        <v>352</v>
      </c>
      <c r="N430" s="68">
        <v>2</v>
      </c>
      <c r="O430" s="58" t="s">
        <v>24</v>
      </c>
      <c r="P430" s="12">
        <f>+'Form20 '!C431</f>
        <v>36</v>
      </c>
      <c r="Q430" s="68">
        <v>3</v>
      </c>
      <c r="R430" s="63" t="s">
        <v>28</v>
      </c>
      <c r="S430" s="12">
        <f>+'Form20 '!D431</f>
        <v>150</v>
      </c>
      <c r="T430" s="68">
        <v>4</v>
      </c>
      <c r="U430" s="64" t="s">
        <v>65</v>
      </c>
      <c r="V430" s="12">
        <f>+'Form20 '!E431</f>
        <v>1</v>
      </c>
      <c r="W430" s="68">
        <v>5</v>
      </c>
      <c r="X430" s="58" t="s">
        <v>66</v>
      </c>
      <c r="Y430" s="12">
        <f>+'Form20 '!F431</f>
        <v>0</v>
      </c>
      <c r="Z430" s="18">
        <v>6</v>
      </c>
      <c r="AA430" s="64" t="s">
        <v>67</v>
      </c>
      <c r="AB430" s="12">
        <f>+'Form20 '!G431</f>
        <v>0</v>
      </c>
      <c r="AC430" s="68">
        <v>7</v>
      </c>
      <c r="AD430" s="63" t="s">
        <v>68</v>
      </c>
      <c r="AE430" s="12">
        <f>+'Form20 '!H431</f>
        <v>2</v>
      </c>
      <c r="AF430" s="68">
        <v>8</v>
      </c>
      <c r="AG430" s="63" t="s">
        <v>69</v>
      </c>
      <c r="AH430" s="12">
        <f>+'Form20 '!I431</f>
        <v>0</v>
      </c>
      <c r="AI430" s="68">
        <v>9</v>
      </c>
      <c r="AJ430" s="65" t="s">
        <v>70</v>
      </c>
      <c r="AK430" s="12">
        <f>+'Form20 '!J431</f>
        <v>0</v>
      </c>
      <c r="AL430" s="68">
        <v>10</v>
      </c>
      <c r="AM430" s="66" t="s">
        <v>30</v>
      </c>
      <c r="AN430" s="12">
        <f>+'Form20 '!K431</f>
        <v>0</v>
      </c>
      <c r="AO430" s="18">
        <v>11</v>
      </c>
      <c r="AP430" s="66" t="s">
        <v>30</v>
      </c>
      <c r="AQ430" s="12">
        <f>+'Form20 '!L431</f>
        <v>1</v>
      </c>
      <c r="AR430" s="18">
        <v>12</v>
      </c>
      <c r="AS430" s="66" t="s">
        <v>30</v>
      </c>
      <c r="AT430" s="12">
        <f>+'Form20 '!M431</f>
        <v>0</v>
      </c>
      <c r="AU430" s="18">
        <v>13</v>
      </c>
      <c r="AV430" s="66" t="s">
        <v>30</v>
      </c>
      <c r="AW430" s="12">
        <f>+'Form20 '!N431</f>
        <v>1</v>
      </c>
      <c r="AX430" s="18">
        <v>14</v>
      </c>
      <c r="AY430" s="66" t="s">
        <v>30</v>
      </c>
      <c r="AZ430" s="12">
        <f>+'Form20 '!O431</f>
        <v>0</v>
      </c>
      <c r="BA430" s="75">
        <f t="shared" si="13"/>
        <v>543</v>
      </c>
    </row>
    <row r="431" spans="1:53" s="67" customFormat="1" ht="59.25" customHeight="1">
      <c r="A431" s="18">
        <v>333</v>
      </c>
      <c r="B431" s="59">
        <v>425</v>
      </c>
      <c r="C431" s="60" t="s">
        <v>80</v>
      </c>
      <c r="D431" s="61">
        <v>689</v>
      </c>
      <c r="E431" s="61">
        <v>112</v>
      </c>
      <c r="F431" s="61">
        <v>151</v>
      </c>
      <c r="G431" s="55">
        <v>0</v>
      </c>
      <c r="H431" s="62">
        <f t="shared" si="12"/>
        <v>263</v>
      </c>
      <c r="I431" s="55">
        <v>22</v>
      </c>
      <c r="J431" s="29">
        <v>0</v>
      </c>
      <c r="K431" s="68">
        <v>1</v>
      </c>
      <c r="L431" s="63" t="s">
        <v>29</v>
      </c>
      <c r="M431" s="12">
        <f>+'Form20 '!B432</f>
        <v>133</v>
      </c>
      <c r="N431" s="68">
        <v>2</v>
      </c>
      <c r="O431" s="58" t="s">
        <v>24</v>
      </c>
      <c r="P431" s="12">
        <f>+'Form20 '!C432</f>
        <v>25</v>
      </c>
      <c r="Q431" s="68">
        <v>3</v>
      </c>
      <c r="R431" s="63" t="s">
        <v>28</v>
      </c>
      <c r="S431" s="12">
        <f>+'Form20 '!D432</f>
        <v>97</v>
      </c>
      <c r="T431" s="68">
        <v>4</v>
      </c>
      <c r="U431" s="64" t="s">
        <v>65</v>
      </c>
      <c r="V431" s="12">
        <f>+'Form20 '!E432</f>
        <v>3</v>
      </c>
      <c r="W431" s="68">
        <v>5</v>
      </c>
      <c r="X431" s="58" t="s">
        <v>66</v>
      </c>
      <c r="Y431" s="12">
        <f>+'Form20 '!F432</f>
        <v>0</v>
      </c>
      <c r="Z431" s="18">
        <v>6</v>
      </c>
      <c r="AA431" s="64" t="s">
        <v>67</v>
      </c>
      <c r="AB431" s="12">
        <f>+'Form20 '!G432</f>
        <v>0</v>
      </c>
      <c r="AC431" s="68">
        <v>7</v>
      </c>
      <c r="AD431" s="63" t="s">
        <v>68</v>
      </c>
      <c r="AE431" s="12">
        <f>+'Form20 '!H432</f>
        <v>1</v>
      </c>
      <c r="AF431" s="68">
        <v>8</v>
      </c>
      <c r="AG431" s="63" t="s">
        <v>69</v>
      </c>
      <c r="AH431" s="12">
        <f>+'Form20 '!I432</f>
        <v>0</v>
      </c>
      <c r="AI431" s="68">
        <v>9</v>
      </c>
      <c r="AJ431" s="65" t="s">
        <v>70</v>
      </c>
      <c r="AK431" s="12">
        <f>+'Form20 '!J432</f>
        <v>0</v>
      </c>
      <c r="AL431" s="68">
        <v>10</v>
      </c>
      <c r="AM431" s="66" t="s">
        <v>30</v>
      </c>
      <c r="AN431" s="12">
        <f>+'Form20 '!K432</f>
        <v>0</v>
      </c>
      <c r="AO431" s="18">
        <v>11</v>
      </c>
      <c r="AP431" s="66" t="s">
        <v>30</v>
      </c>
      <c r="AQ431" s="12">
        <f>+'Form20 '!L432</f>
        <v>0</v>
      </c>
      <c r="AR431" s="18">
        <v>12</v>
      </c>
      <c r="AS431" s="66" t="s">
        <v>30</v>
      </c>
      <c r="AT431" s="12">
        <f>+'Form20 '!M432</f>
        <v>0</v>
      </c>
      <c r="AU431" s="18">
        <v>13</v>
      </c>
      <c r="AV431" s="66" t="s">
        <v>30</v>
      </c>
      <c r="AW431" s="12">
        <f>+'Form20 '!N432</f>
        <v>0</v>
      </c>
      <c r="AX431" s="18">
        <v>14</v>
      </c>
      <c r="AY431" s="66" t="s">
        <v>30</v>
      </c>
      <c r="AZ431" s="12">
        <f>+'Form20 '!O432</f>
        <v>2</v>
      </c>
      <c r="BA431" s="75">
        <f t="shared" si="13"/>
        <v>261</v>
      </c>
    </row>
    <row r="432" spans="1:53" s="67" customFormat="1" ht="59.25" customHeight="1">
      <c r="A432" s="18">
        <v>333</v>
      </c>
      <c r="B432" s="59">
        <v>426</v>
      </c>
      <c r="C432" s="60" t="s">
        <v>79</v>
      </c>
      <c r="D432" s="61">
        <v>759</v>
      </c>
      <c r="E432" s="61">
        <v>219</v>
      </c>
      <c r="F432" s="61">
        <v>263</v>
      </c>
      <c r="G432" s="55">
        <v>0</v>
      </c>
      <c r="H432" s="62">
        <f t="shared" si="12"/>
        <v>482</v>
      </c>
      <c r="I432" s="55">
        <v>21</v>
      </c>
      <c r="J432" s="29">
        <v>0</v>
      </c>
      <c r="K432" s="68">
        <v>1</v>
      </c>
      <c r="L432" s="63" t="s">
        <v>29</v>
      </c>
      <c r="M432" s="12">
        <f>+'Form20 '!B433</f>
        <v>167</v>
      </c>
      <c r="N432" s="68">
        <v>2</v>
      </c>
      <c r="O432" s="58" t="s">
        <v>24</v>
      </c>
      <c r="P432" s="12">
        <f>+'Form20 '!C433</f>
        <v>71</v>
      </c>
      <c r="Q432" s="68">
        <v>3</v>
      </c>
      <c r="R432" s="63" t="s">
        <v>28</v>
      </c>
      <c r="S432" s="12">
        <f>+'Form20 '!D433</f>
        <v>230</v>
      </c>
      <c r="T432" s="68">
        <v>4</v>
      </c>
      <c r="U432" s="64" t="s">
        <v>65</v>
      </c>
      <c r="V432" s="12">
        <f>+'Form20 '!E433</f>
        <v>2</v>
      </c>
      <c r="W432" s="68">
        <v>5</v>
      </c>
      <c r="X432" s="58" t="s">
        <v>66</v>
      </c>
      <c r="Y432" s="12">
        <f>+'Form20 '!F433</f>
        <v>0</v>
      </c>
      <c r="Z432" s="18">
        <v>6</v>
      </c>
      <c r="AA432" s="64" t="s">
        <v>67</v>
      </c>
      <c r="AB432" s="12">
        <f>+'Form20 '!G433</f>
        <v>0</v>
      </c>
      <c r="AC432" s="68">
        <v>7</v>
      </c>
      <c r="AD432" s="63" t="s">
        <v>68</v>
      </c>
      <c r="AE432" s="12">
        <f>+'Form20 '!H433</f>
        <v>0</v>
      </c>
      <c r="AF432" s="68">
        <v>8</v>
      </c>
      <c r="AG432" s="63" t="s">
        <v>69</v>
      </c>
      <c r="AH432" s="12">
        <f>+'Form20 '!I433</f>
        <v>0</v>
      </c>
      <c r="AI432" s="68">
        <v>9</v>
      </c>
      <c r="AJ432" s="65" t="s">
        <v>70</v>
      </c>
      <c r="AK432" s="12">
        <f>+'Form20 '!J433</f>
        <v>3</v>
      </c>
      <c r="AL432" s="68">
        <v>10</v>
      </c>
      <c r="AM432" s="66" t="s">
        <v>30</v>
      </c>
      <c r="AN432" s="12">
        <f>+'Form20 '!K433</f>
        <v>1</v>
      </c>
      <c r="AO432" s="18">
        <v>11</v>
      </c>
      <c r="AP432" s="66" t="s">
        <v>30</v>
      </c>
      <c r="AQ432" s="12">
        <f>+'Form20 '!L433</f>
        <v>0</v>
      </c>
      <c r="AR432" s="18">
        <v>12</v>
      </c>
      <c r="AS432" s="66" t="s">
        <v>30</v>
      </c>
      <c r="AT432" s="12">
        <f>+'Form20 '!M433</f>
        <v>2</v>
      </c>
      <c r="AU432" s="18">
        <v>13</v>
      </c>
      <c r="AV432" s="66" t="s">
        <v>30</v>
      </c>
      <c r="AW432" s="12">
        <f>+'Form20 '!N433</f>
        <v>2</v>
      </c>
      <c r="AX432" s="18">
        <v>14</v>
      </c>
      <c r="AY432" s="66" t="s">
        <v>30</v>
      </c>
      <c r="AZ432" s="12">
        <f>+'Form20 '!O433</f>
        <v>1</v>
      </c>
      <c r="BA432" s="75">
        <f t="shared" si="13"/>
        <v>479</v>
      </c>
    </row>
    <row r="433" spans="1:53" s="67" customFormat="1" ht="59.25" customHeight="1">
      <c r="A433" s="18">
        <v>333</v>
      </c>
      <c r="B433" s="59">
        <v>427</v>
      </c>
      <c r="C433" s="60" t="s">
        <v>78</v>
      </c>
      <c r="D433" s="61">
        <v>748</v>
      </c>
      <c r="E433" s="61">
        <v>193</v>
      </c>
      <c r="F433" s="61">
        <v>205</v>
      </c>
      <c r="G433" s="55">
        <v>0</v>
      </c>
      <c r="H433" s="62">
        <f t="shared" si="12"/>
        <v>398</v>
      </c>
      <c r="I433" s="55">
        <v>50</v>
      </c>
      <c r="J433" s="29">
        <v>0</v>
      </c>
      <c r="K433" s="68">
        <v>1</v>
      </c>
      <c r="L433" s="63" t="s">
        <v>29</v>
      </c>
      <c r="M433" s="12">
        <f>+'Form20 '!B434</f>
        <v>214</v>
      </c>
      <c r="N433" s="68">
        <v>2</v>
      </c>
      <c r="O433" s="58" t="s">
        <v>24</v>
      </c>
      <c r="P433" s="12">
        <f>+'Form20 '!C434</f>
        <v>5</v>
      </c>
      <c r="Q433" s="68">
        <v>3</v>
      </c>
      <c r="R433" s="63" t="s">
        <v>28</v>
      </c>
      <c r="S433" s="12">
        <f>+'Form20 '!D434</f>
        <v>163</v>
      </c>
      <c r="T433" s="68">
        <v>4</v>
      </c>
      <c r="U433" s="64" t="s">
        <v>65</v>
      </c>
      <c r="V433" s="12">
        <f>+'Form20 '!E434</f>
        <v>3</v>
      </c>
      <c r="W433" s="68">
        <v>5</v>
      </c>
      <c r="X433" s="58" t="s">
        <v>66</v>
      </c>
      <c r="Y433" s="12">
        <f>+'Form20 '!F434</f>
        <v>0</v>
      </c>
      <c r="Z433" s="18">
        <v>6</v>
      </c>
      <c r="AA433" s="64" t="s">
        <v>67</v>
      </c>
      <c r="AB433" s="12">
        <f>+'Form20 '!G434</f>
        <v>0</v>
      </c>
      <c r="AC433" s="68">
        <v>7</v>
      </c>
      <c r="AD433" s="63" t="s">
        <v>68</v>
      </c>
      <c r="AE433" s="12">
        <f>+'Form20 '!H434</f>
        <v>0</v>
      </c>
      <c r="AF433" s="68">
        <v>8</v>
      </c>
      <c r="AG433" s="63" t="s">
        <v>69</v>
      </c>
      <c r="AH433" s="12">
        <f>+'Form20 '!I434</f>
        <v>0</v>
      </c>
      <c r="AI433" s="68">
        <v>9</v>
      </c>
      <c r="AJ433" s="65" t="s">
        <v>70</v>
      </c>
      <c r="AK433" s="12">
        <f>+'Form20 '!J434</f>
        <v>9</v>
      </c>
      <c r="AL433" s="68">
        <v>10</v>
      </c>
      <c r="AM433" s="66" t="s">
        <v>30</v>
      </c>
      <c r="AN433" s="12">
        <f>+'Form20 '!K434</f>
        <v>0</v>
      </c>
      <c r="AO433" s="18">
        <v>11</v>
      </c>
      <c r="AP433" s="66" t="s">
        <v>30</v>
      </c>
      <c r="AQ433" s="12">
        <f>+'Form20 '!L434</f>
        <v>0</v>
      </c>
      <c r="AR433" s="18">
        <v>12</v>
      </c>
      <c r="AS433" s="66" t="s">
        <v>30</v>
      </c>
      <c r="AT433" s="12">
        <f>+'Form20 '!M434</f>
        <v>1</v>
      </c>
      <c r="AU433" s="18">
        <v>13</v>
      </c>
      <c r="AV433" s="66" t="s">
        <v>30</v>
      </c>
      <c r="AW433" s="12">
        <f>+'Form20 '!N434</f>
        <v>0</v>
      </c>
      <c r="AX433" s="18">
        <v>14</v>
      </c>
      <c r="AY433" s="66" t="s">
        <v>30</v>
      </c>
      <c r="AZ433" s="12">
        <f>+'Form20 '!O434</f>
        <v>1</v>
      </c>
      <c r="BA433" s="75">
        <f t="shared" si="13"/>
        <v>396</v>
      </c>
    </row>
    <row r="434" spans="1:53" s="67" customFormat="1" ht="59.25" customHeight="1">
      <c r="A434" s="18">
        <v>333</v>
      </c>
      <c r="B434" s="59">
        <v>428</v>
      </c>
      <c r="C434" s="60" t="s">
        <v>77</v>
      </c>
      <c r="D434" s="61">
        <v>786</v>
      </c>
      <c r="E434" s="61">
        <v>214</v>
      </c>
      <c r="F434" s="61">
        <v>273</v>
      </c>
      <c r="G434" s="55">
        <v>0</v>
      </c>
      <c r="H434" s="62">
        <f t="shared" si="12"/>
        <v>487</v>
      </c>
      <c r="I434" s="55">
        <v>48</v>
      </c>
      <c r="J434" s="29">
        <v>0</v>
      </c>
      <c r="K434" s="68">
        <v>1</v>
      </c>
      <c r="L434" s="63" t="s">
        <v>29</v>
      </c>
      <c r="M434" s="12">
        <f>+'Form20 '!B435</f>
        <v>380</v>
      </c>
      <c r="N434" s="68">
        <v>2</v>
      </c>
      <c r="O434" s="58" t="s">
        <v>24</v>
      </c>
      <c r="P434" s="12">
        <f>+'Form20 '!C435</f>
        <v>5</v>
      </c>
      <c r="Q434" s="68">
        <v>3</v>
      </c>
      <c r="R434" s="63" t="s">
        <v>28</v>
      </c>
      <c r="S434" s="12">
        <f>+'Form20 '!D435</f>
        <v>87</v>
      </c>
      <c r="T434" s="68">
        <v>4</v>
      </c>
      <c r="U434" s="64" t="s">
        <v>65</v>
      </c>
      <c r="V434" s="12">
        <f>+'Form20 '!E435</f>
        <v>0</v>
      </c>
      <c r="W434" s="68">
        <v>5</v>
      </c>
      <c r="X434" s="58" t="s">
        <v>66</v>
      </c>
      <c r="Y434" s="12">
        <f>+'Form20 '!F435</f>
        <v>1</v>
      </c>
      <c r="Z434" s="18">
        <v>6</v>
      </c>
      <c r="AA434" s="64" t="s">
        <v>67</v>
      </c>
      <c r="AB434" s="12">
        <f>+'Form20 '!G435</f>
        <v>0</v>
      </c>
      <c r="AC434" s="68">
        <v>7</v>
      </c>
      <c r="AD434" s="63" t="s">
        <v>68</v>
      </c>
      <c r="AE434" s="12">
        <f>+'Form20 '!H435</f>
        <v>0</v>
      </c>
      <c r="AF434" s="68">
        <v>8</v>
      </c>
      <c r="AG434" s="63" t="s">
        <v>69</v>
      </c>
      <c r="AH434" s="12">
        <f>+'Form20 '!I435</f>
        <v>6</v>
      </c>
      <c r="AI434" s="68">
        <v>9</v>
      </c>
      <c r="AJ434" s="65" t="s">
        <v>70</v>
      </c>
      <c r="AK434" s="12">
        <f>+'Form20 '!J435</f>
        <v>0</v>
      </c>
      <c r="AL434" s="68">
        <v>10</v>
      </c>
      <c r="AM434" s="66" t="s">
        <v>30</v>
      </c>
      <c r="AN434" s="12">
        <f>+'Form20 '!K435</f>
        <v>0</v>
      </c>
      <c r="AO434" s="18">
        <v>11</v>
      </c>
      <c r="AP434" s="66" t="s">
        <v>30</v>
      </c>
      <c r="AQ434" s="12">
        <f>+'Form20 '!L435</f>
        <v>2</v>
      </c>
      <c r="AR434" s="18">
        <v>12</v>
      </c>
      <c r="AS434" s="66" t="s">
        <v>30</v>
      </c>
      <c r="AT434" s="12">
        <f>+'Form20 '!M435</f>
        <v>0</v>
      </c>
      <c r="AU434" s="18">
        <v>13</v>
      </c>
      <c r="AV434" s="66" t="s">
        <v>30</v>
      </c>
      <c r="AW434" s="12">
        <f>+'Form20 '!N435</f>
        <v>1</v>
      </c>
      <c r="AX434" s="18">
        <v>14</v>
      </c>
      <c r="AY434" s="66" t="s">
        <v>30</v>
      </c>
      <c r="AZ434" s="12">
        <f>+'Form20 '!O435</f>
        <v>2</v>
      </c>
      <c r="BA434" s="75">
        <f t="shared" si="13"/>
        <v>484</v>
      </c>
    </row>
    <row r="435" spans="1:53" s="67" customFormat="1" ht="59.25" customHeight="1">
      <c r="A435" s="18">
        <v>333</v>
      </c>
      <c r="B435" s="59">
        <v>429</v>
      </c>
      <c r="C435" s="60" t="s">
        <v>77</v>
      </c>
      <c r="D435" s="61">
        <v>765</v>
      </c>
      <c r="E435" s="61">
        <v>144</v>
      </c>
      <c r="F435" s="61">
        <v>188</v>
      </c>
      <c r="G435" s="55">
        <v>0</v>
      </c>
      <c r="H435" s="62">
        <f t="shared" si="12"/>
        <v>332</v>
      </c>
      <c r="I435" s="55">
        <v>32</v>
      </c>
      <c r="J435" s="29">
        <v>0</v>
      </c>
      <c r="K435" s="68">
        <v>1</v>
      </c>
      <c r="L435" s="63" t="s">
        <v>29</v>
      </c>
      <c r="M435" s="12">
        <f>+'Form20 '!B436</f>
        <v>233</v>
      </c>
      <c r="N435" s="68">
        <v>2</v>
      </c>
      <c r="O435" s="58" t="s">
        <v>24</v>
      </c>
      <c r="P435" s="12">
        <f>+'Form20 '!C436</f>
        <v>3</v>
      </c>
      <c r="Q435" s="68">
        <v>3</v>
      </c>
      <c r="R435" s="63" t="s">
        <v>28</v>
      </c>
      <c r="S435" s="12">
        <f>+'Form20 '!D436</f>
        <v>86</v>
      </c>
      <c r="T435" s="68">
        <v>4</v>
      </c>
      <c r="U435" s="64" t="s">
        <v>65</v>
      </c>
      <c r="V435" s="12">
        <f>+'Form20 '!E436</f>
        <v>3</v>
      </c>
      <c r="W435" s="68">
        <v>5</v>
      </c>
      <c r="X435" s="58" t="s">
        <v>66</v>
      </c>
      <c r="Y435" s="12">
        <f>+'Form20 '!F436</f>
        <v>0</v>
      </c>
      <c r="Z435" s="18">
        <v>6</v>
      </c>
      <c r="AA435" s="64" t="s">
        <v>67</v>
      </c>
      <c r="AB435" s="12">
        <f>+'Form20 '!G436</f>
        <v>0</v>
      </c>
      <c r="AC435" s="68">
        <v>7</v>
      </c>
      <c r="AD435" s="63" t="s">
        <v>68</v>
      </c>
      <c r="AE435" s="12">
        <f>+'Form20 '!H436</f>
        <v>0</v>
      </c>
      <c r="AF435" s="68">
        <v>8</v>
      </c>
      <c r="AG435" s="63" t="s">
        <v>69</v>
      </c>
      <c r="AH435" s="12">
        <f>+'Form20 '!I436</f>
        <v>0</v>
      </c>
      <c r="AI435" s="68">
        <v>9</v>
      </c>
      <c r="AJ435" s="65" t="s">
        <v>70</v>
      </c>
      <c r="AK435" s="12">
        <f>+'Form20 '!J436</f>
        <v>1</v>
      </c>
      <c r="AL435" s="68">
        <v>10</v>
      </c>
      <c r="AM435" s="66" t="s">
        <v>30</v>
      </c>
      <c r="AN435" s="12">
        <f>+'Form20 '!K436</f>
        <v>0</v>
      </c>
      <c r="AO435" s="18">
        <v>11</v>
      </c>
      <c r="AP435" s="66" t="s">
        <v>30</v>
      </c>
      <c r="AQ435" s="12">
        <f>+'Form20 '!L436</f>
        <v>0</v>
      </c>
      <c r="AR435" s="18">
        <v>12</v>
      </c>
      <c r="AS435" s="66" t="s">
        <v>30</v>
      </c>
      <c r="AT435" s="12">
        <f>+'Form20 '!M436</f>
        <v>0</v>
      </c>
      <c r="AU435" s="18">
        <v>13</v>
      </c>
      <c r="AV435" s="66" t="s">
        <v>30</v>
      </c>
      <c r="AW435" s="12">
        <f>+'Form20 '!N436</f>
        <v>1</v>
      </c>
      <c r="AX435" s="18">
        <v>14</v>
      </c>
      <c r="AY435" s="66" t="s">
        <v>30</v>
      </c>
      <c r="AZ435" s="12">
        <f>+'Form20 '!O436</f>
        <v>0</v>
      </c>
      <c r="BA435" s="75">
        <f t="shared" si="13"/>
        <v>327</v>
      </c>
    </row>
    <row r="436" spans="1:53" s="67" customFormat="1" ht="59.25" customHeight="1">
      <c r="A436" s="18">
        <v>333</v>
      </c>
      <c r="B436" s="59">
        <v>430</v>
      </c>
      <c r="C436" s="60" t="s">
        <v>76</v>
      </c>
      <c r="D436" s="61">
        <v>965</v>
      </c>
      <c r="E436" s="61">
        <v>260</v>
      </c>
      <c r="F436" s="61">
        <v>318</v>
      </c>
      <c r="G436" s="55">
        <v>0</v>
      </c>
      <c r="H436" s="62">
        <f t="shared" si="12"/>
        <v>578</v>
      </c>
      <c r="I436" s="55">
        <v>38</v>
      </c>
      <c r="J436" s="29">
        <v>0</v>
      </c>
      <c r="K436" s="68">
        <v>1</v>
      </c>
      <c r="L436" s="63" t="s">
        <v>29</v>
      </c>
      <c r="M436" s="12">
        <f>+'Form20 '!B437</f>
        <v>347</v>
      </c>
      <c r="N436" s="68">
        <v>2</v>
      </c>
      <c r="O436" s="58" t="s">
        <v>24</v>
      </c>
      <c r="P436" s="12">
        <f>+'Form20 '!C437</f>
        <v>5</v>
      </c>
      <c r="Q436" s="68">
        <v>3</v>
      </c>
      <c r="R436" s="63" t="s">
        <v>28</v>
      </c>
      <c r="S436" s="12">
        <f>+'Form20 '!D437</f>
        <v>215</v>
      </c>
      <c r="T436" s="68">
        <v>4</v>
      </c>
      <c r="U436" s="64" t="s">
        <v>65</v>
      </c>
      <c r="V436" s="12">
        <f>+'Form20 '!E437</f>
        <v>0</v>
      </c>
      <c r="W436" s="68">
        <v>5</v>
      </c>
      <c r="X436" s="58" t="s">
        <v>66</v>
      </c>
      <c r="Y436" s="12">
        <f>+'Form20 '!F437</f>
        <v>1</v>
      </c>
      <c r="Z436" s="18">
        <v>6</v>
      </c>
      <c r="AA436" s="64" t="s">
        <v>67</v>
      </c>
      <c r="AB436" s="12">
        <f>+'Form20 '!G437</f>
        <v>0</v>
      </c>
      <c r="AC436" s="68">
        <v>7</v>
      </c>
      <c r="AD436" s="63" t="s">
        <v>68</v>
      </c>
      <c r="AE436" s="12">
        <f>+'Form20 '!H437</f>
        <v>0</v>
      </c>
      <c r="AF436" s="68">
        <v>8</v>
      </c>
      <c r="AG436" s="63" t="s">
        <v>69</v>
      </c>
      <c r="AH436" s="12">
        <f>+'Form20 '!I437</f>
        <v>0</v>
      </c>
      <c r="AI436" s="68">
        <v>9</v>
      </c>
      <c r="AJ436" s="65" t="s">
        <v>70</v>
      </c>
      <c r="AK436" s="12">
        <f>+'Form20 '!J437</f>
        <v>4</v>
      </c>
      <c r="AL436" s="68">
        <v>10</v>
      </c>
      <c r="AM436" s="66" t="s">
        <v>30</v>
      </c>
      <c r="AN436" s="12">
        <f>+'Form20 '!K437</f>
        <v>1</v>
      </c>
      <c r="AO436" s="18">
        <v>11</v>
      </c>
      <c r="AP436" s="66" t="s">
        <v>30</v>
      </c>
      <c r="AQ436" s="12">
        <f>+'Form20 '!L437</f>
        <v>0</v>
      </c>
      <c r="AR436" s="18">
        <v>12</v>
      </c>
      <c r="AS436" s="66" t="s">
        <v>30</v>
      </c>
      <c r="AT436" s="12">
        <f>+'Form20 '!M437</f>
        <v>0</v>
      </c>
      <c r="AU436" s="18">
        <v>13</v>
      </c>
      <c r="AV436" s="66" t="s">
        <v>30</v>
      </c>
      <c r="AW436" s="12">
        <f>+'Form20 '!N437</f>
        <v>0</v>
      </c>
      <c r="AX436" s="18">
        <v>14</v>
      </c>
      <c r="AY436" s="66" t="s">
        <v>30</v>
      </c>
      <c r="AZ436" s="12">
        <f>+'Form20 '!O437</f>
        <v>1</v>
      </c>
      <c r="BA436" s="75">
        <f t="shared" si="13"/>
        <v>574</v>
      </c>
    </row>
    <row r="437" spans="1:53" s="67" customFormat="1" ht="59.25" customHeight="1">
      <c r="A437" s="18">
        <v>333</v>
      </c>
      <c r="B437" s="59">
        <v>431</v>
      </c>
      <c r="C437" s="60" t="s">
        <v>75</v>
      </c>
      <c r="D437" s="61">
        <v>958</v>
      </c>
      <c r="E437" s="61">
        <v>233</v>
      </c>
      <c r="F437" s="61">
        <v>283</v>
      </c>
      <c r="G437" s="55">
        <v>0</v>
      </c>
      <c r="H437" s="62">
        <f t="shared" si="12"/>
        <v>516</v>
      </c>
      <c r="I437" s="55">
        <v>35</v>
      </c>
      <c r="J437" s="29">
        <v>0</v>
      </c>
      <c r="K437" s="68">
        <v>1</v>
      </c>
      <c r="L437" s="63" t="s">
        <v>29</v>
      </c>
      <c r="M437" s="12">
        <f>+'Form20 '!B438</f>
        <v>413</v>
      </c>
      <c r="N437" s="68">
        <v>2</v>
      </c>
      <c r="O437" s="58" t="s">
        <v>24</v>
      </c>
      <c r="P437" s="12">
        <f>+'Form20 '!C438</f>
        <v>13</v>
      </c>
      <c r="Q437" s="68">
        <v>3</v>
      </c>
      <c r="R437" s="63" t="s">
        <v>28</v>
      </c>
      <c r="S437" s="12">
        <f>+'Form20 '!D438</f>
        <v>72</v>
      </c>
      <c r="T437" s="68">
        <v>4</v>
      </c>
      <c r="U437" s="64" t="s">
        <v>65</v>
      </c>
      <c r="V437" s="12">
        <f>+'Form20 '!E438</f>
        <v>0</v>
      </c>
      <c r="W437" s="68">
        <v>5</v>
      </c>
      <c r="X437" s="58" t="s">
        <v>66</v>
      </c>
      <c r="Y437" s="12">
        <f>+'Form20 '!F438</f>
        <v>1</v>
      </c>
      <c r="Z437" s="18">
        <v>6</v>
      </c>
      <c r="AA437" s="64" t="s">
        <v>67</v>
      </c>
      <c r="AB437" s="12">
        <f>+'Form20 '!G438</f>
        <v>0</v>
      </c>
      <c r="AC437" s="68">
        <v>7</v>
      </c>
      <c r="AD437" s="63" t="s">
        <v>68</v>
      </c>
      <c r="AE437" s="12">
        <f>+'Form20 '!H438</f>
        <v>0</v>
      </c>
      <c r="AF437" s="68">
        <v>8</v>
      </c>
      <c r="AG437" s="63" t="s">
        <v>69</v>
      </c>
      <c r="AH437" s="12">
        <f>+'Form20 '!I438</f>
        <v>0</v>
      </c>
      <c r="AI437" s="68">
        <v>9</v>
      </c>
      <c r="AJ437" s="65" t="s">
        <v>70</v>
      </c>
      <c r="AK437" s="12">
        <f>+'Form20 '!J438</f>
        <v>2</v>
      </c>
      <c r="AL437" s="68">
        <v>10</v>
      </c>
      <c r="AM437" s="66" t="s">
        <v>30</v>
      </c>
      <c r="AN437" s="12">
        <f>+'Form20 '!K438</f>
        <v>0</v>
      </c>
      <c r="AO437" s="18">
        <v>11</v>
      </c>
      <c r="AP437" s="66" t="s">
        <v>30</v>
      </c>
      <c r="AQ437" s="12">
        <f>+'Form20 '!L438</f>
        <v>0</v>
      </c>
      <c r="AR437" s="18">
        <v>12</v>
      </c>
      <c r="AS437" s="66" t="s">
        <v>30</v>
      </c>
      <c r="AT437" s="12">
        <f>+'Form20 '!M438</f>
        <v>2</v>
      </c>
      <c r="AU437" s="18">
        <v>13</v>
      </c>
      <c r="AV437" s="66" t="s">
        <v>30</v>
      </c>
      <c r="AW437" s="12">
        <f>+'Form20 '!N438</f>
        <v>3</v>
      </c>
      <c r="AX437" s="18">
        <v>14</v>
      </c>
      <c r="AY437" s="66" t="s">
        <v>30</v>
      </c>
      <c r="AZ437" s="12">
        <f>+'Form20 '!O438</f>
        <v>2</v>
      </c>
      <c r="BA437" s="75">
        <f t="shared" si="13"/>
        <v>508</v>
      </c>
    </row>
    <row r="438" spans="1:53" s="67" customFormat="1" ht="59.25" customHeight="1">
      <c r="A438" s="18">
        <v>333</v>
      </c>
      <c r="B438" s="59">
        <v>432</v>
      </c>
      <c r="C438" s="60" t="s">
        <v>74</v>
      </c>
      <c r="D438" s="61">
        <v>903</v>
      </c>
      <c r="E438" s="61">
        <v>280</v>
      </c>
      <c r="F438" s="61">
        <v>273</v>
      </c>
      <c r="G438" s="55">
        <v>0</v>
      </c>
      <c r="H438" s="62">
        <f>E438+F438+G438</f>
        <v>553</v>
      </c>
      <c r="I438" s="55">
        <v>18</v>
      </c>
      <c r="J438" s="29">
        <v>0</v>
      </c>
      <c r="K438" s="68">
        <v>1</v>
      </c>
      <c r="L438" s="63" t="s">
        <v>29</v>
      </c>
      <c r="M438" s="12">
        <f>+'Form20 '!B439</f>
        <v>217</v>
      </c>
      <c r="N438" s="68">
        <v>2</v>
      </c>
      <c r="O438" s="58" t="s">
        <v>24</v>
      </c>
      <c r="P438" s="12">
        <f>+'Form20 '!C439</f>
        <v>8</v>
      </c>
      <c r="Q438" s="68">
        <v>3</v>
      </c>
      <c r="R438" s="63" t="s">
        <v>28</v>
      </c>
      <c r="S438" s="12">
        <f>+'Form20 '!D439</f>
        <v>305</v>
      </c>
      <c r="T438" s="68">
        <v>4</v>
      </c>
      <c r="U438" s="64" t="s">
        <v>65</v>
      </c>
      <c r="V438" s="12">
        <f>+'Form20 '!E439</f>
        <v>3</v>
      </c>
      <c r="W438" s="68">
        <v>5</v>
      </c>
      <c r="X438" s="58" t="s">
        <v>66</v>
      </c>
      <c r="Y438" s="12">
        <f>+'Form20 '!F439</f>
        <v>1</v>
      </c>
      <c r="Z438" s="18">
        <v>6</v>
      </c>
      <c r="AA438" s="64" t="s">
        <v>67</v>
      </c>
      <c r="AB438" s="12">
        <f>+'Form20 '!G439</f>
        <v>1</v>
      </c>
      <c r="AC438" s="68">
        <v>7</v>
      </c>
      <c r="AD438" s="63" t="s">
        <v>68</v>
      </c>
      <c r="AE438" s="12">
        <f>+'Form20 '!H439</f>
        <v>0</v>
      </c>
      <c r="AF438" s="68">
        <v>8</v>
      </c>
      <c r="AG438" s="63" t="s">
        <v>69</v>
      </c>
      <c r="AH438" s="12">
        <f>+'Form20 '!I439</f>
        <v>0</v>
      </c>
      <c r="AI438" s="68">
        <v>9</v>
      </c>
      <c r="AJ438" s="65" t="s">
        <v>70</v>
      </c>
      <c r="AK438" s="12">
        <f>+'Form20 '!J439</f>
        <v>0</v>
      </c>
      <c r="AL438" s="68">
        <v>10</v>
      </c>
      <c r="AM438" s="66" t="s">
        <v>30</v>
      </c>
      <c r="AN438" s="12">
        <f>+'Form20 '!K439</f>
        <v>1</v>
      </c>
      <c r="AO438" s="18">
        <v>11</v>
      </c>
      <c r="AP438" s="66" t="s">
        <v>30</v>
      </c>
      <c r="AQ438" s="12">
        <f>+'Form20 '!L439</f>
        <v>4</v>
      </c>
      <c r="AR438" s="18">
        <v>12</v>
      </c>
      <c r="AS438" s="66" t="s">
        <v>30</v>
      </c>
      <c r="AT438" s="12">
        <f>+'Form20 '!M439</f>
        <v>0</v>
      </c>
      <c r="AU438" s="18">
        <v>13</v>
      </c>
      <c r="AV438" s="66" t="s">
        <v>30</v>
      </c>
      <c r="AW438" s="12">
        <f>+'Form20 '!N439</f>
        <v>5</v>
      </c>
      <c r="AX438" s="18">
        <v>14</v>
      </c>
      <c r="AY438" s="66" t="s">
        <v>30</v>
      </c>
      <c r="AZ438" s="12">
        <f>+'Form20 '!O439</f>
        <v>1</v>
      </c>
      <c r="BA438" s="75">
        <f t="shared" si="13"/>
        <v>546</v>
      </c>
    </row>
    <row r="439" spans="1:53" s="67" customFormat="1" ht="59.25" customHeight="1">
      <c r="A439" s="18">
        <v>333</v>
      </c>
      <c r="B439" s="59">
        <v>433</v>
      </c>
      <c r="C439" s="60" t="s">
        <v>73</v>
      </c>
      <c r="D439" s="61">
        <v>963</v>
      </c>
      <c r="E439" s="61">
        <v>269</v>
      </c>
      <c r="F439" s="61">
        <v>320</v>
      </c>
      <c r="G439" s="56">
        <v>0</v>
      </c>
      <c r="H439" s="62">
        <f>E439+F439+G439</f>
        <v>589</v>
      </c>
      <c r="I439" s="55">
        <v>100</v>
      </c>
      <c r="J439" s="29">
        <v>0</v>
      </c>
      <c r="K439" s="68">
        <v>1</v>
      </c>
      <c r="L439" s="63" t="s">
        <v>29</v>
      </c>
      <c r="M439" s="12">
        <f>+'Form20 '!B440</f>
        <v>200</v>
      </c>
      <c r="N439" s="68">
        <v>2</v>
      </c>
      <c r="O439" s="58" t="s">
        <v>24</v>
      </c>
      <c r="P439" s="12">
        <f>+'Form20 '!C440</f>
        <v>9</v>
      </c>
      <c r="Q439" s="68">
        <v>3</v>
      </c>
      <c r="R439" s="63" t="s">
        <v>28</v>
      </c>
      <c r="S439" s="12">
        <f>+'Form20 '!D440</f>
        <v>369</v>
      </c>
      <c r="T439" s="68">
        <v>4</v>
      </c>
      <c r="U439" s="64" t="s">
        <v>65</v>
      </c>
      <c r="V439" s="12">
        <f>+'Form20 '!E440</f>
        <v>4</v>
      </c>
      <c r="W439" s="68">
        <v>5</v>
      </c>
      <c r="X439" s="58" t="s">
        <v>66</v>
      </c>
      <c r="Y439" s="12">
        <f>+'Form20 '!F440</f>
        <v>0</v>
      </c>
      <c r="Z439" s="18">
        <v>6</v>
      </c>
      <c r="AA439" s="64" t="s">
        <v>67</v>
      </c>
      <c r="AB439" s="12">
        <f>+'Form20 '!G440</f>
        <v>0</v>
      </c>
      <c r="AC439" s="68">
        <v>7</v>
      </c>
      <c r="AD439" s="63" t="s">
        <v>68</v>
      </c>
      <c r="AE439" s="12">
        <f>+'Form20 '!H440</f>
        <v>1</v>
      </c>
      <c r="AF439" s="68">
        <v>8</v>
      </c>
      <c r="AG439" s="63" t="s">
        <v>69</v>
      </c>
      <c r="AH439" s="12">
        <f>+'Form20 '!I440</f>
        <v>0</v>
      </c>
      <c r="AI439" s="68">
        <v>9</v>
      </c>
      <c r="AJ439" s="65" t="s">
        <v>70</v>
      </c>
      <c r="AK439" s="12">
        <f>+'Form20 '!J440</f>
        <v>2</v>
      </c>
      <c r="AL439" s="68">
        <v>10</v>
      </c>
      <c r="AM439" s="66" t="s">
        <v>30</v>
      </c>
      <c r="AN439" s="12">
        <f>+'Form20 '!K440</f>
        <v>0</v>
      </c>
      <c r="AO439" s="18">
        <v>11</v>
      </c>
      <c r="AP439" s="66" t="s">
        <v>30</v>
      </c>
      <c r="AQ439" s="12">
        <f>+'Form20 '!L440</f>
        <v>0</v>
      </c>
      <c r="AR439" s="18">
        <v>12</v>
      </c>
      <c r="AS439" s="66" t="s">
        <v>30</v>
      </c>
      <c r="AT439" s="12">
        <f>+'Form20 '!M440</f>
        <v>1</v>
      </c>
      <c r="AU439" s="18">
        <v>13</v>
      </c>
      <c r="AV439" s="66" t="s">
        <v>30</v>
      </c>
      <c r="AW439" s="12">
        <f>+'Form20 '!N440</f>
        <v>1</v>
      </c>
      <c r="AX439" s="18">
        <v>14</v>
      </c>
      <c r="AY439" s="66" t="s">
        <v>30</v>
      </c>
      <c r="AZ439" s="12">
        <f>+'Form20 '!O440</f>
        <v>0</v>
      </c>
      <c r="BA439" s="75">
        <f t="shared" si="13"/>
        <v>587</v>
      </c>
    </row>
    <row r="440" spans="1:53" s="5" customFormat="1" ht="54" customHeight="1">
      <c r="A440" s="18"/>
      <c r="B440" s="4" t="s">
        <v>3</v>
      </c>
      <c r="C440" s="4"/>
      <c r="D440" s="28">
        <f>SUM(D7:D439)</f>
        <v>372828</v>
      </c>
      <c r="E440" s="28">
        <f>SUM(E7:E439)</f>
        <v>103038</v>
      </c>
      <c r="F440" s="28">
        <f t="shared" ref="F440:I440" si="14">SUM(F7:F439)</f>
        <v>116629</v>
      </c>
      <c r="G440" s="35">
        <f t="shared" si="14"/>
        <v>1</v>
      </c>
      <c r="H440" s="57">
        <f t="shared" si="14"/>
        <v>219668</v>
      </c>
      <c r="I440" s="35">
        <f t="shared" si="14"/>
        <v>38481</v>
      </c>
      <c r="J440" s="28">
        <f>SUM(J7:J323)</f>
        <v>0</v>
      </c>
      <c r="K440" s="69"/>
      <c r="L440" s="70"/>
      <c r="M440" s="28">
        <f>SUM(M7:M439)</f>
        <v>114869</v>
      </c>
      <c r="N440" s="69"/>
      <c r="O440" s="70"/>
      <c r="P440" s="28">
        <f>SUM(P7:P439)</f>
        <v>15994</v>
      </c>
      <c r="Q440" s="69"/>
      <c r="R440" s="70"/>
      <c r="S440" s="28">
        <f>SUM(S7:S439)</f>
        <v>79619</v>
      </c>
      <c r="T440" s="69"/>
      <c r="U440" s="70"/>
      <c r="V440" s="28">
        <f>SUM(V7:V439)</f>
        <v>1468</v>
      </c>
      <c r="W440" s="69"/>
      <c r="X440" s="70"/>
      <c r="Y440" s="28">
        <f>SUM(Y7:Y439)</f>
        <v>172</v>
      </c>
      <c r="Z440" s="69"/>
      <c r="AA440" s="70"/>
      <c r="AB440" s="28">
        <f>SUM(AB7:AB439)</f>
        <v>157</v>
      </c>
      <c r="AC440" s="69"/>
      <c r="AD440" s="70"/>
      <c r="AE440" s="28">
        <f>SUM(AE7:AE439)</f>
        <v>175</v>
      </c>
      <c r="AF440" s="69"/>
      <c r="AG440" s="70"/>
      <c r="AH440" s="28">
        <f>SUM(AH7:AH439)</f>
        <v>350</v>
      </c>
      <c r="AI440" s="69"/>
      <c r="AJ440" s="70"/>
      <c r="AK440" s="28">
        <f>SUM(AK7:AK439)</f>
        <v>2789</v>
      </c>
      <c r="AL440" s="69"/>
      <c r="AM440" s="70"/>
      <c r="AN440" s="28">
        <f>SUM(AN7:AN439)</f>
        <v>251</v>
      </c>
      <c r="AO440" s="31"/>
      <c r="AP440" s="31"/>
      <c r="AQ440" s="28">
        <f>SUM(AQ7:AQ439)</f>
        <v>381</v>
      </c>
      <c r="AR440" s="31"/>
      <c r="AS440" s="31"/>
      <c r="AT440" s="28">
        <f>SUM(AT7:AT439)</f>
        <v>556</v>
      </c>
      <c r="AU440" s="31"/>
      <c r="AV440" s="31"/>
      <c r="AW440" s="28">
        <f>SUM(AW7:AW439)</f>
        <v>692</v>
      </c>
      <c r="AX440" s="31"/>
      <c r="AY440" s="31"/>
      <c r="AZ440" s="28">
        <f>SUM(AZ7:AZ439)</f>
        <v>581</v>
      </c>
      <c r="BA440" s="28">
        <f>SUM(BA7:BA439)</f>
        <v>218054</v>
      </c>
    </row>
    <row r="443" spans="1:53" ht="16.5">
      <c r="AT443" s="79" t="s">
        <v>10</v>
      </c>
      <c r="AU443" s="79"/>
      <c r="AV443" s="79"/>
      <c r="AW443" s="79"/>
      <c r="AX443" s="79"/>
      <c r="AY443" s="79"/>
      <c r="AZ443" s="79"/>
      <c r="BA443" s="79"/>
    </row>
    <row r="444" spans="1:53" ht="16.5">
      <c r="AT444" s="79" t="s">
        <v>32</v>
      </c>
      <c r="AU444" s="79"/>
      <c r="AV444" s="79"/>
      <c r="AW444" s="79"/>
      <c r="AX444" s="79"/>
      <c r="AY444" s="79"/>
      <c r="AZ444" s="79"/>
      <c r="BA444" s="79"/>
    </row>
  </sheetData>
  <mergeCells count="26">
    <mergeCell ref="AT443:BA443"/>
    <mergeCell ref="AT444:BA444"/>
    <mergeCell ref="D4:D5"/>
    <mergeCell ref="AO4:AQ4"/>
    <mergeCell ref="AR4:AT4"/>
    <mergeCell ref="E4:H4"/>
    <mergeCell ref="Z4:AB4"/>
    <mergeCell ref="AC4:AE4"/>
    <mergeCell ref="K4:M4"/>
    <mergeCell ref="AF4:AH4"/>
    <mergeCell ref="BA4:BA5"/>
    <mergeCell ref="A2:BA2"/>
    <mergeCell ref="A3:BA3"/>
    <mergeCell ref="A1:BA1"/>
    <mergeCell ref="AU4:AW4"/>
    <mergeCell ref="AX4:AZ4"/>
    <mergeCell ref="AI4:AK4"/>
    <mergeCell ref="AL4:AN4"/>
    <mergeCell ref="J4:J5"/>
    <mergeCell ref="N4:P4"/>
    <mergeCell ref="Q4:S4"/>
    <mergeCell ref="T4:V4"/>
    <mergeCell ref="W4:Y4"/>
    <mergeCell ref="I4:I5"/>
    <mergeCell ref="A4:A5"/>
    <mergeCell ref="B4:C4"/>
  </mergeCells>
  <pageMargins left="0.76" right="0.15748031496062992" top="0.43307086614173229" bottom="0.31496062992125984" header="0.27559055118110237" footer="0.27559055118110237"/>
  <pageSetup paperSize="5" scale="70" orientation="landscape" r:id="rId1"/>
  <headerFooter alignWithMargins="0"/>
  <rowBreaks count="1" manualBreakCount="1">
    <brk id="425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Form20 </vt:lpstr>
      <vt:lpstr>ECI Format</vt:lpstr>
      <vt:lpstr>'ECI Format'!Print_Titles</vt:lpstr>
      <vt:lpstr>'Form20 '!Print_Titles</vt:lpstr>
    </vt:vector>
  </TitlesOfParts>
  <Company>NIC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Anjan</dc:creator>
  <cp:lastModifiedBy>DEO</cp:lastModifiedBy>
  <cp:lastPrinted>2022-03-16T06:45:50Z</cp:lastPrinted>
  <dcterms:created xsi:type="dcterms:W3CDTF">2007-04-22T05:07:07Z</dcterms:created>
  <dcterms:modified xsi:type="dcterms:W3CDTF">2022-03-27T05:58:48Z</dcterms:modified>
</cp:coreProperties>
</file>